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lab\NodeCloud\doc\"/>
    </mc:Choice>
  </mc:AlternateContent>
  <xr:revisionPtr revIDLastSave="0" documentId="8_{E2753AEE-C904-453C-A9E4-72E62CF7CF82}" xr6:coauthVersionLast="47" xr6:coauthVersionMax="47" xr10:uidLastSave="{00000000-0000-0000-0000-000000000000}"/>
  <bookViews>
    <workbookView xWindow="-110" yWindow="-110" windowWidth="19420" windowHeight="11500" xr2:uid="{2BAEA756-2FBC-4E8F-9DAF-88E543B69899}"/>
  </bookViews>
  <sheets>
    <sheet name="水理計算書"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_kb1">#REF!</definedName>
    <definedName name="__kb2">#REF!</definedName>
    <definedName name="__kb3">#REF!</definedName>
    <definedName name="__kh1">#REF!</definedName>
    <definedName name="__kh2">#REF!</definedName>
    <definedName name="__kh3">#REF!</definedName>
    <definedName name="__lb1">#REF!</definedName>
    <definedName name="__lb2">#REF!</definedName>
    <definedName name="__lb3">#REF!</definedName>
    <definedName name="__lb4">#REF!</definedName>
    <definedName name="__lb5">#REF!</definedName>
    <definedName name="__lh1">#REF!</definedName>
    <definedName name="__lh2">#REF!</definedName>
    <definedName name="__lh3">#REF!</definedName>
    <definedName name="__lh4">#REF!</definedName>
    <definedName name="__lh5">#REF!</definedName>
    <definedName name="__MA1">[0]!__MA1</definedName>
    <definedName name="__PP1">[1]管土積計算!#REF!</definedName>
    <definedName name="__PP2">[1]管土積計算!#REF!</definedName>
    <definedName name="__PP3">[1]管土積計算!#REF!</definedName>
    <definedName name="__PP4">[1]管土積計算!#REF!</definedName>
    <definedName name="__PP5">[1]管土積計算!#REF!</definedName>
    <definedName name="__rb1">#REF!</definedName>
    <definedName name="__rb2">#REF!</definedName>
    <definedName name="__rb3">#REF!</definedName>
    <definedName name="__rb4">#REF!</definedName>
    <definedName name="__rb5">#REF!</definedName>
    <definedName name="__rh1">#REF!</definedName>
    <definedName name="__rh2">#REF!</definedName>
    <definedName name="__rh3">#REF!</definedName>
    <definedName name="__rh4">#REF!</definedName>
    <definedName name="__rh5">#REF!</definedName>
    <definedName name="__yb1">#REF!</definedName>
    <definedName name="__yb2">#REF!</definedName>
    <definedName name="__yb3">#REF!</definedName>
    <definedName name="__yb4">#REF!</definedName>
    <definedName name="__yb5">#REF!</definedName>
    <definedName name="__yb6">#REF!</definedName>
    <definedName name="__yh1">#REF!</definedName>
    <definedName name="__yh2">#REF!</definedName>
    <definedName name="__yh3">#REF!</definedName>
    <definedName name="__yh4">#REF!</definedName>
    <definedName name="__yh5">#REF!</definedName>
    <definedName name="__yh6">#REF!</definedName>
    <definedName name="__yh7">#REF!</definedName>
    <definedName name="_01">#REF!</definedName>
    <definedName name="_02">#REF!</definedName>
    <definedName name="_03">#REF!</definedName>
    <definedName name="_1">#REF!</definedName>
    <definedName name="_1GOU">#REF!</definedName>
    <definedName name="_2">#REF!</definedName>
    <definedName name="_3">#REF!</definedName>
    <definedName name="_4">#REF!</definedName>
    <definedName name="_kb1">#REF!</definedName>
    <definedName name="_kb2">#REF!</definedName>
    <definedName name="_kb3">#REF!</definedName>
    <definedName name="_Key1" hidden="1">#REF!</definedName>
    <definedName name="_kh1">#REF!</definedName>
    <definedName name="_kh2">#REF!</definedName>
    <definedName name="_kh3">#REF!</definedName>
    <definedName name="_lb1">#REF!</definedName>
    <definedName name="_lb2">#REF!</definedName>
    <definedName name="_lb3">#REF!</definedName>
    <definedName name="_lb4">#REF!</definedName>
    <definedName name="_lb5">#REF!</definedName>
    <definedName name="_lh1">#REF!</definedName>
    <definedName name="_lh2">#REF!</definedName>
    <definedName name="_lh3">#REF!</definedName>
    <definedName name="_lh4">#REF!</definedName>
    <definedName name="_lh5">#REF!</definedName>
    <definedName name="_MA1">[0]!_MA1</definedName>
    <definedName name="_Order1" hidden="1">0</definedName>
    <definedName name="_PP1">[1]管土積計算!#REF!</definedName>
    <definedName name="_PP2">[1]管土積計算!#REF!</definedName>
    <definedName name="_PP3">[1]管土積計算!#REF!</definedName>
    <definedName name="_PP4">[1]管土積計算!#REF!</definedName>
    <definedName name="_PP5">[1]管土積計算!#REF!</definedName>
    <definedName name="_rb1">#REF!</definedName>
    <definedName name="_rb2">#REF!</definedName>
    <definedName name="_rb3">#REF!</definedName>
    <definedName name="_rb4">#REF!</definedName>
    <definedName name="_rb5">#REF!</definedName>
    <definedName name="_RCP1450">#REF!+#REF!+#REF!+#REF!+#REF!+#REF!+#REF!+#REF!+#REF!+#REF!</definedName>
    <definedName name="_RCP1600">#REF!+#REF!+#REF!</definedName>
    <definedName name="_RCP4600">#REF!+#REF!+#REF!</definedName>
    <definedName name="_rh1">#REF!</definedName>
    <definedName name="_rh2">#REF!</definedName>
    <definedName name="_rh3">#REF!</definedName>
    <definedName name="_rh4">#REF!</definedName>
    <definedName name="_rh5">#REF!</definedName>
    <definedName name="_Sort" hidden="1">#REF!</definedName>
    <definedName name="_SRT2">#REF!</definedName>
    <definedName name="_SRT3">#REF!</definedName>
    <definedName name="_SUB1">#REF!</definedName>
    <definedName name="_SUB2">#REF!</definedName>
    <definedName name="_SUB3">#REF!</definedName>
    <definedName name="_SUB4">#REF!</definedName>
    <definedName name="_SUB5">#REF!</definedName>
    <definedName name="_SUB6">#REF!</definedName>
    <definedName name="_SUB6_1">#REF!</definedName>
    <definedName name="_yb1">#REF!</definedName>
    <definedName name="_yb2">#REF!</definedName>
    <definedName name="_yb3">#REF!</definedName>
    <definedName name="_yb4">#REF!</definedName>
    <definedName name="_yb5">#REF!</definedName>
    <definedName name="_yb6">#REF!</definedName>
    <definedName name="_yh1">#REF!</definedName>
    <definedName name="_yh2">#REF!</definedName>
    <definedName name="_yh3">#REF!</definedName>
    <definedName name="_yh4">#REF!</definedName>
    <definedName name="_yh5">#REF!</definedName>
    <definedName name="_yh6">#REF!</definedName>
    <definedName name="_yh7">#REF!</definedName>
    <definedName name="\\延長調書">#REF!</definedName>
    <definedName name="\\箇所調書">#REF!</definedName>
    <definedName name="\\工集計表">#REF!</definedName>
    <definedName name="\\面積調書">#REF!</definedName>
    <definedName name="\0">[1]管土積計算!#REF!</definedName>
    <definedName name="\1111">'[2]ｺﾝｸﾘ-ﾄＡ-1'!#REF!</definedName>
    <definedName name="\123">'[2]ｺﾝｸﾘ-ﾄＡ-1'!#REF!</definedName>
    <definedName name="\a">#REF!</definedName>
    <definedName name="\aa">'[2]ｺﾝｸﾘ-ﾄＡ-1'!#REF!</definedName>
    <definedName name="\B">[1]管土積計算!#REF!</definedName>
    <definedName name="\BS">[3]土積集計!#REF!</definedName>
    <definedName name="\c">#REF!</definedName>
    <definedName name="\d">#REF!</definedName>
    <definedName name="\e">#REF!</definedName>
    <definedName name="\f">#REF!</definedName>
    <definedName name="\i">#REF!</definedName>
    <definedName name="\k">#REF!</definedName>
    <definedName name="\m">#REF!</definedName>
    <definedName name="\N">[4]土工Ｐ1P!#REF!</definedName>
    <definedName name="\p">#REF!</definedName>
    <definedName name="\P1">[4]土工Ｐ1P!#REF!</definedName>
    <definedName name="\q">#REF!</definedName>
    <definedName name="\r">#REF!</definedName>
    <definedName name="\s">#REF!</definedName>
    <definedName name="\SS">[4]土工Ｐ1P!#REF!</definedName>
    <definedName name="\t">#REF!</definedName>
    <definedName name="\u">#REF!</definedName>
    <definedName name="\v">#REF!</definedName>
    <definedName name="\w">#REF!</definedName>
    <definedName name="\x">#REF!</definedName>
    <definedName name="\y">#REF!</definedName>
    <definedName name="\z">#REF!</definedName>
    <definedName name="\zzz">'[2]ｺﾝｸﾘ-ﾄＡ-1'!#REF!</definedName>
    <definedName name="①集計1">#REF!</definedName>
    <definedName name="①集計2">#REF!</definedName>
    <definedName name="①補正L1">#REF!</definedName>
    <definedName name="①補正L2">#REF!</definedName>
    <definedName name="①補正L3">#REF!</definedName>
    <definedName name="①補正R1">#REF!</definedName>
    <definedName name="①補正R2">#REF!</definedName>
    <definedName name="①補正R3">#REF!</definedName>
    <definedName name="②集計1">#REF!</definedName>
    <definedName name="②集計2">#REF!</definedName>
    <definedName name="②補正L1">#REF!</definedName>
    <definedName name="②補正L2">#REF!</definedName>
    <definedName name="②補正L3">#REF!</definedName>
    <definedName name="②補正R1">#REF!</definedName>
    <definedName name="②補正R2">#REF!</definedName>
    <definedName name="②補正R3">#REF!</definedName>
    <definedName name="③集計1">#REF!</definedName>
    <definedName name="③集計2">#REF!</definedName>
    <definedName name="③補正L1">#REF!</definedName>
    <definedName name="③補正L2">#REF!</definedName>
    <definedName name="③補正L3">#REF!</definedName>
    <definedName name="③補正R1">#REF!</definedName>
    <definedName name="③補正R2">#REF!</definedName>
    <definedName name="③補正R3">#REF!</definedName>
    <definedName name="④集計1">#REF!</definedName>
    <definedName name="④集計2">#REF!</definedName>
    <definedName name="④補正L1">#REF!</definedName>
    <definedName name="④補正L2">#REF!</definedName>
    <definedName name="④補正L3">#REF!</definedName>
    <definedName name="④補正R1">#REF!</definedName>
    <definedName name="④補正R2">#REF!</definedName>
    <definedName name="④補正R3">#REF!</definedName>
    <definedName name="A">#N/A</definedName>
    <definedName name="aa">'[2]ｺﾝｸﾘ-ﾄＡ-1'!#REF!</definedName>
    <definedName name="aaa">#REF!</definedName>
    <definedName name="Ai22I22">#REF!</definedName>
    <definedName name="B">'[5]単　価'!#REF!</definedName>
    <definedName name="bbb">#REF!</definedName>
    <definedName name="cb">[6]土積集計!#REF!</definedName>
    <definedName name="COUNT">#REF!</definedName>
    <definedName name="COUNT2">#REF!</definedName>
    <definedName name="DAT">#REF!</definedName>
    <definedName name="DOWN">#REF!</definedName>
    <definedName name="END">[1]管土積計算!#REF!</definedName>
    <definedName name="ERR">#REF!</definedName>
    <definedName name="ERR_1">#REF!</definedName>
    <definedName name="GOTO">#N/A</definedName>
    <definedName name="Ｈ">[7]当り数量調書!#REF!</definedName>
    <definedName name="H_HEADLINE">#REF!</definedName>
    <definedName name="HonkoClearCheck">[0]!HonkoClearCheck</definedName>
    <definedName name="HonkoJump">[0]!HonkoJump</definedName>
    <definedName name="HonkoPrint">[0]!HonkoPrint</definedName>
    <definedName name="HonkoSyosikiJump">[0]!HonkoSyosikiJump</definedName>
    <definedName name="HOZON">[1]管土積計算!#REF!</definedName>
    <definedName name="HP2P1450">#REF!+#REF!+#REF!+#REF!+#REF!+#REF!+#REF!+#REF!+#REF!+#REF!+#REF!+#REF!+#REF!+#REF!</definedName>
    <definedName name="INPUT">#REF!</definedName>
    <definedName name="K">[8]暗渠計算書!#REF!</definedName>
    <definedName name="kaa">#REF!</definedName>
    <definedName name="kab">#REF!</definedName>
    <definedName name="kaka">#REF!</definedName>
    <definedName name="kari">#REF!</definedName>
    <definedName name="katal">#REF!</definedName>
    <definedName name="katar">#REF!</definedName>
    <definedName name="kca">#REF!</definedName>
    <definedName name="kcb">#REF!</definedName>
    <definedName name="KeihiPrint">[0]!KeihiPrint</definedName>
    <definedName name="KEISAN_1">#REF!</definedName>
    <definedName name="KEISAN_2">#REF!</definedName>
    <definedName name="KEISAN_3">#REF!</definedName>
    <definedName name="KEISAN_4">#REF!</definedName>
    <definedName name="KEISAN_5">#REF!</definedName>
    <definedName name="KH">[8]暗渠計算書!#REF!</definedName>
    <definedName name="KI">[8]暗渠計算書!#REF!</definedName>
    <definedName name="kisol">#REF!</definedName>
    <definedName name="kisor">#REF!</definedName>
    <definedName name="kka">#REF!</definedName>
    <definedName name="kkb">#REF!</definedName>
    <definedName name="KOU">[9]供用日数!#REF!</definedName>
    <definedName name="kozo">#REF!</definedName>
    <definedName name="ksa">#REF!</definedName>
    <definedName name="ksb">#REF!</definedName>
    <definedName name="KSH">#REF!</definedName>
    <definedName name="KUID">#REF!</definedName>
    <definedName name="KUIL">#REF!</definedName>
    <definedName name="KUIN">#REF!</definedName>
    <definedName name="lb">#REF!</definedName>
    <definedName name="LEFT">#REF!</definedName>
    <definedName name="lh">#REF!</definedName>
    <definedName name="LIST">#REF!,#REF!,#REF!,#REF!,#REF!,#REF!,#REF!,#REF!,#REF!,#REF!</definedName>
    <definedName name="LIST_P1">#REF!</definedName>
    <definedName name="LIST_P2">#REF!</definedName>
    <definedName name="ll">#REF!</definedName>
    <definedName name="L延長">'[10]3.延長調書'!$B$62</definedName>
    <definedName name="M_RESET">#REF!</definedName>
    <definedName name="M_SET">#REF!</definedName>
    <definedName name="MACRO">#REF!</definedName>
    <definedName name="maen">#REF!</definedName>
    <definedName name="MAIN">#REF!</definedName>
    <definedName name="MAIN_MENU">#REF!</definedName>
    <definedName name="MAINMENU">#REF!</definedName>
    <definedName name="Mati1">[0]!Mati1</definedName>
    <definedName name="mejil">#REF!</definedName>
    <definedName name="mejir">#REF!</definedName>
    <definedName name="MENSEKI">[11]!MENSEKI</definedName>
    <definedName name="MENU">#N/A</definedName>
    <definedName name="mmm">#REF!</definedName>
    <definedName name="ｎ">#REF!</definedName>
    <definedName name="naral">#REF!</definedName>
    <definedName name="narar">#REF!</definedName>
    <definedName name="NIJIM">[11]!NIJIM</definedName>
    <definedName name="NO">#REF!</definedName>
    <definedName name="OI">[8]暗渠計算書!#REF!</definedName>
    <definedName name="OWARI">[1]管土積計算!#REF!</definedName>
    <definedName name="PP">[3]土積集計!#REF!</definedName>
    <definedName name="PR_COMM">#REF!</definedName>
    <definedName name="PRESV">#REF!</definedName>
    <definedName name="PRINT">#REF!</definedName>
    <definedName name="_xlnm.Print_Area" localSheetId="0">水理計算書!$A$1:$AK$609</definedName>
    <definedName name="_xlnm.Print_Area">#REF!</definedName>
    <definedName name="PRINT_MENU">#REF!</definedName>
    <definedName name="_xlnm.Print_Titles" localSheetId="0">水理計算書!$1:$7</definedName>
    <definedName name="PRT">[1]管土積計算!#REF!</definedName>
    <definedName name="PRTS">[3]土積集計!#REF!</definedName>
    <definedName name="rb">#REF!</definedName>
    <definedName name="RCP1D450">#REF!+#REF!+#REF!+#REF!+#REF!+#REF!+#REF!+#REF!+#REF!+#REF!+#REF!+#REF!+#REF!</definedName>
    <definedName name="RCP3D300">(#REF!+#REF!+#REF!+#REF!)</definedName>
    <definedName name="_xlnm.Recorder">#REF!</definedName>
    <definedName name="rh">#REF!</definedName>
    <definedName name="RIGHT">#REF!</definedName>
    <definedName name="ritu1">#REF!</definedName>
    <definedName name="ritu2">#REF!</definedName>
    <definedName name="R延長">'[10]3.延長調書'!$G$62</definedName>
    <definedName name="S">[8]暗渠計算書!#REF!</definedName>
    <definedName name="sann">#REF!</definedName>
    <definedName name="SH">[8]暗渠計算書!#REF!</definedName>
    <definedName name="SHA">#REF!</definedName>
    <definedName name="SI">[8]暗渠計算書!#REF!</definedName>
    <definedName name="SORT">#REF!</definedName>
    <definedName name="ｓｐ">#REF!</definedName>
    <definedName name="ss">[12]管土積計算!#REF!</definedName>
    <definedName name="SSH">#REF!</definedName>
    <definedName name="sss">[0]!sss</definedName>
    <definedName name="SUB2_1">#REF!</definedName>
    <definedName name="SUB3_1">#REF!</definedName>
    <definedName name="SUB3_2">#REF!</definedName>
    <definedName name="SUB4_1">#REF!</definedName>
    <definedName name="SUB5_1">#REF!</definedName>
    <definedName name="SUB6_1">#REF!</definedName>
    <definedName name="SyokiJump">[0]!SyokiJump</definedName>
    <definedName name="TankaJump">[0]!TankaJump</definedName>
    <definedName name="TankaPrint">[0]!TankaPrint</definedName>
    <definedName name="TOJIRU">[1]管土積計算!#REF!</definedName>
    <definedName name="TYPE">#REF!</definedName>
    <definedName name="UP">#REF!</definedName>
    <definedName name="usiron">#REF!</definedName>
    <definedName name="UtiwakeClearCheck">[0]!UtiwakeClearCheck</definedName>
    <definedName name="UtiwakeJump">[0]!UtiwakeJump</definedName>
    <definedName name="UtiwakePrint">[0]!UtiwakePrint</definedName>
    <definedName name="UtiwakeSyosikiJump">[0]!UtiwakeSyosikiJump</definedName>
    <definedName name="Ｕー\\\\延長">#REF!</definedName>
    <definedName name="Ｕー３００延長">#REF!</definedName>
    <definedName name="Ｕー３６０延長">#REF!</definedName>
    <definedName name="Ｕー４５０延長">#REF!</definedName>
    <definedName name="Ｕー６００延長">#REF!</definedName>
    <definedName name="uuu">#REF!</definedName>
    <definedName name="Ｖー\\\\延長">#REF!</definedName>
    <definedName name="vvv">#REF!</definedName>
    <definedName name="yb">#REF!</definedName>
    <definedName name="yh">#REF!</definedName>
    <definedName name="yousi">'[13]土積集計 (2)'!#REF!</definedName>
    <definedName name="yy">[14]当り数量調書!#REF!</definedName>
    <definedName name="yyy">#REF!</definedName>
    <definedName name="ｱﾝｶｰﾓﾙﾀﾙ">#REF!</definedName>
    <definedName name="ｱﾝｶｰ架設">#REF!</definedName>
    <definedName name="い">#REF!</definedName>
    <definedName name="おうだん">#REF!</definedName>
    <definedName name="ガードケーブル延長">#REF!</definedName>
    <definedName name="ガードレール延長">#REF!</definedName>
    <definedName name="かがみ">'[15]土積集計 (2)'!$A$1:$W$30</definedName>
    <definedName name="カット高">'[16]U-0-0-Ｂ入力'!$E$26</definedName>
    <definedName name="カット有無">'[16]U-0-0-Ｂ入力'!$E$23</definedName>
    <definedName name="ｸﾛｰﾗ単価">#REF!</definedName>
    <definedName name="コンク規格">'[16]U-0-0-Ｂ入力'!$L$9</definedName>
    <definedName name="ｺﾝ基設置">#REF!</definedName>
    <definedName name="さ">#REF!</definedName>
    <definedName name="し3_CHOICE1">[17]切盛土集計!#REF!</definedName>
    <definedName name="し3_CHOICE2">[17]切盛土集計!#REF!</definedName>
    <definedName name="し3_CHOICE3">[17]切盛土集計!#REF!</definedName>
    <definedName name="し3_HAN_I">[17]切盛土集計!#REF!</definedName>
    <definedName name="し3_JUMP001">[17]切盛土集計!#REF!</definedName>
    <definedName name="し3_JUMP002">[17]切盛土集計!#REF!</definedName>
    <definedName name="し3_JUMP003">[17]切盛土集計!#REF!</definedName>
    <definedName name="し3_JUMP004">[17]切盛土集計!#REF!</definedName>
    <definedName name="し3_JUMP005">[17]切盛土集計!#REF!</definedName>
    <definedName name="し3_JUMP006">[17]切盛土集計!#REF!</definedName>
    <definedName name="し3_JUMP007">[17]切盛土集計!#REF!</definedName>
    <definedName name="し3_JUMPS001">[17]切盛土集計!#REF!</definedName>
    <definedName name="し3_JUMPS002">[17]切盛土集計!#REF!</definedName>
    <definedName name="し3_JUMPS003">[17]切盛土集計!#REF!</definedName>
    <definedName name="し3_JUMPS004">[17]切盛土集計!#REF!</definedName>
    <definedName name="し3_JUMPS005">[17]切盛土集計!#REF!</definedName>
    <definedName name="し3_JUMPS006">[17]切盛土集計!#REF!</definedName>
    <definedName name="し3_JUMPS007">[17]切盛土集計!#REF!</definedName>
    <definedName name="し3_JUMPS008">[17]切盛土集計!#REF!</definedName>
    <definedName name="し3_JUMPS009">[17]切盛土集計!#REF!</definedName>
    <definedName name="し3_JUMPS010">[17]切盛土集計!#REF!</definedName>
    <definedName name="し3_PRINT1">[17]切盛土集計!#REF!</definedName>
    <definedName name="し3_PRINT2">[17]切盛土集計!#REF!</definedName>
    <definedName name="し3_PRINT3">[17]切盛土集計!#REF!</definedName>
    <definedName name="し3_RESET">[17]切盛土集計!#REF!</definedName>
    <definedName name="し3_その他用紙">[17]切盛土集計!#REF!</definedName>
    <definedName name="し3_ﾌﾟﾘｾｯﾄ値">[17]切盛土集計!#REF!</definedName>
    <definedName name="し3_ﾌﾟﾘﾝﾀ機種">[17]切盛土集計!#REF!</definedName>
    <definedName name="し3_ﾌﾟﾘﾝﾀ選択">[17]切盛土集計!#REF!</definedName>
    <definedName name="し3_プレビュー">[17]切盛土集計!#REF!</definedName>
    <definedName name="し3_ページ設定">[17]切盛土集計!#REF!</definedName>
    <definedName name="し3_印刷作業">[17]切盛土集計!#REF!</definedName>
    <definedName name="し3_印刷範囲">[17]切盛土集計!#REF!</definedName>
    <definedName name="し3_印刷様式">[17]切盛土集計!#REF!</definedName>
    <definedName name="し3_確定">[17]切盛土集計!#REF!</definedName>
    <definedName name="し3_割当">[17]切盛土集計!#REF!</definedName>
    <definedName name="し3_実行">[17]切盛土集計!#REF!</definedName>
    <definedName name="し3_範囲選択">[17]切盛土集計!#REF!</definedName>
    <definedName name="し3_余白確定">[17]切盛土集計!#REF!</definedName>
    <definedName name="し3_余白決定">[17]切盛土集計!#REF!</definedName>
    <definedName name="し3_余白詳細">[17]切盛土集計!#REF!</definedName>
    <definedName name="し3_余白登録">[17]切盛土集計!#REF!</definedName>
    <definedName name="し4_CHOICE1">#REF!</definedName>
    <definedName name="し4_CHOICE2">#REF!</definedName>
    <definedName name="し4_CHOICE3">#REF!</definedName>
    <definedName name="し4_HAN_I">#REF!</definedName>
    <definedName name="し4_JUMP001">#REF!</definedName>
    <definedName name="し4_JUMP002">#REF!</definedName>
    <definedName name="し4_JUMP003">#REF!</definedName>
    <definedName name="し4_JUMP004">#REF!</definedName>
    <definedName name="し4_JUMP005">#REF!</definedName>
    <definedName name="し4_JUMP006">#REF!</definedName>
    <definedName name="し4_JUMP007">#REF!</definedName>
    <definedName name="し4_JUMPS001">#REF!</definedName>
    <definedName name="し4_JUMPS002">#REF!</definedName>
    <definedName name="し4_JUMPS003">#REF!</definedName>
    <definedName name="し4_JUMPS004">#REF!</definedName>
    <definedName name="し4_JUMPS005">#REF!</definedName>
    <definedName name="し4_JUMPS006">#REF!</definedName>
    <definedName name="し4_JUMPS007">#REF!</definedName>
    <definedName name="し4_JUMPS008">#REF!</definedName>
    <definedName name="し4_JUMPS009">#REF!</definedName>
    <definedName name="し4_JUMPS010">#REF!</definedName>
    <definedName name="し4_PRINT1">#REF!</definedName>
    <definedName name="し4_PRINT2">#REF!</definedName>
    <definedName name="し4_PRINT3">#REF!</definedName>
    <definedName name="し4_RESET">#REF!</definedName>
    <definedName name="し4_その他用紙">#REF!</definedName>
    <definedName name="し4_ﾌﾟﾘｾｯﾄ値">#REF!</definedName>
    <definedName name="し4_ﾌﾟﾘﾝﾀ機種">#REF!</definedName>
    <definedName name="し4_ﾌﾟﾘﾝﾀ選択">#REF!</definedName>
    <definedName name="し4_プレビュー">#REF!</definedName>
    <definedName name="し4_ページ設定">#REF!</definedName>
    <definedName name="し4_印刷作業">#REF!</definedName>
    <definedName name="し4_印刷範囲">#REF!</definedName>
    <definedName name="し4_印刷様式">#REF!</definedName>
    <definedName name="し4_確定">#REF!</definedName>
    <definedName name="し4_割当">#REF!</definedName>
    <definedName name="し4_実行">#REF!</definedName>
    <definedName name="し4_範囲選択">#REF!</definedName>
    <definedName name="し4_余白確定">#REF!</definedName>
    <definedName name="し4_余白決定">#REF!</definedName>
    <definedName name="し4_余白詳細">#REF!</definedName>
    <definedName name="し4_余白登録">#REF!</definedName>
    <definedName name="し5_CHOICE1">#REF!</definedName>
    <definedName name="し5_CHOICE2">#REF!</definedName>
    <definedName name="し5_CHOICE3">#REF!</definedName>
    <definedName name="し5_HAN_I">#REF!</definedName>
    <definedName name="し5_JUMP001">#REF!</definedName>
    <definedName name="し5_JUMP002">#REF!</definedName>
    <definedName name="し5_JUMP003">#REF!</definedName>
    <definedName name="し5_JUMP004">#REF!</definedName>
    <definedName name="し5_JUMP005">#REF!</definedName>
    <definedName name="し5_JUMP006">#REF!</definedName>
    <definedName name="し5_JUMP007">#REF!</definedName>
    <definedName name="し5_JUMPS001">#REF!</definedName>
    <definedName name="し5_JUMPS002">#REF!</definedName>
    <definedName name="し5_JUMPS003">#REF!</definedName>
    <definedName name="し5_JUMPS004">#REF!</definedName>
    <definedName name="し5_JUMPS005">#REF!</definedName>
    <definedName name="し5_JUMPS006">#REF!</definedName>
    <definedName name="し5_JUMPS007">#REF!</definedName>
    <definedName name="し5_JUMPS008">#REF!</definedName>
    <definedName name="し5_JUMPS009">#REF!</definedName>
    <definedName name="し5_JUMPS010">#REF!</definedName>
    <definedName name="し5_PRINT1">#REF!</definedName>
    <definedName name="し5_PRINT2">#REF!</definedName>
    <definedName name="し5_PRINT3">#REF!</definedName>
    <definedName name="し5_RESET">#REF!</definedName>
    <definedName name="し5_その他用紙">#REF!</definedName>
    <definedName name="し5_ﾌﾟﾘｾｯﾄ値">#REF!</definedName>
    <definedName name="し5_ﾌﾟﾘﾝﾀ機種">#REF!</definedName>
    <definedName name="し5_ﾌﾟﾘﾝﾀ選択">#REF!</definedName>
    <definedName name="し5_プレビュー">#REF!</definedName>
    <definedName name="し5_ページ設定">#REF!</definedName>
    <definedName name="し5_印刷作業">#REF!</definedName>
    <definedName name="し5_印刷範囲">#REF!</definedName>
    <definedName name="し5_印刷様式">#REF!</definedName>
    <definedName name="し5_確定">#REF!</definedName>
    <definedName name="し5_割当">#REF!</definedName>
    <definedName name="し5_実行">#REF!</definedName>
    <definedName name="し5_範囲選択">#REF!</definedName>
    <definedName name="し5_余白確定">#REF!</definedName>
    <definedName name="し5_余白決定">#REF!</definedName>
    <definedName name="し5_余白詳細">#REF!</definedName>
    <definedName name="し5_余白登録">#REF!</definedName>
    <definedName name="ステップ仕上">#REF!</definedName>
    <definedName name="スノーポール箇所">#REF!</definedName>
    <definedName name="トラフ延長">'[18]土積集計 (2)'!$A$1:$W$30</definedName>
    <definedName name="ﾄﾙｼｱﾎﾞﾙﾄ">#REF!</definedName>
    <definedName name="ﾍﾞﾝﾄ基ｺﾝ">#REF!</definedName>
    <definedName name="ﾍﾞﾝﾄ基鉄">#REF!</definedName>
    <definedName name="ﾍﾞﾝﾄ設備">#REF!</definedName>
    <definedName name="ﾒﾆｭｰ">#REF!</definedName>
    <definedName name="ﾔｰﾄﾞﾍﾞﾝﾄ">#REF!</definedName>
    <definedName name="ﾔｰﾄﾞ足場">#REF!</definedName>
    <definedName name="ﾗﾌﾀ単価">#REF!</definedName>
    <definedName name="ﾛｰﾗｰ設備">#REF!</definedName>
    <definedName name="一般塗装">#REF!</definedName>
    <definedName name="雨水桝\\型箇所">#REF!</definedName>
    <definedName name="雨水桝ⅡＡ">'[19]4.路排排水'!$F$36</definedName>
    <definedName name="延長">#REF!</definedName>
    <definedName name="延長１">'[16]U-0-0-Ｂ入力'!$E$16</definedName>
    <definedName name="延長2">#REF!</definedName>
    <definedName name="延長3">[20]延長３!$A$1:$X$79</definedName>
    <definedName name="延長補正">'[21]新規Microsoft Excel ワークシート'!$A$1:$J$36</definedName>
    <definedName name="縁石延長">[22]表紙!$A$1:$J$36</definedName>
    <definedName name="縁石工集計">#REF!</definedName>
    <definedName name="縁石集計">[22]表紙!$A$1:$J$36</definedName>
    <definedName name="横取り">#REF!</definedName>
    <definedName name="横取工">#REF!</definedName>
    <definedName name="横断">[23]B!$A$1:$I$52</definedName>
    <definedName name="横断管箇所調書">#REF!</definedName>
    <definedName name="横断管集計">#REF!</definedName>
    <definedName name="横断管集計２">#REF!</definedName>
    <definedName name="横断函箇所調書">#REF!</definedName>
    <definedName name="横断函集計">#REF!</definedName>
    <definedName name="横断函集計２">#REF!</definedName>
    <definedName name="仮設工">#REF!</definedName>
    <definedName name="架台設備">#REF!</definedName>
    <definedName name="河川土工_1.掘削工">#REF!</definedName>
    <definedName name="河川土工_2.盛土工">#REF!</definedName>
    <definedName name="河川土工_3.盛土補強工">#REF!</definedName>
    <definedName name="河川土工_4.法面整形工">#REF!</definedName>
    <definedName name="河川土工_5.堤防天端工">#REF!</definedName>
    <definedName name="河川土工_6.残土処理工">#REF!</definedName>
    <definedName name="箇所">#REF!</definedName>
    <definedName name="各出張所">[24]基本項目!$K$31:$T$37</definedName>
    <definedName name="拡幅面積">#REF!</definedName>
    <definedName name="軌条桁">#REF!</definedName>
    <definedName name="軌条設備">#REF!</definedName>
    <definedName name="脚ボルト">#REF!</definedName>
    <definedName name="脚ﾎﾞﾙﾄ溶">#REF!</definedName>
    <definedName name="脚架設">#REF!</definedName>
    <definedName name="脚廻足場">#REF!</definedName>
    <definedName name="脚単足場">#REF!</definedName>
    <definedName name="脚溶接">#REF!</definedName>
    <definedName name="脚枠足場">#REF!</definedName>
    <definedName name="吸水切深">#REF!</definedName>
    <definedName name="距離">#REF!</definedName>
    <definedName name="曲線補正">[22]表紙!$A$1:$J$36</definedName>
    <definedName name="沓据付工">#REF!</definedName>
    <definedName name="継手塗装">#REF!</definedName>
    <definedName name="桁架設">#REF!</definedName>
    <definedName name="桁端切断">#REF!</definedName>
    <definedName name="兼用足場">#REF!</definedName>
    <definedName name="見積表紙">#REF!</definedName>
    <definedName name="個々">[25]表紙!$A$1:$J$36</definedName>
    <definedName name="後方桁">#REF!</definedName>
    <definedName name="護床工_2.根固めブロック工">[26]護床工!#REF!</definedName>
    <definedName name="工種ｺｰﾄﾞ範囲">#REF!</definedName>
    <definedName name="構造物撤去工_1.防護柵撤去工">[27]⑪構造物撤去工!#REF!</definedName>
    <definedName name="構造物撤去工_10.道路付属施設撤去工">[27]⑪構造物撤去工!#REF!</definedName>
    <definedName name="構造物撤去工_11.ブロック舗装撤去工">[27]⑪構造物撤去工!#REF!</definedName>
    <definedName name="構造物撤去工_12.縁石撤去工">[27]⑪構造物撤去工!#REF!</definedName>
    <definedName name="構造物撤去工_13.冬期安全施設撤去工">[27]⑪構造物撤去工!#REF!</definedName>
    <definedName name="構造物撤去工_14.骨材再生工">[27]⑪構造物撤去工!#REF!</definedName>
    <definedName name="構造物撤去工_15.運搬処理工">[27]⑪構造物撤去工!#REF!</definedName>
    <definedName name="構造物撤去工_2.標識撤去工">[27]⑪構造物撤去工!#REF!</definedName>
    <definedName name="構造物撤去工_3.道路付属物撤去工">[27]⑪構造物撤去工!#REF!</definedName>
    <definedName name="構造物撤去工_4.作業土工">[27]⑪構造物撤去工!#REF!</definedName>
    <definedName name="構造物撤去工_5.構造物取壊し工">[27]⑪構造物撤去工!#REF!</definedName>
    <definedName name="構造物撤去工_6.プレキャスト擁壁撤去工">[27]⑪構造物撤去工!#REF!</definedName>
    <definedName name="構造物撤去工_7.排水構造物撤去工">[27]⑪構造物撤去工!#REF!</definedName>
    <definedName name="構造物撤去工_8.かご撤去工">[27]⑪構造物撤去工!#REF!</definedName>
    <definedName name="構造物撤去工_9.落石雪害防止撤去工">[27]⑪構造物撤去工!#REF!</definedName>
    <definedName name="降下ｻﾝﾄﾞ">#REF!</definedName>
    <definedName name="降下工">#REF!</definedName>
    <definedName name="合計">#REF!</definedName>
    <definedName name="根巻中詰">#REF!</definedName>
    <definedName name="作工残土">#REF!</definedName>
    <definedName name="作工物残土">[28]側溝工!$K$1:$T$36</definedName>
    <definedName name="作工物残土集計">[29]側溝工!$U$1:$AD$36</definedName>
    <definedName name="施工地域ｺｰﾄﾞ範囲">#REF!</definedName>
    <definedName name="視線誘導標箇所">#REF!</definedName>
    <definedName name="斜率1">'[16]U-0-0-Ｂ入力'!$S$19</definedName>
    <definedName name="遮断式１０ｍ当り">#REF!</definedName>
    <definedName name="遮断式延長">#REF!</definedName>
    <definedName name="遮断式集計">#REF!</definedName>
    <definedName name="取付Ａ">#REF!</definedName>
    <definedName name="取付カ所盛土１">#REF!</definedName>
    <definedName name="取付カ所盛土２">#REF!</definedName>
    <definedName name="取付カ所盛土３">#REF!</definedName>
    <definedName name="取付カ所盛土４">#REF!</definedName>
    <definedName name="取付カ所切土１">#REF!</definedName>
    <definedName name="取付カ所切土２">#REF!</definedName>
    <definedName name="取付カ所切土３">#REF!</definedName>
    <definedName name="取付カ所切土４">#REF!</definedName>
    <definedName name="取付管φ150">'[19]4.路排排水'!$G$36</definedName>
    <definedName name="取付管φ450">'[19]5.集水桝'!$H$65</definedName>
    <definedName name="取付集計１">#REF!</definedName>
    <definedName name="取付集計２">#REF!</definedName>
    <definedName name="取付集計３">#REF!</definedName>
    <definedName name="取付集計表">#REF!</definedName>
    <definedName name="取付道路">[22]表紙!$A$1:$J$36</definedName>
    <definedName name="取付本線控除">#REF!</definedName>
    <definedName name="手延機">#REF!</definedName>
    <definedName name="樹脂ﾓﾙﾀﾙ">#REF!</definedName>
    <definedName name="集計">#REF!</definedName>
    <definedName name="集計表">#REF!</definedName>
    <definedName name="集水桝１カ所当り">#REF!</definedName>
    <definedName name="集水桝６５０箇所">#REF!</definedName>
    <definedName name="集水桝ⅠＡ">'[19]5.集水桝'!$F$65</definedName>
    <definedName name="集水桝Ⅰ型箇所">#REF!</definedName>
    <definedName name="集水桝Ⅱ型箇所">#REF!</definedName>
    <definedName name="集水桝箇所">#REF!</definedName>
    <definedName name="縦断管延長">#REF!</definedName>
    <definedName name="縦断管集計">#REF!</definedName>
    <definedName name="初期基">[0]!初期基</definedName>
    <definedName name="所要日数">#REF!</definedName>
    <definedName name="昇り桟橋">#REF!</definedName>
    <definedName name="新土積精算">[30]表紙!$A$1:$J$36</definedName>
    <definedName name="水深">#REF!</definedName>
    <definedName name="数量">#REF!</definedName>
    <definedName name="数量計算書">#REF!</definedName>
    <definedName name="数量集計">#REF!</definedName>
    <definedName name="盛替設備">#REF!</definedName>
    <definedName name="盛土平面部">#REF!</definedName>
    <definedName name="盛土法面仕上">#REF!</definedName>
    <definedName name="盛土法面部">#REF!</definedName>
    <definedName name="積算書">#REF!</definedName>
    <definedName name="積算表紙">#REF!</definedName>
    <definedName name="切土平面部">#REF!</definedName>
    <definedName name="切土法面仕上">#REF!</definedName>
    <definedName name="切土法面部">#REF!</definedName>
    <definedName name="折点０高">'[16]U-0-0-Ｂ入力'!$E$20</definedName>
    <definedName name="折点終高">'[16]U-0-0-Ｂ入力'!$E$21</definedName>
    <definedName name="川表裏">'[16]U-0-0-Ｂ入力'!$E$7</definedName>
    <definedName name="全長">'[16]U-0-0-Ｂ入力'!$E$17</definedName>
    <definedName name="全幅">'[16]U-0-0-Ｂ入力'!$E$11</definedName>
    <definedName name="送り出し">#REF!</definedName>
    <definedName name="側溝工集計表">#REF!</definedName>
    <definedName name="側壁厚">'[16]U-0-0-Ｂ入力'!$E$10</definedName>
    <definedName name="測点">[31]入力画面!#REF!</definedName>
    <definedName name="台車設備">#REF!</definedName>
    <definedName name="単ｸﾚｰﾝ費">#REF!</definedName>
    <definedName name="単価ｸﾚｰﾝ">#REF!</definedName>
    <definedName name="単価安全">#REF!</definedName>
    <definedName name="単価沓溶">#REF!</definedName>
    <definedName name="単価算出">#REF!</definedName>
    <definedName name="単価表">#REF!</definedName>
    <definedName name="単独足場">#REF!</definedName>
    <definedName name="地組工">#REF!</definedName>
    <definedName name="調書３">#REF!</definedName>
    <definedName name="調書４">#REF!</definedName>
    <definedName name="調書５">#REF!</definedName>
    <definedName name="調書６">#REF!</definedName>
    <definedName name="底版厚">'[16]U-0-0-Ｂ入力'!$E$13</definedName>
    <definedName name="土">'[15]土積集計 (2)'!$A$1:$W$30</definedName>
    <definedName name="土11">'[15]土積集計 (2)'!$A$31:$W$59</definedName>
    <definedName name="土工Ｐ2P">[4]土工Ｐ1P!#REF!</definedName>
    <definedName name="土積計算">#REF!</definedName>
    <definedName name="土積集積">#REF!</definedName>
    <definedName name="土積精算">#REF!</definedName>
    <definedName name="導水縁石延長">#REF!</definedName>
    <definedName name="内幅">'[16]U-0-0-Ｂ入力'!$E$9</definedName>
    <definedName name="内訳_1_25_井桁ブロック基礎_数量表">[32]内訳数量表1!#REF!</definedName>
    <definedName name="内訳_1_26_井桁ブロック_数量表">[32]内訳数量表1!#REF!</definedName>
    <definedName name="内訳_2_1_1__転落_横断_防止柵_数量表">[26]内訳数量表2!#REF!</definedName>
    <definedName name="内訳_2_1_2__転落_横断_防止柵_数量表">[26]内訳数量表2!#REF!</definedName>
    <definedName name="内訳書_0">#REF!</definedName>
    <definedName name="内訳書_1">#REF!</definedName>
    <definedName name="内訳書_2">#REF!</definedName>
    <definedName name="内訳書_3">#REF!</definedName>
    <definedName name="入力">[3]土積集計!#REF!</definedName>
    <definedName name="入力P1">[1]管土積計算!#REF!</definedName>
    <definedName name="入力P2">[1]管土積計算!#REF!</definedName>
    <definedName name="入力P3">[1]管土積計算!#REF!</definedName>
    <definedName name="入力P4">[1]管土積計算!#REF!</definedName>
    <definedName name="入力P5">[1]管土積計算!#REF!</definedName>
    <definedName name="入力表">#REF!</definedName>
    <definedName name="波返し">[28]側溝工!$U$1:$AD$36</definedName>
    <definedName name="発動発電機">#REF!</definedName>
    <definedName name="板張足場">#REF!</definedName>
    <definedName name="板張防護">#REF!</definedName>
    <definedName name="美装化経費範囲">#REF!</definedName>
    <definedName name="表題">#REF!</definedName>
    <definedName name="別紙_6_加重平均N値">#REF!</definedName>
    <definedName name="変化点">#REF!</definedName>
    <definedName name="変化点２">[33]縦断施工高!#REF!</definedName>
    <definedName name="変更数量">#REF!</definedName>
    <definedName name="舗装工基本部">#REF!</definedName>
    <definedName name="舗装工集計">#REF!</definedName>
    <definedName name="舗装工集計計算">#REF!</definedName>
    <definedName name="舗装止縁石延長">#REF!</definedName>
    <definedName name="歩車道縁石延長">#REF!</definedName>
    <definedName name="歩道工１ｍ当り１">#REF!</definedName>
    <definedName name="歩道工１ｍ当り２">#REF!</definedName>
    <definedName name="歩道工１ｍ当り３">#REF!</definedName>
    <definedName name="歩道工１ｍ当り４">#REF!</definedName>
    <definedName name="歩道工延長">#REF!</definedName>
    <definedName name="歩道工基本部１">#REF!</definedName>
    <definedName name="歩道工基本部２">#REF!</definedName>
    <definedName name="歩道工集計１">#REF!</definedName>
    <definedName name="歩道工集計２">#REF!</definedName>
    <definedName name="歩道工面積">#REF!</definedName>
    <definedName name="補正L1">#REF!</definedName>
    <definedName name="補正L2">#REF!</definedName>
    <definedName name="補正L3">#REF!</definedName>
    <definedName name="補正R1">#REF!</definedName>
    <definedName name="補正R2">#REF!</definedName>
    <definedName name="補正R3">#REF!</definedName>
    <definedName name="法">#REF!</definedName>
    <definedName name="法面集計">#REF!</definedName>
    <definedName name="法面縦排水箇所">#REF!</definedName>
    <definedName name="法面縦排水工集計">#REF!</definedName>
    <definedName name="法面縦排水集計">#REF!</definedName>
    <definedName name="法路盤">#REF!</definedName>
    <definedName name="防護柵集計">#REF!</definedName>
    <definedName name="本線3">[28]側溝工!$AE$37:$AK$72</definedName>
    <definedName name="埋戻">#REF!</definedName>
    <definedName name="面積">#REF!</definedName>
    <definedName name="面積Ｒ">#REF!</definedName>
    <definedName name="油圧ｸﾚｰﾝ">#REF!</definedName>
    <definedName name="油圧単価">#REF!</definedName>
    <definedName name="溶接隅肉">#REF!</definedName>
    <definedName name="路肩種">#REF!</definedName>
    <definedName name="路肩別延長Ｌ">#REF!</definedName>
    <definedName name="路肩別延長Ｒ">#REF!</definedName>
    <definedName name="路床排水１０ｍ当り">#REF!</definedName>
    <definedName name="路床排水工延長">#REF!</definedName>
    <definedName name="路床排水工縦横延長">#REF!</definedName>
    <definedName name="路床排水集計">#REF!</definedName>
    <definedName name="路盤工延長">#REF!</definedName>
    <definedName name="路盤工基本部">#REF!</definedName>
    <definedName name="路盤工集計">#REF!</definedName>
    <definedName name="路盤工集計計算">#REF!</definedName>
    <definedName name="労務単価">#REF!</definedName>
    <definedName name="六角ﾎﾞﾙﾄ">#REF!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6" i="1" l="1"/>
  <c r="Z54" i="1"/>
  <c r="Z52" i="1"/>
  <c r="Z50" i="1"/>
  <c r="AK609" i="1"/>
  <c r="AH609" i="1"/>
  <c r="AG609" i="1"/>
  <c r="AF609" i="1"/>
  <c r="AE609" i="1"/>
  <c r="AD609" i="1"/>
  <c r="AC609" i="1"/>
  <c r="U609" i="1"/>
  <c r="AK608" i="1"/>
  <c r="AJ608" i="1"/>
  <c r="AI608" i="1"/>
  <c r="AH608" i="1"/>
  <c r="AG608" i="1"/>
  <c r="AF608" i="1"/>
  <c r="AE608" i="1"/>
  <c r="AD608" i="1"/>
  <c r="AC608" i="1"/>
  <c r="AA608" i="1"/>
  <c r="Z608" i="1"/>
  <c r="U608" i="1"/>
  <c r="R608" i="1"/>
  <c r="Q608" i="1"/>
  <c r="P608" i="1"/>
  <c r="O608" i="1"/>
  <c r="N608" i="1"/>
  <c r="M608" i="1"/>
  <c r="L608" i="1"/>
  <c r="J608" i="1"/>
  <c r="I608" i="1"/>
  <c r="C608" i="1"/>
  <c r="AK607" i="1"/>
  <c r="AH607" i="1"/>
  <c r="AG607" i="1"/>
  <c r="AF607" i="1"/>
  <c r="AE607" i="1"/>
  <c r="AD607" i="1"/>
  <c r="AC607" i="1"/>
  <c r="U607" i="1"/>
  <c r="AK606" i="1"/>
  <c r="AJ606" i="1"/>
  <c r="AI606" i="1"/>
  <c r="AH606" i="1"/>
  <c r="AG606" i="1"/>
  <c r="AF606" i="1"/>
  <c r="AE606" i="1"/>
  <c r="AD606" i="1"/>
  <c r="AC606" i="1"/>
  <c r="AA606" i="1"/>
  <c r="Z606" i="1"/>
  <c r="U606" i="1"/>
  <c r="R606" i="1"/>
  <c r="Q606" i="1"/>
  <c r="P606" i="1"/>
  <c r="O606" i="1"/>
  <c r="N606" i="1"/>
  <c r="M606" i="1"/>
  <c r="L606" i="1"/>
  <c r="J606" i="1"/>
  <c r="I606" i="1"/>
  <c r="C606" i="1"/>
  <c r="AK605" i="1"/>
  <c r="AH605" i="1"/>
  <c r="AG605" i="1"/>
  <c r="AF605" i="1"/>
  <c r="AE605" i="1"/>
  <c r="AD605" i="1"/>
  <c r="AC605" i="1"/>
  <c r="U605" i="1"/>
  <c r="AK604" i="1"/>
  <c r="AJ604" i="1"/>
  <c r="AI604" i="1"/>
  <c r="AH604" i="1"/>
  <c r="AG604" i="1"/>
  <c r="AF604" i="1"/>
  <c r="AE604" i="1"/>
  <c r="AD604" i="1"/>
  <c r="AC604" i="1"/>
  <c r="AA604" i="1"/>
  <c r="Z604" i="1"/>
  <c r="U604" i="1"/>
  <c r="R604" i="1"/>
  <c r="Q604" i="1"/>
  <c r="P604" i="1"/>
  <c r="O604" i="1"/>
  <c r="N604" i="1"/>
  <c r="M604" i="1"/>
  <c r="L604" i="1"/>
  <c r="J604" i="1"/>
  <c r="I604" i="1"/>
  <c r="C604" i="1"/>
  <c r="AK603" i="1"/>
  <c r="AH603" i="1"/>
  <c r="AG603" i="1"/>
  <c r="AF603" i="1"/>
  <c r="AE603" i="1"/>
  <c r="AD603" i="1"/>
  <c r="AC603" i="1"/>
  <c r="U603" i="1"/>
  <c r="AK602" i="1"/>
  <c r="AJ602" i="1"/>
  <c r="AI602" i="1"/>
  <c r="AH602" i="1"/>
  <c r="AG602" i="1"/>
  <c r="AF602" i="1"/>
  <c r="AE602" i="1"/>
  <c r="AD602" i="1"/>
  <c r="AC602" i="1"/>
  <c r="AA602" i="1"/>
  <c r="Z602" i="1"/>
  <c r="U602" i="1"/>
  <c r="R602" i="1"/>
  <c r="Q602" i="1"/>
  <c r="P602" i="1"/>
  <c r="O602" i="1"/>
  <c r="N602" i="1"/>
  <c r="M602" i="1"/>
  <c r="L602" i="1"/>
  <c r="J602" i="1"/>
  <c r="I602" i="1"/>
  <c r="C602" i="1"/>
  <c r="AK601" i="1"/>
  <c r="AH601" i="1"/>
  <c r="AG601" i="1"/>
  <c r="AF601" i="1"/>
  <c r="AE601" i="1"/>
  <c r="AD601" i="1"/>
  <c r="AC601" i="1"/>
  <c r="U601" i="1"/>
  <c r="AK600" i="1"/>
  <c r="AJ600" i="1"/>
  <c r="AI600" i="1"/>
  <c r="AH600" i="1"/>
  <c r="AG600" i="1"/>
  <c r="AF600" i="1"/>
  <c r="AE600" i="1"/>
  <c r="AD600" i="1"/>
  <c r="AC600" i="1"/>
  <c r="AA600" i="1"/>
  <c r="Z600" i="1"/>
  <c r="U600" i="1"/>
  <c r="R600" i="1"/>
  <c r="Q600" i="1"/>
  <c r="P600" i="1"/>
  <c r="O600" i="1"/>
  <c r="N600" i="1"/>
  <c r="M600" i="1"/>
  <c r="L600" i="1"/>
  <c r="J600" i="1"/>
  <c r="I600" i="1"/>
  <c r="C600" i="1"/>
  <c r="AK599" i="1"/>
  <c r="AH599" i="1"/>
  <c r="AG599" i="1"/>
  <c r="AF599" i="1"/>
  <c r="AE599" i="1"/>
  <c r="AD599" i="1"/>
  <c r="AC599" i="1"/>
  <c r="U599" i="1"/>
  <c r="AK598" i="1"/>
  <c r="AJ598" i="1"/>
  <c r="AI598" i="1"/>
  <c r="AH598" i="1"/>
  <c r="AG598" i="1"/>
  <c r="AF598" i="1"/>
  <c r="AE598" i="1"/>
  <c r="AD598" i="1"/>
  <c r="AC598" i="1"/>
  <c r="AA598" i="1"/>
  <c r="Z598" i="1"/>
  <c r="U598" i="1"/>
  <c r="R598" i="1"/>
  <c r="Q598" i="1"/>
  <c r="P598" i="1"/>
  <c r="O598" i="1"/>
  <c r="N598" i="1"/>
  <c r="M598" i="1"/>
  <c r="L598" i="1"/>
  <c r="J598" i="1"/>
  <c r="I598" i="1"/>
  <c r="C598" i="1"/>
  <c r="AK597" i="1"/>
  <c r="AH597" i="1"/>
  <c r="AG597" i="1"/>
  <c r="AF597" i="1"/>
  <c r="AE597" i="1"/>
  <c r="AD597" i="1"/>
  <c r="AC597" i="1"/>
  <c r="U597" i="1"/>
  <c r="AK596" i="1"/>
  <c r="AJ596" i="1"/>
  <c r="AI596" i="1"/>
  <c r="AH596" i="1"/>
  <c r="AG596" i="1"/>
  <c r="AF596" i="1"/>
  <c r="AE596" i="1"/>
  <c r="AD596" i="1"/>
  <c r="AC596" i="1"/>
  <c r="AA596" i="1"/>
  <c r="Z596" i="1"/>
  <c r="U596" i="1"/>
  <c r="R596" i="1"/>
  <c r="Q596" i="1"/>
  <c r="P596" i="1"/>
  <c r="O596" i="1"/>
  <c r="N596" i="1"/>
  <c r="M596" i="1"/>
  <c r="L596" i="1"/>
  <c r="J596" i="1"/>
  <c r="I596" i="1"/>
  <c r="C596" i="1"/>
  <c r="AK595" i="1"/>
  <c r="AH595" i="1"/>
  <c r="AG595" i="1"/>
  <c r="AF595" i="1"/>
  <c r="AE595" i="1"/>
  <c r="AD595" i="1"/>
  <c r="AC595" i="1"/>
  <c r="U595" i="1"/>
  <c r="AK594" i="1"/>
  <c r="AJ594" i="1"/>
  <c r="AI594" i="1"/>
  <c r="AH594" i="1"/>
  <c r="AG594" i="1"/>
  <c r="AF594" i="1"/>
  <c r="AE594" i="1"/>
  <c r="AD594" i="1"/>
  <c r="AC594" i="1"/>
  <c r="AA594" i="1"/>
  <c r="Z594" i="1"/>
  <c r="U594" i="1"/>
  <c r="R594" i="1"/>
  <c r="Q594" i="1"/>
  <c r="P594" i="1"/>
  <c r="O594" i="1"/>
  <c r="N594" i="1"/>
  <c r="M594" i="1"/>
  <c r="L594" i="1"/>
  <c r="J594" i="1"/>
  <c r="I594" i="1"/>
  <c r="C594" i="1"/>
  <c r="AK593" i="1"/>
  <c r="AH593" i="1"/>
  <c r="AG593" i="1"/>
  <c r="AF593" i="1"/>
  <c r="AE593" i="1"/>
  <c r="AD593" i="1"/>
  <c r="AC593" i="1"/>
  <c r="U593" i="1"/>
  <c r="AK592" i="1"/>
  <c r="AJ592" i="1"/>
  <c r="AI592" i="1"/>
  <c r="AH592" i="1"/>
  <c r="AG592" i="1"/>
  <c r="AF592" i="1"/>
  <c r="AE592" i="1"/>
  <c r="AD592" i="1"/>
  <c r="AC592" i="1"/>
  <c r="AA592" i="1"/>
  <c r="Z592" i="1"/>
  <c r="U592" i="1"/>
  <c r="R592" i="1"/>
  <c r="Q592" i="1"/>
  <c r="P592" i="1"/>
  <c r="O592" i="1"/>
  <c r="N592" i="1"/>
  <c r="M592" i="1"/>
  <c r="L592" i="1"/>
  <c r="J592" i="1"/>
  <c r="I592" i="1"/>
  <c r="C592" i="1"/>
  <c r="AK591" i="1"/>
  <c r="AH591" i="1"/>
  <c r="AG591" i="1"/>
  <c r="AF591" i="1"/>
  <c r="AE591" i="1"/>
  <c r="AD591" i="1"/>
  <c r="AC591" i="1"/>
  <c r="U591" i="1"/>
  <c r="AK590" i="1"/>
  <c r="AJ590" i="1"/>
  <c r="AI590" i="1"/>
  <c r="AH590" i="1"/>
  <c r="AG590" i="1"/>
  <c r="AF590" i="1"/>
  <c r="AE590" i="1"/>
  <c r="AD590" i="1"/>
  <c r="AC590" i="1"/>
  <c r="AA590" i="1"/>
  <c r="Z590" i="1"/>
  <c r="U590" i="1"/>
  <c r="R590" i="1"/>
  <c r="Q590" i="1"/>
  <c r="P590" i="1"/>
  <c r="O590" i="1"/>
  <c r="N590" i="1"/>
  <c r="M590" i="1"/>
  <c r="L590" i="1"/>
  <c r="J590" i="1"/>
  <c r="I590" i="1"/>
  <c r="C590" i="1"/>
  <c r="AK589" i="1"/>
  <c r="AH589" i="1"/>
  <c r="AG589" i="1"/>
  <c r="AF589" i="1"/>
  <c r="AE589" i="1"/>
  <c r="AD589" i="1"/>
  <c r="AC589" i="1"/>
  <c r="U589" i="1"/>
  <c r="AK588" i="1"/>
  <c r="AJ588" i="1"/>
  <c r="AI588" i="1"/>
  <c r="AH588" i="1"/>
  <c r="AG588" i="1"/>
  <c r="AF588" i="1"/>
  <c r="AE588" i="1"/>
  <c r="AD588" i="1"/>
  <c r="AC588" i="1"/>
  <c r="AA588" i="1"/>
  <c r="Z588" i="1"/>
  <c r="U588" i="1"/>
  <c r="R588" i="1"/>
  <c r="Q588" i="1"/>
  <c r="P588" i="1"/>
  <c r="O588" i="1"/>
  <c r="N588" i="1"/>
  <c r="M588" i="1"/>
  <c r="L588" i="1"/>
  <c r="J588" i="1"/>
  <c r="I588" i="1"/>
  <c r="C588" i="1"/>
  <c r="AK587" i="1"/>
  <c r="AH587" i="1"/>
  <c r="AG587" i="1"/>
  <c r="AF587" i="1"/>
  <c r="AE587" i="1"/>
  <c r="AD587" i="1"/>
  <c r="AC587" i="1"/>
  <c r="U587" i="1"/>
  <c r="AK586" i="1"/>
  <c r="AJ586" i="1"/>
  <c r="AI586" i="1"/>
  <c r="AH586" i="1"/>
  <c r="AG586" i="1"/>
  <c r="AF586" i="1"/>
  <c r="AE586" i="1"/>
  <c r="AD586" i="1"/>
  <c r="AC586" i="1"/>
  <c r="AA586" i="1"/>
  <c r="Z586" i="1"/>
  <c r="U586" i="1"/>
  <c r="R586" i="1"/>
  <c r="Q586" i="1"/>
  <c r="P586" i="1"/>
  <c r="O586" i="1"/>
  <c r="N586" i="1"/>
  <c r="M586" i="1"/>
  <c r="L586" i="1"/>
  <c r="J586" i="1"/>
  <c r="I586" i="1"/>
  <c r="C586" i="1"/>
  <c r="AK585" i="1"/>
  <c r="AH585" i="1"/>
  <c r="AG585" i="1"/>
  <c r="AF585" i="1"/>
  <c r="AE585" i="1"/>
  <c r="AD585" i="1"/>
  <c r="AC585" i="1"/>
  <c r="U585" i="1"/>
  <c r="AK584" i="1"/>
  <c r="AJ584" i="1"/>
  <c r="AI584" i="1"/>
  <c r="AH584" i="1"/>
  <c r="AG584" i="1"/>
  <c r="AF584" i="1"/>
  <c r="AE584" i="1"/>
  <c r="AD584" i="1"/>
  <c r="AC584" i="1"/>
  <c r="AA584" i="1"/>
  <c r="Z584" i="1"/>
  <c r="U584" i="1"/>
  <c r="R584" i="1"/>
  <c r="Q584" i="1"/>
  <c r="P584" i="1"/>
  <c r="O584" i="1"/>
  <c r="N584" i="1"/>
  <c r="M584" i="1"/>
  <c r="L584" i="1"/>
  <c r="J584" i="1"/>
  <c r="I584" i="1"/>
  <c r="C584" i="1"/>
  <c r="AK583" i="1"/>
  <c r="AH583" i="1"/>
  <c r="AG583" i="1"/>
  <c r="AF583" i="1"/>
  <c r="AE583" i="1"/>
  <c r="AD583" i="1"/>
  <c r="AC583" i="1"/>
  <c r="U583" i="1"/>
  <c r="AK582" i="1"/>
  <c r="AJ582" i="1"/>
  <c r="AI582" i="1"/>
  <c r="AH582" i="1"/>
  <c r="AG582" i="1"/>
  <c r="AF582" i="1"/>
  <c r="AE582" i="1"/>
  <c r="AD582" i="1"/>
  <c r="AC582" i="1"/>
  <c r="AA582" i="1"/>
  <c r="Z582" i="1"/>
  <c r="U582" i="1"/>
  <c r="R582" i="1"/>
  <c r="Q582" i="1"/>
  <c r="P582" i="1"/>
  <c r="O582" i="1"/>
  <c r="N582" i="1"/>
  <c r="M582" i="1"/>
  <c r="L582" i="1"/>
  <c r="J582" i="1"/>
  <c r="I582" i="1"/>
  <c r="C582" i="1"/>
  <c r="AK581" i="1"/>
  <c r="AH581" i="1"/>
  <c r="AG581" i="1"/>
  <c r="AF581" i="1"/>
  <c r="AE581" i="1"/>
  <c r="AD581" i="1"/>
  <c r="AC581" i="1"/>
  <c r="U581" i="1"/>
  <c r="AK580" i="1"/>
  <c r="AJ580" i="1"/>
  <c r="AI580" i="1"/>
  <c r="AH580" i="1"/>
  <c r="AG580" i="1"/>
  <c r="AF580" i="1"/>
  <c r="AE580" i="1"/>
  <c r="AD580" i="1"/>
  <c r="AC580" i="1"/>
  <c r="AA580" i="1"/>
  <c r="Z580" i="1"/>
  <c r="U580" i="1"/>
  <c r="R580" i="1"/>
  <c r="Q580" i="1"/>
  <c r="P580" i="1"/>
  <c r="O580" i="1"/>
  <c r="N580" i="1"/>
  <c r="M580" i="1"/>
  <c r="L580" i="1"/>
  <c r="J580" i="1"/>
  <c r="I580" i="1"/>
  <c r="C580" i="1"/>
  <c r="AK579" i="1"/>
  <c r="AH579" i="1"/>
  <c r="AG579" i="1"/>
  <c r="AF579" i="1"/>
  <c r="AE579" i="1"/>
  <c r="AD579" i="1"/>
  <c r="AC579" i="1"/>
  <c r="U579" i="1"/>
  <c r="AK578" i="1"/>
  <c r="AJ578" i="1"/>
  <c r="AI578" i="1"/>
  <c r="AH578" i="1"/>
  <c r="AG578" i="1"/>
  <c r="AF578" i="1"/>
  <c r="AE578" i="1"/>
  <c r="AD578" i="1"/>
  <c r="AC578" i="1"/>
  <c r="AA578" i="1"/>
  <c r="Z578" i="1"/>
  <c r="U578" i="1"/>
  <c r="R578" i="1"/>
  <c r="Q578" i="1"/>
  <c r="P578" i="1"/>
  <c r="O578" i="1"/>
  <c r="N578" i="1"/>
  <c r="M578" i="1"/>
  <c r="L578" i="1"/>
  <c r="J578" i="1"/>
  <c r="I578" i="1"/>
  <c r="C578" i="1"/>
  <c r="AK577" i="1"/>
  <c r="AH577" i="1"/>
  <c r="AG577" i="1"/>
  <c r="AF577" i="1"/>
  <c r="AE577" i="1"/>
  <c r="AD577" i="1"/>
  <c r="AC577" i="1"/>
  <c r="U577" i="1"/>
  <c r="AK576" i="1"/>
  <c r="AJ576" i="1"/>
  <c r="AI576" i="1"/>
  <c r="AH576" i="1"/>
  <c r="AG576" i="1"/>
  <c r="AF576" i="1"/>
  <c r="AE576" i="1"/>
  <c r="AD576" i="1"/>
  <c r="AC576" i="1"/>
  <c r="AA576" i="1"/>
  <c r="Z576" i="1"/>
  <c r="U576" i="1"/>
  <c r="R576" i="1"/>
  <c r="Q576" i="1"/>
  <c r="P576" i="1"/>
  <c r="O576" i="1"/>
  <c r="N576" i="1"/>
  <c r="M576" i="1"/>
  <c r="L576" i="1"/>
  <c r="J576" i="1"/>
  <c r="I576" i="1"/>
  <c r="C576" i="1"/>
  <c r="AK575" i="1"/>
  <c r="AH575" i="1"/>
  <c r="AG575" i="1"/>
  <c r="AF575" i="1"/>
  <c r="AE575" i="1"/>
  <c r="AD575" i="1"/>
  <c r="AC575" i="1"/>
  <c r="U575" i="1"/>
  <c r="AK574" i="1"/>
  <c r="AJ574" i="1"/>
  <c r="AI574" i="1"/>
  <c r="AH574" i="1"/>
  <c r="AG574" i="1"/>
  <c r="AF574" i="1"/>
  <c r="AE574" i="1"/>
  <c r="AD574" i="1"/>
  <c r="AC574" i="1"/>
  <c r="AA574" i="1"/>
  <c r="Z574" i="1"/>
  <c r="U574" i="1"/>
  <c r="R574" i="1"/>
  <c r="Q574" i="1"/>
  <c r="P574" i="1"/>
  <c r="O574" i="1"/>
  <c r="N574" i="1"/>
  <c r="M574" i="1"/>
  <c r="L574" i="1"/>
  <c r="J574" i="1"/>
  <c r="I574" i="1"/>
  <c r="C574" i="1"/>
  <c r="AK573" i="1"/>
  <c r="AH573" i="1"/>
  <c r="AG573" i="1"/>
  <c r="AF573" i="1"/>
  <c r="AE573" i="1"/>
  <c r="AD573" i="1"/>
  <c r="AC573" i="1"/>
  <c r="U573" i="1"/>
  <c r="AK572" i="1"/>
  <c r="AJ572" i="1"/>
  <c r="AI572" i="1"/>
  <c r="AH572" i="1"/>
  <c r="AG572" i="1"/>
  <c r="AF572" i="1"/>
  <c r="AE572" i="1"/>
  <c r="AD572" i="1"/>
  <c r="AC572" i="1"/>
  <c r="AA572" i="1"/>
  <c r="Z572" i="1"/>
  <c r="U572" i="1"/>
  <c r="R572" i="1"/>
  <c r="Q572" i="1"/>
  <c r="P572" i="1"/>
  <c r="O572" i="1"/>
  <c r="N572" i="1"/>
  <c r="M572" i="1"/>
  <c r="L572" i="1"/>
  <c r="J572" i="1"/>
  <c r="I572" i="1"/>
  <c r="C572" i="1"/>
  <c r="AK571" i="1"/>
  <c r="AH571" i="1"/>
  <c r="AG571" i="1"/>
  <c r="AF571" i="1"/>
  <c r="AE571" i="1"/>
  <c r="AD571" i="1"/>
  <c r="AC571" i="1"/>
  <c r="U571" i="1"/>
  <c r="AK570" i="1"/>
  <c r="AJ570" i="1"/>
  <c r="AI570" i="1"/>
  <c r="AH570" i="1"/>
  <c r="AG570" i="1"/>
  <c r="AF570" i="1"/>
  <c r="AE570" i="1"/>
  <c r="AD570" i="1"/>
  <c r="AC570" i="1"/>
  <c r="AA570" i="1"/>
  <c r="Z570" i="1"/>
  <c r="U570" i="1"/>
  <c r="R570" i="1"/>
  <c r="Q570" i="1"/>
  <c r="P570" i="1"/>
  <c r="O570" i="1"/>
  <c r="N570" i="1"/>
  <c r="M570" i="1"/>
  <c r="L570" i="1"/>
  <c r="J570" i="1"/>
  <c r="I570" i="1"/>
  <c r="C570" i="1"/>
  <c r="AK569" i="1"/>
  <c r="AH569" i="1"/>
  <c r="AG569" i="1"/>
  <c r="AF569" i="1"/>
  <c r="AE569" i="1"/>
  <c r="AD569" i="1"/>
  <c r="AC569" i="1"/>
  <c r="U569" i="1"/>
  <c r="AK568" i="1"/>
  <c r="AJ568" i="1"/>
  <c r="AI568" i="1"/>
  <c r="AH568" i="1"/>
  <c r="AG568" i="1"/>
  <c r="AF568" i="1"/>
  <c r="AE568" i="1"/>
  <c r="AD568" i="1"/>
  <c r="AC568" i="1"/>
  <c r="AA568" i="1"/>
  <c r="Z568" i="1"/>
  <c r="U568" i="1"/>
  <c r="R568" i="1"/>
  <c r="Q568" i="1"/>
  <c r="P568" i="1"/>
  <c r="O568" i="1"/>
  <c r="N568" i="1"/>
  <c r="M568" i="1"/>
  <c r="L568" i="1"/>
  <c r="J568" i="1"/>
  <c r="I568" i="1"/>
  <c r="C568" i="1"/>
  <c r="AK567" i="1"/>
  <c r="AH567" i="1"/>
  <c r="AG567" i="1"/>
  <c r="AF567" i="1"/>
  <c r="AE567" i="1"/>
  <c r="AD567" i="1"/>
  <c r="AC567" i="1"/>
  <c r="U567" i="1"/>
  <c r="AK566" i="1"/>
  <c r="AJ566" i="1"/>
  <c r="AI566" i="1"/>
  <c r="AH566" i="1"/>
  <c r="AG566" i="1"/>
  <c r="AF566" i="1"/>
  <c r="AE566" i="1"/>
  <c r="AD566" i="1"/>
  <c r="AC566" i="1"/>
  <c r="AA566" i="1"/>
  <c r="Z566" i="1"/>
  <c r="U566" i="1"/>
  <c r="R566" i="1"/>
  <c r="Q566" i="1"/>
  <c r="P566" i="1"/>
  <c r="O566" i="1"/>
  <c r="N566" i="1"/>
  <c r="M566" i="1"/>
  <c r="L566" i="1"/>
  <c r="J566" i="1"/>
  <c r="I566" i="1"/>
  <c r="C566" i="1"/>
  <c r="AK565" i="1"/>
  <c r="AH565" i="1"/>
  <c r="AG565" i="1"/>
  <c r="AF565" i="1"/>
  <c r="AE565" i="1"/>
  <c r="AD565" i="1"/>
  <c r="AC565" i="1"/>
  <c r="U565" i="1"/>
  <c r="AK564" i="1"/>
  <c r="AJ564" i="1"/>
  <c r="AI564" i="1"/>
  <c r="AH564" i="1"/>
  <c r="AG564" i="1"/>
  <c r="AF564" i="1"/>
  <c r="AE564" i="1"/>
  <c r="AD564" i="1"/>
  <c r="AC564" i="1"/>
  <c r="AA564" i="1"/>
  <c r="Z564" i="1"/>
  <c r="U564" i="1"/>
  <c r="R564" i="1"/>
  <c r="Q564" i="1"/>
  <c r="P564" i="1"/>
  <c r="O564" i="1"/>
  <c r="N564" i="1"/>
  <c r="M564" i="1"/>
  <c r="L564" i="1"/>
  <c r="J564" i="1"/>
  <c r="I564" i="1"/>
  <c r="C564" i="1"/>
  <c r="AK563" i="1"/>
  <c r="AH563" i="1"/>
  <c r="AG563" i="1"/>
  <c r="AF563" i="1"/>
  <c r="AE563" i="1"/>
  <c r="AD563" i="1"/>
  <c r="AC563" i="1"/>
  <c r="U563" i="1"/>
  <c r="AK562" i="1"/>
  <c r="AJ562" i="1"/>
  <c r="AI562" i="1"/>
  <c r="AH562" i="1"/>
  <c r="AG562" i="1"/>
  <c r="AF562" i="1"/>
  <c r="AE562" i="1"/>
  <c r="AD562" i="1"/>
  <c r="AC562" i="1"/>
  <c r="AA562" i="1"/>
  <c r="Z562" i="1"/>
  <c r="U562" i="1"/>
  <c r="R562" i="1"/>
  <c r="Q562" i="1"/>
  <c r="P562" i="1"/>
  <c r="O562" i="1"/>
  <c r="N562" i="1"/>
  <c r="M562" i="1"/>
  <c r="L562" i="1"/>
  <c r="J562" i="1"/>
  <c r="I562" i="1"/>
  <c r="C562" i="1"/>
  <c r="AK561" i="1"/>
  <c r="AH561" i="1"/>
  <c r="AG561" i="1"/>
  <c r="AF561" i="1"/>
  <c r="AE561" i="1"/>
  <c r="AD561" i="1"/>
  <c r="AC561" i="1"/>
  <c r="U561" i="1"/>
  <c r="AK560" i="1"/>
  <c r="AJ560" i="1"/>
  <c r="AI560" i="1"/>
  <c r="AH560" i="1"/>
  <c r="AG560" i="1"/>
  <c r="AF560" i="1"/>
  <c r="AE560" i="1"/>
  <c r="AD560" i="1"/>
  <c r="AC560" i="1"/>
  <c r="AA560" i="1"/>
  <c r="Z560" i="1"/>
  <c r="U560" i="1"/>
  <c r="R560" i="1"/>
  <c r="Q560" i="1"/>
  <c r="P560" i="1"/>
  <c r="O560" i="1"/>
  <c r="N560" i="1"/>
  <c r="M560" i="1"/>
  <c r="L560" i="1"/>
  <c r="J560" i="1"/>
  <c r="I560" i="1"/>
  <c r="C560" i="1"/>
  <c r="AK559" i="1"/>
  <c r="AH559" i="1"/>
  <c r="AG559" i="1"/>
  <c r="AF559" i="1"/>
  <c r="AE559" i="1"/>
  <c r="AD559" i="1"/>
  <c r="AC559" i="1"/>
  <c r="U559" i="1"/>
  <c r="AK558" i="1"/>
  <c r="AJ558" i="1"/>
  <c r="AI558" i="1"/>
  <c r="AH558" i="1"/>
  <c r="AG558" i="1"/>
  <c r="AF558" i="1"/>
  <c r="AE558" i="1"/>
  <c r="AD558" i="1"/>
  <c r="AC558" i="1"/>
  <c r="AA558" i="1"/>
  <c r="Z558" i="1"/>
  <c r="U558" i="1"/>
  <c r="R558" i="1"/>
  <c r="Q558" i="1"/>
  <c r="P558" i="1"/>
  <c r="O558" i="1"/>
  <c r="N558" i="1"/>
  <c r="M558" i="1"/>
  <c r="L558" i="1"/>
  <c r="J558" i="1"/>
  <c r="I558" i="1"/>
  <c r="C558" i="1"/>
  <c r="AK557" i="1"/>
  <c r="AH557" i="1"/>
  <c r="AG557" i="1"/>
  <c r="AF557" i="1"/>
  <c r="AE557" i="1"/>
  <c r="AD557" i="1"/>
  <c r="AC557" i="1"/>
  <c r="U557" i="1"/>
  <c r="AK556" i="1"/>
  <c r="AJ556" i="1"/>
  <c r="AI556" i="1"/>
  <c r="AH556" i="1"/>
  <c r="AG556" i="1"/>
  <c r="AF556" i="1"/>
  <c r="AE556" i="1"/>
  <c r="AD556" i="1"/>
  <c r="AC556" i="1"/>
  <c r="AA556" i="1"/>
  <c r="Z556" i="1"/>
  <c r="U556" i="1"/>
  <c r="R556" i="1"/>
  <c r="Q556" i="1"/>
  <c r="P556" i="1"/>
  <c r="O556" i="1"/>
  <c r="N556" i="1"/>
  <c r="M556" i="1"/>
  <c r="L556" i="1"/>
  <c r="J556" i="1"/>
  <c r="I556" i="1"/>
  <c r="C556" i="1"/>
  <c r="AK555" i="1"/>
  <c r="AH555" i="1"/>
  <c r="AG555" i="1"/>
  <c r="AF555" i="1"/>
  <c r="AE555" i="1"/>
  <c r="AD555" i="1"/>
  <c r="AC555" i="1"/>
  <c r="U555" i="1"/>
  <c r="AK554" i="1"/>
  <c r="AJ554" i="1"/>
  <c r="AI554" i="1"/>
  <c r="AH554" i="1"/>
  <c r="AG554" i="1"/>
  <c r="AF554" i="1"/>
  <c r="AE554" i="1"/>
  <c r="AD554" i="1"/>
  <c r="AC554" i="1"/>
  <c r="AA554" i="1"/>
  <c r="Z554" i="1"/>
  <c r="U554" i="1"/>
  <c r="R554" i="1"/>
  <c r="Q554" i="1"/>
  <c r="P554" i="1"/>
  <c r="O554" i="1"/>
  <c r="N554" i="1"/>
  <c r="M554" i="1"/>
  <c r="L554" i="1"/>
  <c r="J554" i="1"/>
  <c r="I554" i="1"/>
  <c r="C554" i="1"/>
  <c r="AK553" i="1"/>
  <c r="AH553" i="1"/>
  <c r="AG553" i="1"/>
  <c r="AF553" i="1"/>
  <c r="AE553" i="1"/>
  <c r="AD553" i="1"/>
  <c r="AC553" i="1"/>
  <c r="U553" i="1"/>
  <c r="AK552" i="1"/>
  <c r="AJ552" i="1"/>
  <c r="AI552" i="1"/>
  <c r="AH552" i="1"/>
  <c r="AG552" i="1"/>
  <c r="AF552" i="1"/>
  <c r="AE552" i="1"/>
  <c r="AD552" i="1"/>
  <c r="AC552" i="1"/>
  <c r="AA552" i="1"/>
  <c r="Z552" i="1"/>
  <c r="U552" i="1"/>
  <c r="R552" i="1"/>
  <c r="Q552" i="1"/>
  <c r="P552" i="1"/>
  <c r="O552" i="1"/>
  <c r="N552" i="1"/>
  <c r="M552" i="1"/>
  <c r="L552" i="1"/>
  <c r="J552" i="1"/>
  <c r="I552" i="1"/>
  <c r="C552" i="1"/>
  <c r="AK551" i="1"/>
  <c r="AH551" i="1"/>
  <c r="AG551" i="1"/>
  <c r="AF551" i="1"/>
  <c r="AE551" i="1"/>
  <c r="AD551" i="1"/>
  <c r="AC551" i="1"/>
  <c r="U551" i="1"/>
  <c r="AK550" i="1"/>
  <c r="AJ550" i="1"/>
  <c r="AI550" i="1"/>
  <c r="AH550" i="1"/>
  <c r="AG550" i="1"/>
  <c r="AF550" i="1"/>
  <c r="AE550" i="1"/>
  <c r="AD550" i="1"/>
  <c r="AC550" i="1"/>
  <c r="AA550" i="1"/>
  <c r="Z550" i="1"/>
  <c r="U550" i="1"/>
  <c r="R550" i="1"/>
  <c r="Q550" i="1"/>
  <c r="P550" i="1"/>
  <c r="O550" i="1"/>
  <c r="N550" i="1"/>
  <c r="M550" i="1"/>
  <c r="L550" i="1"/>
  <c r="J550" i="1"/>
  <c r="I550" i="1"/>
  <c r="C550" i="1"/>
  <c r="AK549" i="1"/>
  <c r="AH549" i="1"/>
  <c r="AG549" i="1"/>
  <c r="AF549" i="1"/>
  <c r="AE549" i="1"/>
  <c r="AD549" i="1"/>
  <c r="AC549" i="1"/>
  <c r="U549" i="1"/>
  <c r="AK548" i="1"/>
  <c r="AJ548" i="1"/>
  <c r="AI548" i="1"/>
  <c r="AH548" i="1"/>
  <c r="AG548" i="1"/>
  <c r="AF548" i="1"/>
  <c r="AE548" i="1"/>
  <c r="AD548" i="1"/>
  <c r="AC548" i="1"/>
  <c r="AA548" i="1"/>
  <c r="Z548" i="1"/>
  <c r="U548" i="1"/>
  <c r="R548" i="1"/>
  <c r="Q548" i="1"/>
  <c r="P548" i="1"/>
  <c r="O548" i="1"/>
  <c r="N548" i="1"/>
  <c r="M548" i="1"/>
  <c r="L548" i="1"/>
  <c r="J548" i="1"/>
  <c r="I548" i="1"/>
  <c r="C548" i="1"/>
  <c r="AK547" i="1"/>
  <c r="AH547" i="1"/>
  <c r="AG547" i="1"/>
  <c r="AF547" i="1"/>
  <c r="AE547" i="1"/>
  <c r="AD547" i="1"/>
  <c r="AC547" i="1"/>
  <c r="U547" i="1"/>
  <c r="AK546" i="1"/>
  <c r="AJ546" i="1"/>
  <c r="AI546" i="1"/>
  <c r="AH546" i="1"/>
  <c r="AG546" i="1"/>
  <c r="AF546" i="1"/>
  <c r="AE546" i="1"/>
  <c r="AD546" i="1"/>
  <c r="AC546" i="1"/>
  <c r="AA546" i="1"/>
  <c r="Z546" i="1"/>
  <c r="U546" i="1"/>
  <c r="R546" i="1"/>
  <c r="Q546" i="1"/>
  <c r="P546" i="1"/>
  <c r="O546" i="1"/>
  <c r="N546" i="1"/>
  <c r="M546" i="1"/>
  <c r="L546" i="1"/>
  <c r="J546" i="1"/>
  <c r="I546" i="1"/>
  <c r="C546" i="1"/>
  <c r="AK545" i="1"/>
  <c r="AH545" i="1"/>
  <c r="AG545" i="1"/>
  <c r="AF545" i="1"/>
  <c r="AE545" i="1"/>
  <c r="AD545" i="1"/>
  <c r="AC545" i="1"/>
  <c r="U545" i="1"/>
  <c r="AK544" i="1"/>
  <c r="AJ544" i="1"/>
  <c r="AI544" i="1"/>
  <c r="AH544" i="1"/>
  <c r="AG544" i="1"/>
  <c r="AF544" i="1"/>
  <c r="AE544" i="1"/>
  <c r="AD544" i="1"/>
  <c r="AC544" i="1"/>
  <c r="AA544" i="1"/>
  <c r="Z544" i="1"/>
  <c r="U544" i="1"/>
  <c r="R544" i="1"/>
  <c r="Q544" i="1"/>
  <c r="P544" i="1"/>
  <c r="O544" i="1"/>
  <c r="N544" i="1"/>
  <c r="M544" i="1"/>
  <c r="L544" i="1"/>
  <c r="J544" i="1"/>
  <c r="I544" i="1"/>
  <c r="C544" i="1"/>
  <c r="AK543" i="1"/>
  <c r="AH543" i="1"/>
  <c r="AG543" i="1"/>
  <c r="AF543" i="1"/>
  <c r="AE543" i="1"/>
  <c r="AD543" i="1"/>
  <c r="AC543" i="1"/>
  <c r="U543" i="1"/>
  <c r="AK542" i="1"/>
  <c r="AJ542" i="1"/>
  <c r="AI542" i="1"/>
  <c r="AH542" i="1"/>
  <c r="AG542" i="1"/>
  <c r="AF542" i="1"/>
  <c r="AE542" i="1"/>
  <c r="AD542" i="1"/>
  <c r="AC542" i="1"/>
  <c r="AA542" i="1"/>
  <c r="Z542" i="1"/>
  <c r="U542" i="1"/>
  <c r="R542" i="1"/>
  <c r="Q542" i="1"/>
  <c r="P542" i="1"/>
  <c r="O542" i="1"/>
  <c r="N542" i="1"/>
  <c r="M542" i="1"/>
  <c r="L542" i="1"/>
  <c r="J542" i="1"/>
  <c r="I542" i="1"/>
  <c r="C542" i="1"/>
  <c r="AK541" i="1"/>
  <c r="AH541" i="1"/>
  <c r="AG541" i="1"/>
  <c r="AF541" i="1"/>
  <c r="AE541" i="1"/>
  <c r="AD541" i="1"/>
  <c r="AC541" i="1"/>
  <c r="U541" i="1"/>
  <c r="AK540" i="1"/>
  <c r="AJ540" i="1"/>
  <c r="AI540" i="1"/>
  <c r="AH540" i="1"/>
  <c r="AG540" i="1"/>
  <c r="AF540" i="1"/>
  <c r="AE540" i="1"/>
  <c r="AD540" i="1"/>
  <c r="AC540" i="1"/>
  <c r="AA540" i="1"/>
  <c r="Z540" i="1"/>
  <c r="U540" i="1"/>
  <c r="R540" i="1"/>
  <c r="Q540" i="1"/>
  <c r="P540" i="1"/>
  <c r="O540" i="1"/>
  <c r="N540" i="1"/>
  <c r="M540" i="1"/>
  <c r="L540" i="1"/>
  <c r="J540" i="1"/>
  <c r="I540" i="1"/>
  <c r="C540" i="1"/>
  <c r="AK539" i="1"/>
  <c r="AH539" i="1"/>
  <c r="AG539" i="1"/>
  <c r="AF539" i="1"/>
  <c r="AE539" i="1"/>
  <c r="AD539" i="1"/>
  <c r="AC539" i="1"/>
  <c r="U539" i="1"/>
  <c r="AK538" i="1"/>
  <c r="AJ538" i="1"/>
  <c r="AI538" i="1"/>
  <c r="AH538" i="1"/>
  <c r="AG538" i="1"/>
  <c r="AF538" i="1"/>
  <c r="AE538" i="1"/>
  <c r="AD538" i="1"/>
  <c r="AC538" i="1"/>
  <c r="AA538" i="1"/>
  <c r="Z538" i="1"/>
  <c r="U538" i="1"/>
  <c r="R538" i="1"/>
  <c r="Q538" i="1"/>
  <c r="P538" i="1"/>
  <c r="O538" i="1"/>
  <c r="N538" i="1"/>
  <c r="M538" i="1"/>
  <c r="L538" i="1"/>
  <c r="J538" i="1"/>
  <c r="I538" i="1"/>
  <c r="C538" i="1"/>
  <c r="AK537" i="1"/>
  <c r="AH537" i="1"/>
  <c r="AG537" i="1"/>
  <c r="AF537" i="1"/>
  <c r="AE537" i="1"/>
  <c r="AD537" i="1"/>
  <c r="AC537" i="1"/>
  <c r="U537" i="1"/>
  <c r="AK536" i="1"/>
  <c r="AJ536" i="1"/>
  <c r="AI536" i="1"/>
  <c r="AH536" i="1"/>
  <c r="AG536" i="1"/>
  <c r="AF536" i="1"/>
  <c r="AE536" i="1"/>
  <c r="AD536" i="1"/>
  <c r="AC536" i="1"/>
  <c r="AA536" i="1"/>
  <c r="Z536" i="1"/>
  <c r="U536" i="1"/>
  <c r="R536" i="1"/>
  <c r="Q536" i="1"/>
  <c r="P536" i="1"/>
  <c r="O536" i="1"/>
  <c r="N536" i="1"/>
  <c r="M536" i="1"/>
  <c r="L536" i="1"/>
  <c r="J536" i="1"/>
  <c r="I536" i="1"/>
  <c r="C536" i="1"/>
  <c r="AK535" i="1"/>
  <c r="AH535" i="1"/>
  <c r="AG535" i="1"/>
  <c r="AF535" i="1"/>
  <c r="AE535" i="1"/>
  <c r="AD535" i="1"/>
  <c r="AC535" i="1"/>
  <c r="U535" i="1"/>
  <c r="AK534" i="1"/>
  <c r="AJ534" i="1"/>
  <c r="AI534" i="1"/>
  <c r="AH534" i="1"/>
  <c r="AG534" i="1"/>
  <c r="AF534" i="1"/>
  <c r="AE534" i="1"/>
  <c r="AD534" i="1"/>
  <c r="AC534" i="1"/>
  <c r="AA534" i="1"/>
  <c r="Z534" i="1"/>
  <c r="U534" i="1"/>
  <c r="R534" i="1"/>
  <c r="Q534" i="1"/>
  <c r="P534" i="1"/>
  <c r="O534" i="1"/>
  <c r="N534" i="1"/>
  <c r="M534" i="1"/>
  <c r="L534" i="1"/>
  <c r="J534" i="1"/>
  <c r="I534" i="1"/>
  <c r="C534" i="1"/>
  <c r="AK533" i="1"/>
  <c r="AH533" i="1"/>
  <c r="AG533" i="1"/>
  <c r="AF533" i="1"/>
  <c r="AE533" i="1"/>
  <c r="AD533" i="1"/>
  <c r="AC533" i="1"/>
  <c r="U533" i="1"/>
  <c r="AK532" i="1"/>
  <c r="AJ532" i="1"/>
  <c r="AI532" i="1"/>
  <c r="AH532" i="1"/>
  <c r="AG532" i="1"/>
  <c r="AF532" i="1"/>
  <c r="AE532" i="1"/>
  <c r="AD532" i="1"/>
  <c r="AC532" i="1"/>
  <c r="AA532" i="1"/>
  <c r="Z532" i="1"/>
  <c r="U532" i="1"/>
  <c r="R532" i="1"/>
  <c r="Q532" i="1"/>
  <c r="P532" i="1"/>
  <c r="O532" i="1"/>
  <c r="N532" i="1"/>
  <c r="M532" i="1"/>
  <c r="L532" i="1"/>
  <c r="J532" i="1"/>
  <c r="I532" i="1"/>
  <c r="C532" i="1"/>
  <c r="AK531" i="1"/>
  <c r="AH531" i="1"/>
  <c r="AG531" i="1"/>
  <c r="AF531" i="1"/>
  <c r="AE531" i="1"/>
  <c r="AD531" i="1"/>
  <c r="AC531" i="1"/>
  <c r="U531" i="1"/>
  <c r="AK530" i="1"/>
  <c r="AJ530" i="1"/>
  <c r="AI530" i="1"/>
  <c r="AH530" i="1"/>
  <c r="AG530" i="1"/>
  <c r="AF530" i="1"/>
  <c r="AE530" i="1"/>
  <c r="AD530" i="1"/>
  <c r="AC530" i="1"/>
  <c r="AA530" i="1"/>
  <c r="Z530" i="1"/>
  <c r="U530" i="1"/>
  <c r="R530" i="1"/>
  <c r="Q530" i="1"/>
  <c r="P530" i="1"/>
  <c r="O530" i="1"/>
  <c r="N530" i="1"/>
  <c r="M530" i="1"/>
  <c r="L530" i="1"/>
  <c r="J530" i="1"/>
  <c r="I530" i="1"/>
  <c r="C530" i="1"/>
  <c r="AK529" i="1"/>
  <c r="AH529" i="1"/>
  <c r="AG529" i="1"/>
  <c r="AF529" i="1"/>
  <c r="AE529" i="1"/>
  <c r="AD529" i="1"/>
  <c r="AC529" i="1"/>
  <c r="U529" i="1"/>
  <c r="AK528" i="1"/>
  <c r="AJ528" i="1"/>
  <c r="AI528" i="1"/>
  <c r="AH528" i="1"/>
  <c r="AG528" i="1"/>
  <c r="AF528" i="1"/>
  <c r="AE528" i="1"/>
  <c r="AD528" i="1"/>
  <c r="AC528" i="1"/>
  <c r="AA528" i="1"/>
  <c r="Z528" i="1"/>
  <c r="U528" i="1"/>
  <c r="R528" i="1"/>
  <c r="Q528" i="1"/>
  <c r="P528" i="1"/>
  <c r="O528" i="1"/>
  <c r="N528" i="1"/>
  <c r="M528" i="1"/>
  <c r="L528" i="1"/>
  <c r="J528" i="1"/>
  <c r="I528" i="1"/>
  <c r="C528" i="1"/>
  <c r="AK527" i="1"/>
  <c r="AH527" i="1"/>
  <c r="AG527" i="1"/>
  <c r="AF527" i="1"/>
  <c r="AE527" i="1"/>
  <c r="AD527" i="1"/>
  <c r="AC527" i="1"/>
  <c r="U527" i="1"/>
  <c r="AK526" i="1"/>
  <c r="AJ526" i="1"/>
  <c r="AI526" i="1"/>
  <c r="AH526" i="1"/>
  <c r="AG526" i="1"/>
  <c r="AF526" i="1"/>
  <c r="AE526" i="1"/>
  <c r="AD526" i="1"/>
  <c r="AC526" i="1"/>
  <c r="AA526" i="1"/>
  <c r="Z526" i="1"/>
  <c r="U526" i="1"/>
  <c r="R526" i="1"/>
  <c r="Q526" i="1"/>
  <c r="P526" i="1"/>
  <c r="O526" i="1"/>
  <c r="N526" i="1"/>
  <c r="M526" i="1"/>
  <c r="L526" i="1"/>
  <c r="J526" i="1"/>
  <c r="I526" i="1"/>
  <c r="C526" i="1"/>
  <c r="AK525" i="1"/>
  <c r="AH525" i="1"/>
  <c r="AG525" i="1"/>
  <c r="AF525" i="1"/>
  <c r="AE525" i="1"/>
  <c r="AD525" i="1"/>
  <c r="AC525" i="1"/>
  <c r="U525" i="1"/>
  <c r="AK524" i="1"/>
  <c r="AJ524" i="1"/>
  <c r="AI524" i="1"/>
  <c r="AH524" i="1"/>
  <c r="AG524" i="1"/>
  <c r="AF524" i="1"/>
  <c r="AE524" i="1"/>
  <c r="AD524" i="1"/>
  <c r="AC524" i="1"/>
  <c r="AA524" i="1"/>
  <c r="Z524" i="1"/>
  <c r="U524" i="1"/>
  <c r="R524" i="1"/>
  <c r="Q524" i="1"/>
  <c r="P524" i="1"/>
  <c r="O524" i="1"/>
  <c r="N524" i="1"/>
  <c r="M524" i="1"/>
  <c r="L524" i="1"/>
  <c r="J524" i="1"/>
  <c r="I524" i="1"/>
  <c r="C524" i="1"/>
  <c r="AK523" i="1"/>
  <c r="AH523" i="1"/>
  <c r="AG523" i="1"/>
  <c r="AF523" i="1"/>
  <c r="AE523" i="1"/>
  <c r="AD523" i="1"/>
  <c r="AC523" i="1"/>
  <c r="U523" i="1"/>
  <c r="AK522" i="1"/>
  <c r="AJ522" i="1"/>
  <c r="AI522" i="1"/>
  <c r="AH522" i="1"/>
  <c r="AG522" i="1"/>
  <c r="AF522" i="1"/>
  <c r="AE522" i="1"/>
  <c r="AD522" i="1"/>
  <c r="AC522" i="1"/>
  <c r="AA522" i="1"/>
  <c r="Z522" i="1"/>
  <c r="U522" i="1"/>
  <c r="R522" i="1"/>
  <c r="Q522" i="1"/>
  <c r="P522" i="1"/>
  <c r="O522" i="1"/>
  <c r="N522" i="1"/>
  <c r="M522" i="1"/>
  <c r="L522" i="1"/>
  <c r="J522" i="1"/>
  <c r="I522" i="1"/>
  <c r="C522" i="1"/>
  <c r="AK521" i="1"/>
  <c r="AH521" i="1"/>
  <c r="AG521" i="1"/>
  <c r="AF521" i="1"/>
  <c r="AE521" i="1"/>
  <c r="AD521" i="1"/>
  <c r="AC521" i="1"/>
  <c r="U521" i="1"/>
  <c r="AK520" i="1"/>
  <c r="AJ520" i="1"/>
  <c r="AI520" i="1"/>
  <c r="AH520" i="1"/>
  <c r="AG520" i="1"/>
  <c r="AF520" i="1"/>
  <c r="AE520" i="1"/>
  <c r="AD520" i="1"/>
  <c r="AC520" i="1"/>
  <c r="AA520" i="1"/>
  <c r="Z520" i="1"/>
  <c r="U520" i="1"/>
  <c r="R520" i="1"/>
  <c r="Q520" i="1"/>
  <c r="P520" i="1"/>
  <c r="O520" i="1"/>
  <c r="N520" i="1"/>
  <c r="M520" i="1"/>
  <c r="L520" i="1"/>
  <c r="J520" i="1"/>
  <c r="I520" i="1"/>
  <c r="C520" i="1"/>
  <c r="AK519" i="1"/>
  <c r="AH519" i="1"/>
  <c r="AG519" i="1"/>
  <c r="AF519" i="1"/>
  <c r="AE519" i="1"/>
  <c r="AD519" i="1"/>
  <c r="AC519" i="1"/>
  <c r="U519" i="1"/>
  <c r="AK518" i="1"/>
  <c r="AJ518" i="1"/>
  <c r="AI518" i="1"/>
  <c r="AH518" i="1"/>
  <c r="AG518" i="1"/>
  <c r="AF518" i="1"/>
  <c r="AE518" i="1"/>
  <c r="AD518" i="1"/>
  <c r="AC518" i="1"/>
  <c r="AA518" i="1"/>
  <c r="Z518" i="1"/>
  <c r="U518" i="1"/>
  <c r="R518" i="1"/>
  <c r="Q518" i="1"/>
  <c r="P518" i="1"/>
  <c r="O518" i="1"/>
  <c r="N518" i="1"/>
  <c r="M518" i="1"/>
  <c r="L518" i="1"/>
  <c r="J518" i="1"/>
  <c r="I518" i="1"/>
  <c r="C518" i="1"/>
  <c r="AK517" i="1"/>
  <c r="AH517" i="1"/>
  <c r="AG517" i="1"/>
  <c r="AF517" i="1"/>
  <c r="AE517" i="1"/>
  <c r="AD517" i="1"/>
  <c r="AC517" i="1"/>
  <c r="U517" i="1"/>
  <c r="AK516" i="1"/>
  <c r="AJ516" i="1"/>
  <c r="AI516" i="1"/>
  <c r="AH516" i="1"/>
  <c r="AG516" i="1"/>
  <c r="AF516" i="1"/>
  <c r="AE516" i="1"/>
  <c r="AD516" i="1"/>
  <c r="AC516" i="1"/>
  <c r="AA516" i="1"/>
  <c r="Z516" i="1"/>
  <c r="U516" i="1"/>
  <c r="R516" i="1"/>
  <c r="Q516" i="1"/>
  <c r="P516" i="1"/>
  <c r="O516" i="1"/>
  <c r="N516" i="1"/>
  <c r="M516" i="1"/>
  <c r="L516" i="1"/>
  <c r="J516" i="1"/>
  <c r="I516" i="1"/>
  <c r="C516" i="1"/>
  <c r="AK515" i="1"/>
  <c r="AH515" i="1"/>
  <c r="AG515" i="1"/>
  <c r="AF515" i="1"/>
  <c r="AE515" i="1"/>
  <c r="AD515" i="1"/>
  <c r="AC515" i="1"/>
  <c r="U515" i="1"/>
  <c r="AK514" i="1"/>
  <c r="AJ514" i="1"/>
  <c r="AI514" i="1"/>
  <c r="AH514" i="1"/>
  <c r="AG514" i="1"/>
  <c r="AF514" i="1"/>
  <c r="AE514" i="1"/>
  <c r="AD514" i="1"/>
  <c r="AC514" i="1"/>
  <c r="AA514" i="1"/>
  <c r="Z514" i="1"/>
  <c r="U514" i="1"/>
  <c r="R514" i="1"/>
  <c r="Q514" i="1"/>
  <c r="P514" i="1"/>
  <c r="O514" i="1"/>
  <c r="N514" i="1"/>
  <c r="M514" i="1"/>
  <c r="L514" i="1"/>
  <c r="J514" i="1"/>
  <c r="I514" i="1"/>
  <c r="C514" i="1"/>
  <c r="AK513" i="1"/>
  <c r="AH513" i="1"/>
  <c r="AG513" i="1"/>
  <c r="AF513" i="1"/>
  <c r="AE513" i="1"/>
  <c r="AD513" i="1"/>
  <c r="AC513" i="1"/>
  <c r="U513" i="1"/>
  <c r="AK512" i="1"/>
  <c r="AJ512" i="1"/>
  <c r="AI512" i="1"/>
  <c r="AH512" i="1"/>
  <c r="AG512" i="1"/>
  <c r="AF512" i="1"/>
  <c r="AE512" i="1"/>
  <c r="AD512" i="1"/>
  <c r="AC512" i="1"/>
  <c r="AA512" i="1"/>
  <c r="Z512" i="1"/>
  <c r="U512" i="1"/>
  <c r="R512" i="1"/>
  <c r="Q512" i="1"/>
  <c r="P512" i="1"/>
  <c r="O512" i="1"/>
  <c r="N512" i="1"/>
  <c r="M512" i="1"/>
  <c r="L512" i="1"/>
  <c r="J512" i="1"/>
  <c r="I512" i="1"/>
  <c r="C512" i="1"/>
  <c r="AK511" i="1"/>
  <c r="AH511" i="1"/>
  <c r="AG511" i="1"/>
  <c r="AF511" i="1"/>
  <c r="AE511" i="1"/>
  <c r="AD511" i="1"/>
  <c r="AC511" i="1"/>
  <c r="U511" i="1"/>
  <c r="AK510" i="1"/>
  <c r="AJ510" i="1"/>
  <c r="AI510" i="1"/>
  <c r="AH510" i="1"/>
  <c r="AG510" i="1"/>
  <c r="AF510" i="1"/>
  <c r="AE510" i="1"/>
  <c r="AD510" i="1"/>
  <c r="AC510" i="1"/>
  <c r="AA510" i="1"/>
  <c r="Z510" i="1"/>
  <c r="U510" i="1"/>
  <c r="R510" i="1"/>
  <c r="Q510" i="1"/>
  <c r="P510" i="1"/>
  <c r="O510" i="1"/>
  <c r="N510" i="1"/>
  <c r="M510" i="1"/>
  <c r="L510" i="1"/>
  <c r="J510" i="1"/>
  <c r="I510" i="1"/>
  <c r="C510" i="1"/>
  <c r="AK509" i="1"/>
  <c r="AH509" i="1"/>
  <c r="AG509" i="1"/>
  <c r="AF509" i="1"/>
  <c r="AE509" i="1"/>
  <c r="AD509" i="1"/>
  <c r="AC509" i="1"/>
  <c r="U509" i="1"/>
  <c r="AK508" i="1"/>
  <c r="AJ508" i="1"/>
  <c r="AI508" i="1"/>
  <c r="AH508" i="1"/>
  <c r="AG508" i="1"/>
  <c r="AF508" i="1"/>
  <c r="AE508" i="1"/>
  <c r="AD508" i="1"/>
  <c r="AC508" i="1"/>
  <c r="AA508" i="1"/>
  <c r="Z508" i="1"/>
  <c r="U508" i="1"/>
  <c r="R508" i="1"/>
  <c r="Q508" i="1"/>
  <c r="P508" i="1"/>
  <c r="O508" i="1"/>
  <c r="N508" i="1"/>
  <c r="M508" i="1"/>
  <c r="L508" i="1"/>
  <c r="J508" i="1"/>
  <c r="I508" i="1"/>
  <c r="C508" i="1"/>
  <c r="AK507" i="1"/>
  <c r="AH507" i="1"/>
  <c r="AG507" i="1"/>
  <c r="AF507" i="1"/>
  <c r="AE507" i="1"/>
  <c r="AD507" i="1"/>
  <c r="AC507" i="1"/>
  <c r="U507" i="1"/>
  <c r="AK506" i="1"/>
  <c r="AJ506" i="1"/>
  <c r="AI506" i="1"/>
  <c r="AH506" i="1"/>
  <c r="AG506" i="1"/>
  <c r="AF506" i="1"/>
  <c r="AE506" i="1"/>
  <c r="AD506" i="1"/>
  <c r="AC506" i="1"/>
  <c r="AA506" i="1"/>
  <c r="Z506" i="1"/>
  <c r="U506" i="1"/>
  <c r="R506" i="1"/>
  <c r="Q506" i="1"/>
  <c r="P506" i="1"/>
  <c r="O506" i="1"/>
  <c r="N506" i="1"/>
  <c r="M506" i="1"/>
  <c r="L506" i="1"/>
  <c r="J506" i="1"/>
  <c r="I506" i="1"/>
  <c r="C506" i="1"/>
  <c r="AK505" i="1"/>
  <c r="AH505" i="1"/>
  <c r="AG505" i="1"/>
  <c r="AF505" i="1"/>
  <c r="AE505" i="1"/>
  <c r="AD505" i="1"/>
  <c r="AC505" i="1"/>
  <c r="U505" i="1"/>
  <c r="AK504" i="1"/>
  <c r="AJ504" i="1"/>
  <c r="AI504" i="1"/>
  <c r="AH504" i="1"/>
  <c r="AG504" i="1"/>
  <c r="AF504" i="1"/>
  <c r="AE504" i="1"/>
  <c r="AD504" i="1"/>
  <c r="AC504" i="1"/>
  <c r="AA504" i="1"/>
  <c r="Z504" i="1"/>
  <c r="U504" i="1"/>
  <c r="R504" i="1"/>
  <c r="Q504" i="1"/>
  <c r="P504" i="1"/>
  <c r="O504" i="1"/>
  <c r="N504" i="1"/>
  <c r="M504" i="1"/>
  <c r="L504" i="1"/>
  <c r="J504" i="1"/>
  <c r="I504" i="1"/>
  <c r="C504" i="1"/>
  <c r="AK503" i="1"/>
  <c r="AH503" i="1"/>
  <c r="AG503" i="1"/>
  <c r="AF503" i="1"/>
  <c r="AE503" i="1"/>
  <c r="AD503" i="1"/>
  <c r="AC503" i="1"/>
  <c r="U503" i="1"/>
  <c r="AK502" i="1"/>
  <c r="AJ502" i="1"/>
  <c r="AI502" i="1"/>
  <c r="AH502" i="1"/>
  <c r="AG502" i="1"/>
  <c r="AF502" i="1"/>
  <c r="AE502" i="1"/>
  <c r="AD502" i="1"/>
  <c r="AC502" i="1"/>
  <c r="AA502" i="1"/>
  <c r="Z502" i="1"/>
  <c r="U502" i="1"/>
  <c r="R502" i="1"/>
  <c r="Q502" i="1"/>
  <c r="P502" i="1"/>
  <c r="O502" i="1"/>
  <c r="N502" i="1"/>
  <c r="M502" i="1"/>
  <c r="L502" i="1"/>
  <c r="J502" i="1"/>
  <c r="I502" i="1"/>
  <c r="C502" i="1"/>
  <c r="AK501" i="1"/>
  <c r="AH501" i="1"/>
  <c r="AG501" i="1"/>
  <c r="AF501" i="1"/>
  <c r="AE501" i="1"/>
  <c r="AD501" i="1"/>
  <c r="AC501" i="1"/>
  <c r="U501" i="1"/>
  <c r="AK500" i="1"/>
  <c r="AJ500" i="1"/>
  <c r="AI500" i="1"/>
  <c r="AH500" i="1"/>
  <c r="AG500" i="1"/>
  <c r="AF500" i="1"/>
  <c r="AE500" i="1"/>
  <c r="AD500" i="1"/>
  <c r="AC500" i="1"/>
  <c r="AA500" i="1"/>
  <c r="Z500" i="1"/>
  <c r="U500" i="1"/>
  <c r="R500" i="1"/>
  <c r="Q500" i="1"/>
  <c r="P500" i="1"/>
  <c r="O500" i="1"/>
  <c r="N500" i="1"/>
  <c r="M500" i="1"/>
  <c r="L500" i="1"/>
  <c r="J500" i="1"/>
  <c r="I500" i="1"/>
  <c r="C500" i="1"/>
  <c r="AK499" i="1"/>
  <c r="AH499" i="1"/>
  <c r="AG499" i="1"/>
  <c r="AF499" i="1"/>
  <c r="AE499" i="1"/>
  <c r="AD499" i="1"/>
  <c r="AC499" i="1"/>
  <c r="U499" i="1"/>
  <c r="AK498" i="1"/>
  <c r="AJ498" i="1"/>
  <c r="AI498" i="1"/>
  <c r="AH498" i="1"/>
  <c r="AG498" i="1"/>
  <c r="AF498" i="1"/>
  <c r="AE498" i="1"/>
  <c r="AD498" i="1"/>
  <c r="AC498" i="1"/>
  <c r="AA498" i="1"/>
  <c r="Z498" i="1"/>
  <c r="U498" i="1"/>
  <c r="R498" i="1"/>
  <c r="Q498" i="1"/>
  <c r="P498" i="1"/>
  <c r="O498" i="1"/>
  <c r="N498" i="1"/>
  <c r="M498" i="1"/>
  <c r="L498" i="1"/>
  <c r="J498" i="1"/>
  <c r="I498" i="1"/>
  <c r="C498" i="1"/>
  <c r="AK497" i="1"/>
  <c r="AH497" i="1"/>
  <c r="AG497" i="1"/>
  <c r="AF497" i="1"/>
  <c r="AE497" i="1"/>
  <c r="AD497" i="1"/>
  <c r="AC497" i="1"/>
  <c r="U497" i="1"/>
  <c r="AK496" i="1"/>
  <c r="AJ496" i="1"/>
  <c r="AI496" i="1"/>
  <c r="AH496" i="1"/>
  <c r="AG496" i="1"/>
  <c r="AF496" i="1"/>
  <c r="AE496" i="1"/>
  <c r="AD496" i="1"/>
  <c r="AC496" i="1"/>
  <c r="AA496" i="1"/>
  <c r="Z496" i="1"/>
  <c r="U496" i="1"/>
  <c r="R496" i="1"/>
  <c r="Q496" i="1"/>
  <c r="P496" i="1"/>
  <c r="O496" i="1"/>
  <c r="N496" i="1"/>
  <c r="M496" i="1"/>
  <c r="L496" i="1"/>
  <c r="J496" i="1"/>
  <c r="I496" i="1"/>
  <c r="C496" i="1"/>
  <c r="AK495" i="1"/>
  <c r="AH495" i="1"/>
  <c r="AG495" i="1"/>
  <c r="AF495" i="1"/>
  <c r="AE495" i="1"/>
  <c r="AD495" i="1"/>
  <c r="AC495" i="1"/>
  <c r="U495" i="1"/>
  <c r="AK494" i="1"/>
  <c r="AJ494" i="1"/>
  <c r="AI494" i="1"/>
  <c r="AH494" i="1"/>
  <c r="AG494" i="1"/>
  <c r="AF494" i="1"/>
  <c r="AE494" i="1"/>
  <c r="AD494" i="1"/>
  <c r="AC494" i="1"/>
  <c r="AA494" i="1"/>
  <c r="Z494" i="1"/>
  <c r="U494" i="1"/>
  <c r="R494" i="1"/>
  <c r="Q494" i="1"/>
  <c r="P494" i="1"/>
  <c r="O494" i="1"/>
  <c r="N494" i="1"/>
  <c r="M494" i="1"/>
  <c r="L494" i="1"/>
  <c r="J494" i="1"/>
  <c r="I494" i="1"/>
  <c r="C494" i="1"/>
  <c r="AK493" i="1"/>
  <c r="AH493" i="1"/>
  <c r="AG493" i="1"/>
  <c r="AF493" i="1"/>
  <c r="AE493" i="1"/>
  <c r="AD493" i="1"/>
  <c r="AC493" i="1"/>
  <c r="U493" i="1"/>
  <c r="AK492" i="1"/>
  <c r="AJ492" i="1"/>
  <c r="AI492" i="1"/>
  <c r="AH492" i="1"/>
  <c r="AG492" i="1"/>
  <c r="AF492" i="1"/>
  <c r="AE492" i="1"/>
  <c r="AD492" i="1"/>
  <c r="AC492" i="1"/>
  <c r="AA492" i="1"/>
  <c r="Z492" i="1"/>
  <c r="U492" i="1"/>
  <c r="R492" i="1"/>
  <c r="Q492" i="1"/>
  <c r="P492" i="1"/>
  <c r="O492" i="1"/>
  <c r="N492" i="1"/>
  <c r="M492" i="1"/>
  <c r="L492" i="1"/>
  <c r="J492" i="1"/>
  <c r="I492" i="1"/>
  <c r="C492" i="1"/>
  <c r="AK491" i="1"/>
  <c r="AH491" i="1"/>
  <c r="AG491" i="1"/>
  <c r="AF491" i="1"/>
  <c r="AE491" i="1"/>
  <c r="AD491" i="1"/>
  <c r="AC491" i="1"/>
  <c r="U491" i="1"/>
  <c r="AK490" i="1"/>
  <c r="AJ490" i="1"/>
  <c r="AI490" i="1"/>
  <c r="AH490" i="1"/>
  <c r="AG490" i="1"/>
  <c r="AF490" i="1"/>
  <c r="AE490" i="1"/>
  <c r="AD490" i="1"/>
  <c r="AC490" i="1"/>
  <c r="AA490" i="1"/>
  <c r="Z490" i="1"/>
  <c r="U490" i="1"/>
  <c r="R490" i="1"/>
  <c r="Q490" i="1"/>
  <c r="P490" i="1"/>
  <c r="O490" i="1"/>
  <c r="N490" i="1"/>
  <c r="M490" i="1"/>
  <c r="L490" i="1"/>
  <c r="J490" i="1"/>
  <c r="I490" i="1"/>
  <c r="C490" i="1"/>
  <c r="AK489" i="1"/>
  <c r="AH489" i="1"/>
  <c r="AG489" i="1"/>
  <c r="AF489" i="1"/>
  <c r="AE489" i="1"/>
  <c r="AD489" i="1"/>
  <c r="AC489" i="1"/>
  <c r="U489" i="1"/>
  <c r="AK488" i="1"/>
  <c r="AJ488" i="1"/>
  <c r="AI488" i="1"/>
  <c r="AH488" i="1"/>
  <c r="AG488" i="1"/>
  <c r="AF488" i="1"/>
  <c r="AE488" i="1"/>
  <c r="AD488" i="1"/>
  <c r="AC488" i="1"/>
  <c r="AA488" i="1"/>
  <c r="Z488" i="1"/>
  <c r="U488" i="1"/>
  <c r="R488" i="1"/>
  <c r="Q488" i="1"/>
  <c r="P488" i="1"/>
  <c r="O488" i="1"/>
  <c r="N488" i="1"/>
  <c r="M488" i="1"/>
  <c r="L488" i="1"/>
  <c r="J488" i="1"/>
  <c r="I488" i="1"/>
  <c r="C488" i="1"/>
  <c r="AK487" i="1"/>
  <c r="AH487" i="1"/>
  <c r="AG487" i="1"/>
  <c r="AF487" i="1"/>
  <c r="AE487" i="1"/>
  <c r="AD487" i="1"/>
  <c r="AC487" i="1"/>
  <c r="U487" i="1"/>
  <c r="AK486" i="1"/>
  <c r="AJ486" i="1"/>
  <c r="AI486" i="1"/>
  <c r="AH486" i="1"/>
  <c r="AG486" i="1"/>
  <c r="AF486" i="1"/>
  <c r="AE486" i="1"/>
  <c r="AD486" i="1"/>
  <c r="AC486" i="1"/>
  <c r="AA486" i="1"/>
  <c r="Z486" i="1"/>
  <c r="U486" i="1"/>
  <c r="R486" i="1"/>
  <c r="Q486" i="1"/>
  <c r="P486" i="1"/>
  <c r="O486" i="1"/>
  <c r="N486" i="1"/>
  <c r="M486" i="1"/>
  <c r="L486" i="1"/>
  <c r="J486" i="1"/>
  <c r="I486" i="1"/>
  <c r="C486" i="1"/>
  <c r="AK485" i="1"/>
  <c r="AH485" i="1"/>
  <c r="AG485" i="1"/>
  <c r="AF485" i="1"/>
  <c r="AE485" i="1"/>
  <c r="AD485" i="1"/>
  <c r="AC485" i="1"/>
  <c r="U485" i="1"/>
  <c r="AK484" i="1"/>
  <c r="AJ484" i="1"/>
  <c r="AI484" i="1"/>
  <c r="AH484" i="1"/>
  <c r="AG484" i="1"/>
  <c r="AF484" i="1"/>
  <c r="AE484" i="1"/>
  <c r="AD484" i="1"/>
  <c r="AC484" i="1"/>
  <c r="AA484" i="1"/>
  <c r="Z484" i="1"/>
  <c r="U484" i="1"/>
  <c r="R484" i="1"/>
  <c r="Q484" i="1"/>
  <c r="P484" i="1"/>
  <c r="O484" i="1"/>
  <c r="N484" i="1"/>
  <c r="M484" i="1"/>
  <c r="L484" i="1"/>
  <c r="J484" i="1"/>
  <c r="I484" i="1"/>
  <c r="C484" i="1"/>
  <c r="AK483" i="1"/>
  <c r="AH483" i="1"/>
  <c r="AG483" i="1"/>
  <c r="AF483" i="1"/>
  <c r="AE483" i="1"/>
  <c r="AD483" i="1"/>
  <c r="AC483" i="1"/>
  <c r="U483" i="1"/>
  <c r="AK482" i="1"/>
  <c r="AJ482" i="1"/>
  <c r="AI482" i="1"/>
  <c r="AH482" i="1"/>
  <c r="AG482" i="1"/>
  <c r="AF482" i="1"/>
  <c r="AE482" i="1"/>
  <c r="AD482" i="1"/>
  <c r="AC482" i="1"/>
  <c r="AA482" i="1"/>
  <c r="Z482" i="1"/>
  <c r="U482" i="1"/>
  <c r="R482" i="1"/>
  <c r="Q482" i="1"/>
  <c r="P482" i="1"/>
  <c r="O482" i="1"/>
  <c r="N482" i="1"/>
  <c r="M482" i="1"/>
  <c r="L482" i="1"/>
  <c r="J482" i="1"/>
  <c r="I482" i="1"/>
  <c r="C482" i="1"/>
  <c r="AK481" i="1"/>
  <c r="AH481" i="1"/>
  <c r="AG481" i="1"/>
  <c r="AF481" i="1"/>
  <c r="AE481" i="1"/>
  <c r="AD481" i="1"/>
  <c r="AC481" i="1"/>
  <c r="U481" i="1"/>
  <c r="AK480" i="1"/>
  <c r="AJ480" i="1"/>
  <c r="AI480" i="1"/>
  <c r="AH480" i="1"/>
  <c r="AG480" i="1"/>
  <c r="AF480" i="1"/>
  <c r="AE480" i="1"/>
  <c r="AD480" i="1"/>
  <c r="AC480" i="1"/>
  <c r="AA480" i="1"/>
  <c r="Z480" i="1"/>
  <c r="U480" i="1"/>
  <c r="R480" i="1"/>
  <c r="Q480" i="1"/>
  <c r="P480" i="1"/>
  <c r="O480" i="1"/>
  <c r="N480" i="1"/>
  <c r="M480" i="1"/>
  <c r="L480" i="1"/>
  <c r="J480" i="1"/>
  <c r="I480" i="1"/>
  <c r="C480" i="1"/>
  <c r="AK479" i="1"/>
  <c r="AH479" i="1"/>
  <c r="AG479" i="1"/>
  <c r="AF479" i="1"/>
  <c r="AE479" i="1"/>
  <c r="AD479" i="1"/>
  <c r="AC479" i="1"/>
  <c r="U479" i="1"/>
  <c r="AK478" i="1"/>
  <c r="AJ478" i="1"/>
  <c r="AI478" i="1"/>
  <c r="AH478" i="1"/>
  <c r="AG478" i="1"/>
  <c r="AF478" i="1"/>
  <c r="AE478" i="1"/>
  <c r="AD478" i="1"/>
  <c r="AC478" i="1"/>
  <c r="AA478" i="1"/>
  <c r="Z478" i="1"/>
  <c r="U478" i="1"/>
  <c r="R478" i="1"/>
  <c r="Q478" i="1"/>
  <c r="P478" i="1"/>
  <c r="O478" i="1"/>
  <c r="N478" i="1"/>
  <c r="M478" i="1"/>
  <c r="L478" i="1"/>
  <c r="J478" i="1"/>
  <c r="I478" i="1"/>
  <c r="C478" i="1"/>
  <c r="AK477" i="1"/>
  <c r="AH477" i="1"/>
  <c r="AG477" i="1"/>
  <c r="AF477" i="1"/>
  <c r="AE477" i="1"/>
  <c r="AD477" i="1"/>
  <c r="AC477" i="1"/>
  <c r="U477" i="1"/>
  <c r="AK476" i="1"/>
  <c r="AJ476" i="1"/>
  <c r="AI476" i="1"/>
  <c r="AH476" i="1"/>
  <c r="AG476" i="1"/>
  <c r="AF476" i="1"/>
  <c r="AE476" i="1"/>
  <c r="AD476" i="1"/>
  <c r="AC476" i="1"/>
  <c r="AA476" i="1"/>
  <c r="Z476" i="1"/>
  <c r="U476" i="1"/>
  <c r="R476" i="1"/>
  <c r="Q476" i="1"/>
  <c r="P476" i="1"/>
  <c r="O476" i="1"/>
  <c r="N476" i="1"/>
  <c r="M476" i="1"/>
  <c r="L476" i="1"/>
  <c r="J476" i="1"/>
  <c r="I476" i="1"/>
  <c r="C476" i="1"/>
  <c r="AK475" i="1"/>
  <c r="AH475" i="1"/>
  <c r="AG475" i="1"/>
  <c r="AF475" i="1"/>
  <c r="AE475" i="1"/>
  <c r="AD475" i="1"/>
  <c r="AC475" i="1"/>
  <c r="U475" i="1"/>
  <c r="AK474" i="1"/>
  <c r="AJ474" i="1"/>
  <c r="AI474" i="1"/>
  <c r="AH474" i="1"/>
  <c r="AG474" i="1"/>
  <c r="AF474" i="1"/>
  <c r="AE474" i="1"/>
  <c r="AD474" i="1"/>
  <c r="AC474" i="1"/>
  <c r="AA474" i="1"/>
  <c r="Z474" i="1"/>
  <c r="U474" i="1"/>
  <c r="R474" i="1"/>
  <c r="Q474" i="1"/>
  <c r="P474" i="1"/>
  <c r="O474" i="1"/>
  <c r="N474" i="1"/>
  <c r="M474" i="1"/>
  <c r="L474" i="1"/>
  <c r="J474" i="1"/>
  <c r="I474" i="1"/>
  <c r="C474" i="1"/>
  <c r="AK473" i="1"/>
  <c r="AH473" i="1"/>
  <c r="AG473" i="1"/>
  <c r="AF473" i="1"/>
  <c r="AE473" i="1"/>
  <c r="AD473" i="1"/>
  <c r="AC473" i="1"/>
  <c r="U473" i="1"/>
  <c r="AK472" i="1"/>
  <c r="AJ472" i="1"/>
  <c r="AI472" i="1"/>
  <c r="AH472" i="1"/>
  <c r="AG472" i="1"/>
  <c r="AF472" i="1"/>
  <c r="AE472" i="1"/>
  <c r="AD472" i="1"/>
  <c r="AC472" i="1"/>
  <c r="AA472" i="1"/>
  <c r="Z472" i="1"/>
  <c r="U472" i="1"/>
  <c r="R472" i="1"/>
  <c r="Q472" i="1"/>
  <c r="P472" i="1"/>
  <c r="O472" i="1"/>
  <c r="N472" i="1"/>
  <c r="M472" i="1"/>
  <c r="L472" i="1"/>
  <c r="J472" i="1"/>
  <c r="I472" i="1"/>
  <c r="C472" i="1"/>
  <c r="AK471" i="1"/>
  <c r="AH471" i="1"/>
  <c r="AG471" i="1"/>
  <c r="AF471" i="1"/>
  <c r="AE471" i="1"/>
  <c r="AD471" i="1"/>
  <c r="AC471" i="1"/>
  <c r="U471" i="1"/>
  <c r="AK470" i="1"/>
  <c r="AJ470" i="1"/>
  <c r="AI470" i="1"/>
  <c r="AH470" i="1"/>
  <c r="AG470" i="1"/>
  <c r="AF470" i="1"/>
  <c r="AE470" i="1"/>
  <c r="AD470" i="1"/>
  <c r="AC470" i="1"/>
  <c r="AA470" i="1"/>
  <c r="Z470" i="1"/>
  <c r="U470" i="1"/>
  <c r="R470" i="1"/>
  <c r="Q470" i="1"/>
  <c r="P470" i="1"/>
  <c r="O470" i="1"/>
  <c r="N470" i="1"/>
  <c r="M470" i="1"/>
  <c r="L470" i="1"/>
  <c r="J470" i="1"/>
  <c r="I470" i="1"/>
  <c r="C470" i="1"/>
  <c r="AK469" i="1"/>
  <c r="AH469" i="1"/>
  <c r="AG469" i="1"/>
  <c r="AF469" i="1"/>
  <c r="AE469" i="1"/>
  <c r="AD469" i="1"/>
  <c r="AC469" i="1"/>
  <c r="U469" i="1"/>
  <c r="AK468" i="1"/>
  <c r="AJ468" i="1"/>
  <c r="AI468" i="1"/>
  <c r="AH468" i="1"/>
  <c r="AG468" i="1"/>
  <c r="AF468" i="1"/>
  <c r="AE468" i="1"/>
  <c r="AD468" i="1"/>
  <c r="AC468" i="1"/>
  <c r="AA468" i="1"/>
  <c r="Z468" i="1"/>
  <c r="U468" i="1"/>
  <c r="R468" i="1"/>
  <c r="Q468" i="1"/>
  <c r="P468" i="1"/>
  <c r="O468" i="1"/>
  <c r="N468" i="1"/>
  <c r="M468" i="1"/>
  <c r="L468" i="1"/>
  <c r="J468" i="1"/>
  <c r="I468" i="1"/>
  <c r="C468" i="1"/>
  <c r="AK467" i="1"/>
  <c r="AH467" i="1"/>
  <c r="AG467" i="1"/>
  <c r="AF467" i="1"/>
  <c r="AE467" i="1"/>
  <c r="AD467" i="1"/>
  <c r="AC467" i="1"/>
  <c r="U467" i="1"/>
  <c r="AK466" i="1"/>
  <c r="AJ466" i="1"/>
  <c r="AI466" i="1"/>
  <c r="AH466" i="1"/>
  <c r="AG466" i="1"/>
  <c r="AF466" i="1"/>
  <c r="AE466" i="1"/>
  <c r="AD466" i="1"/>
  <c r="AC466" i="1"/>
  <c r="AA466" i="1"/>
  <c r="Z466" i="1"/>
  <c r="U466" i="1"/>
  <c r="R466" i="1"/>
  <c r="Q466" i="1"/>
  <c r="P466" i="1"/>
  <c r="O466" i="1"/>
  <c r="N466" i="1"/>
  <c r="M466" i="1"/>
  <c r="L466" i="1"/>
  <c r="J466" i="1"/>
  <c r="I466" i="1"/>
  <c r="C466" i="1"/>
  <c r="AK465" i="1"/>
  <c r="AH465" i="1"/>
  <c r="AG465" i="1"/>
  <c r="AF465" i="1"/>
  <c r="AE465" i="1"/>
  <c r="AD465" i="1"/>
  <c r="AC465" i="1"/>
  <c r="U465" i="1"/>
  <c r="AK464" i="1"/>
  <c r="AJ464" i="1"/>
  <c r="AI464" i="1"/>
  <c r="AH464" i="1"/>
  <c r="AG464" i="1"/>
  <c r="AF464" i="1"/>
  <c r="AE464" i="1"/>
  <c r="AD464" i="1"/>
  <c r="AC464" i="1"/>
  <c r="AA464" i="1"/>
  <c r="Z464" i="1"/>
  <c r="U464" i="1"/>
  <c r="R464" i="1"/>
  <c r="Q464" i="1"/>
  <c r="P464" i="1"/>
  <c r="O464" i="1"/>
  <c r="N464" i="1"/>
  <c r="M464" i="1"/>
  <c r="L464" i="1"/>
  <c r="J464" i="1"/>
  <c r="I464" i="1"/>
  <c r="C464" i="1"/>
  <c r="AK463" i="1"/>
  <c r="AH463" i="1"/>
  <c r="AG463" i="1"/>
  <c r="AF463" i="1"/>
  <c r="AE463" i="1"/>
  <c r="AD463" i="1"/>
  <c r="AC463" i="1"/>
  <c r="U463" i="1"/>
  <c r="AK462" i="1"/>
  <c r="AJ462" i="1"/>
  <c r="AI462" i="1"/>
  <c r="AH462" i="1"/>
  <c r="AG462" i="1"/>
  <c r="AF462" i="1"/>
  <c r="AE462" i="1"/>
  <c r="AD462" i="1"/>
  <c r="AC462" i="1"/>
  <c r="AA462" i="1"/>
  <c r="Z462" i="1"/>
  <c r="U462" i="1"/>
  <c r="R462" i="1"/>
  <c r="Q462" i="1"/>
  <c r="P462" i="1"/>
  <c r="O462" i="1"/>
  <c r="N462" i="1"/>
  <c r="M462" i="1"/>
  <c r="L462" i="1"/>
  <c r="J462" i="1"/>
  <c r="I462" i="1"/>
  <c r="C462" i="1"/>
  <c r="AK461" i="1"/>
  <c r="AH461" i="1"/>
  <c r="AG461" i="1"/>
  <c r="AF461" i="1"/>
  <c r="AE461" i="1"/>
  <c r="AD461" i="1"/>
  <c r="AC461" i="1"/>
  <c r="U461" i="1"/>
  <c r="AK460" i="1"/>
  <c r="AJ460" i="1"/>
  <c r="AI460" i="1"/>
  <c r="AH460" i="1"/>
  <c r="AG460" i="1"/>
  <c r="AF460" i="1"/>
  <c r="AE460" i="1"/>
  <c r="AD460" i="1"/>
  <c r="AC460" i="1"/>
  <c r="AA460" i="1"/>
  <c r="Z460" i="1"/>
  <c r="U460" i="1"/>
  <c r="R460" i="1"/>
  <c r="Q460" i="1"/>
  <c r="P460" i="1"/>
  <c r="O460" i="1"/>
  <c r="N460" i="1"/>
  <c r="M460" i="1"/>
  <c r="L460" i="1"/>
  <c r="J460" i="1"/>
  <c r="I460" i="1"/>
  <c r="C460" i="1"/>
  <c r="AK459" i="1"/>
  <c r="AH459" i="1"/>
  <c r="AG459" i="1"/>
  <c r="AF459" i="1"/>
  <c r="AE459" i="1"/>
  <c r="AD459" i="1"/>
  <c r="AC459" i="1"/>
  <c r="U459" i="1"/>
  <c r="AK458" i="1"/>
  <c r="AJ458" i="1"/>
  <c r="AI458" i="1"/>
  <c r="AH458" i="1"/>
  <c r="AG458" i="1"/>
  <c r="AF458" i="1"/>
  <c r="AE458" i="1"/>
  <c r="AD458" i="1"/>
  <c r="AC458" i="1"/>
  <c r="AA458" i="1"/>
  <c r="Z458" i="1"/>
  <c r="U458" i="1"/>
  <c r="R458" i="1"/>
  <c r="Q458" i="1"/>
  <c r="P458" i="1"/>
  <c r="O458" i="1"/>
  <c r="N458" i="1"/>
  <c r="M458" i="1"/>
  <c r="L458" i="1"/>
  <c r="J458" i="1"/>
  <c r="I458" i="1"/>
  <c r="C458" i="1"/>
  <c r="AK457" i="1"/>
  <c r="AH457" i="1"/>
  <c r="AG457" i="1"/>
  <c r="AF457" i="1"/>
  <c r="AE457" i="1"/>
  <c r="AD457" i="1"/>
  <c r="AC457" i="1"/>
  <c r="U457" i="1"/>
  <c r="AK456" i="1"/>
  <c r="AJ456" i="1"/>
  <c r="AI456" i="1"/>
  <c r="AH456" i="1"/>
  <c r="AG456" i="1"/>
  <c r="AF456" i="1"/>
  <c r="AE456" i="1"/>
  <c r="AD456" i="1"/>
  <c r="AC456" i="1"/>
  <c r="AA456" i="1"/>
  <c r="Z456" i="1"/>
  <c r="U456" i="1"/>
  <c r="R456" i="1"/>
  <c r="Q456" i="1"/>
  <c r="P456" i="1"/>
  <c r="O456" i="1"/>
  <c r="N456" i="1"/>
  <c r="M456" i="1"/>
  <c r="L456" i="1"/>
  <c r="J456" i="1"/>
  <c r="I456" i="1"/>
  <c r="C456" i="1"/>
  <c r="AK455" i="1"/>
  <c r="AH455" i="1"/>
  <c r="AG455" i="1"/>
  <c r="AF455" i="1"/>
  <c r="AE455" i="1"/>
  <c r="AD455" i="1"/>
  <c r="AC455" i="1"/>
  <c r="U455" i="1"/>
  <c r="AK454" i="1"/>
  <c r="AJ454" i="1"/>
  <c r="AI454" i="1"/>
  <c r="AH454" i="1"/>
  <c r="AG454" i="1"/>
  <c r="AF454" i="1"/>
  <c r="AE454" i="1"/>
  <c r="AD454" i="1"/>
  <c r="AC454" i="1"/>
  <c r="AA454" i="1"/>
  <c r="Z454" i="1"/>
  <c r="U454" i="1"/>
  <c r="R454" i="1"/>
  <c r="Q454" i="1"/>
  <c r="P454" i="1"/>
  <c r="O454" i="1"/>
  <c r="N454" i="1"/>
  <c r="M454" i="1"/>
  <c r="L454" i="1"/>
  <c r="J454" i="1"/>
  <c r="I454" i="1"/>
  <c r="C454" i="1"/>
  <c r="AK453" i="1"/>
  <c r="AH453" i="1"/>
  <c r="AG453" i="1"/>
  <c r="AF453" i="1"/>
  <c r="AE453" i="1"/>
  <c r="AD453" i="1"/>
  <c r="AC453" i="1"/>
  <c r="U453" i="1"/>
  <c r="AK452" i="1"/>
  <c r="AJ452" i="1"/>
  <c r="AI452" i="1"/>
  <c r="AH452" i="1"/>
  <c r="AG452" i="1"/>
  <c r="AF452" i="1"/>
  <c r="AE452" i="1"/>
  <c r="AD452" i="1"/>
  <c r="AC452" i="1"/>
  <c r="AA452" i="1"/>
  <c r="Z452" i="1"/>
  <c r="U452" i="1"/>
  <c r="R452" i="1"/>
  <c r="Q452" i="1"/>
  <c r="P452" i="1"/>
  <c r="O452" i="1"/>
  <c r="N452" i="1"/>
  <c r="M452" i="1"/>
  <c r="L452" i="1"/>
  <c r="J452" i="1"/>
  <c r="I452" i="1"/>
  <c r="C452" i="1"/>
  <c r="AK451" i="1"/>
  <c r="AH451" i="1"/>
  <c r="AG451" i="1"/>
  <c r="AF451" i="1"/>
  <c r="AE451" i="1"/>
  <c r="AD451" i="1"/>
  <c r="AC451" i="1"/>
  <c r="U451" i="1"/>
  <c r="AK450" i="1"/>
  <c r="AJ450" i="1"/>
  <c r="AI450" i="1"/>
  <c r="AH450" i="1"/>
  <c r="AG450" i="1"/>
  <c r="AF450" i="1"/>
  <c r="AE450" i="1"/>
  <c r="AD450" i="1"/>
  <c r="AC450" i="1"/>
  <c r="AA450" i="1"/>
  <c r="Z450" i="1"/>
  <c r="U450" i="1"/>
  <c r="R450" i="1"/>
  <c r="Q450" i="1"/>
  <c r="P450" i="1"/>
  <c r="O450" i="1"/>
  <c r="N450" i="1"/>
  <c r="M450" i="1"/>
  <c r="L450" i="1"/>
  <c r="J450" i="1"/>
  <c r="I450" i="1"/>
  <c r="C450" i="1"/>
  <c r="AK449" i="1"/>
  <c r="AH449" i="1"/>
  <c r="AG449" i="1"/>
  <c r="AF449" i="1"/>
  <c r="AE449" i="1"/>
  <c r="AD449" i="1"/>
  <c r="AC449" i="1"/>
  <c r="U449" i="1"/>
  <c r="AK448" i="1"/>
  <c r="AJ448" i="1"/>
  <c r="AI448" i="1"/>
  <c r="AH448" i="1"/>
  <c r="AG448" i="1"/>
  <c r="AF448" i="1"/>
  <c r="AE448" i="1"/>
  <c r="AD448" i="1"/>
  <c r="AC448" i="1"/>
  <c r="AA448" i="1"/>
  <c r="Z448" i="1"/>
  <c r="U448" i="1"/>
  <c r="R448" i="1"/>
  <c r="Q448" i="1"/>
  <c r="P448" i="1"/>
  <c r="O448" i="1"/>
  <c r="N448" i="1"/>
  <c r="M448" i="1"/>
  <c r="L448" i="1"/>
  <c r="J448" i="1"/>
  <c r="I448" i="1"/>
  <c r="C448" i="1"/>
  <c r="AK447" i="1"/>
  <c r="AH447" i="1"/>
  <c r="AG447" i="1"/>
  <c r="AF447" i="1"/>
  <c r="AE447" i="1"/>
  <c r="AD447" i="1"/>
  <c r="AC447" i="1"/>
  <c r="U447" i="1"/>
  <c r="AK446" i="1"/>
  <c r="AJ446" i="1"/>
  <c r="AI446" i="1"/>
  <c r="AH446" i="1"/>
  <c r="AG446" i="1"/>
  <c r="AF446" i="1"/>
  <c r="AE446" i="1"/>
  <c r="AD446" i="1"/>
  <c r="AC446" i="1"/>
  <c r="AA446" i="1"/>
  <c r="Z446" i="1"/>
  <c r="U446" i="1"/>
  <c r="R446" i="1"/>
  <c r="Q446" i="1"/>
  <c r="P446" i="1"/>
  <c r="O446" i="1"/>
  <c r="N446" i="1"/>
  <c r="M446" i="1"/>
  <c r="L446" i="1"/>
  <c r="J446" i="1"/>
  <c r="I446" i="1"/>
  <c r="C446" i="1"/>
  <c r="AK445" i="1"/>
  <c r="AH445" i="1"/>
  <c r="AG445" i="1"/>
  <c r="AF445" i="1"/>
  <c r="AE445" i="1"/>
  <c r="AD445" i="1"/>
  <c r="AC445" i="1"/>
  <c r="U445" i="1"/>
  <c r="AK444" i="1"/>
  <c r="AJ444" i="1"/>
  <c r="AI444" i="1"/>
  <c r="AH444" i="1"/>
  <c r="AG444" i="1"/>
  <c r="AF444" i="1"/>
  <c r="AE444" i="1"/>
  <c r="AD444" i="1"/>
  <c r="AC444" i="1"/>
  <c r="AA444" i="1"/>
  <c r="Z444" i="1"/>
  <c r="U444" i="1"/>
  <c r="R444" i="1"/>
  <c r="Q444" i="1"/>
  <c r="P444" i="1"/>
  <c r="O444" i="1"/>
  <c r="N444" i="1"/>
  <c r="M444" i="1"/>
  <c r="L444" i="1"/>
  <c r="J444" i="1"/>
  <c r="I444" i="1"/>
  <c r="C444" i="1"/>
  <c r="AK443" i="1"/>
  <c r="AH443" i="1"/>
  <c r="AG443" i="1"/>
  <c r="AF443" i="1"/>
  <c r="AE443" i="1"/>
  <c r="AD443" i="1"/>
  <c r="AC443" i="1"/>
  <c r="U443" i="1"/>
  <c r="AK442" i="1"/>
  <c r="AJ442" i="1"/>
  <c r="AI442" i="1"/>
  <c r="AH442" i="1"/>
  <c r="AG442" i="1"/>
  <c r="AF442" i="1"/>
  <c r="AE442" i="1"/>
  <c r="AD442" i="1"/>
  <c r="AC442" i="1"/>
  <c r="AA442" i="1"/>
  <c r="Z442" i="1"/>
  <c r="U442" i="1"/>
  <c r="R442" i="1"/>
  <c r="Q442" i="1"/>
  <c r="P442" i="1"/>
  <c r="O442" i="1"/>
  <c r="N442" i="1"/>
  <c r="M442" i="1"/>
  <c r="L442" i="1"/>
  <c r="J442" i="1"/>
  <c r="I442" i="1"/>
  <c r="C442" i="1"/>
  <c r="AK441" i="1"/>
  <c r="AH441" i="1"/>
  <c r="AG441" i="1"/>
  <c r="AF441" i="1"/>
  <c r="AE441" i="1"/>
  <c r="AD441" i="1"/>
  <c r="AC441" i="1"/>
  <c r="U441" i="1"/>
  <c r="AK440" i="1"/>
  <c r="AJ440" i="1"/>
  <c r="AI440" i="1"/>
  <c r="AH440" i="1"/>
  <c r="AG440" i="1"/>
  <c r="AF440" i="1"/>
  <c r="AE440" i="1"/>
  <c r="AD440" i="1"/>
  <c r="AC440" i="1"/>
  <c r="AA440" i="1"/>
  <c r="Z440" i="1"/>
  <c r="U440" i="1"/>
  <c r="R440" i="1"/>
  <c r="Q440" i="1"/>
  <c r="P440" i="1"/>
  <c r="O440" i="1"/>
  <c r="N440" i="1"/>
  <c r="M440" i="1"/>
  <c r="L440" i="1"/>
  <c r="J440" i="1"/>
  <c r="I440" i="1"/>
  <c r="C440" i="1"/>
  <c r="AK439" i="1"/>
  <c r="AH439" i="1"/>
  <c r="AG439" i="1"/>
  <c r="AF439" i="1"/>
  <c r="AE439" i="1"/>
  <c r="AD439" i="1"/>
  <c r="AC439" i="1"/>
  <c r="U439" i="1"/>
  <c r="AK438" i="1"/>
  <c r="AJ438" i="1"/>
  <c r="AI438" i="1"/>
  <c r="AH438" i="1"/>
  <c r="AG438" i="1"/>
  <c r="AF438" i="1"/>
  <c r="AE438" i="1"/>
  <c r="AD438" i="1"/>
  <c r="AC438" i="1"/>
  <c r="AA438" i="1"/>
  <c r="Z438" i="1"/>
  <c r="U438" i="1"/>
  <c r="R438" i="1"/>
  <c r="Q438" i="1"/>
  <c r="P438" i="1"/>
  <c r="O438" i="1"/>
  <c r="N438" i="1"/>
  <c r="M438" i="1"/>
  <c r="L438" i="1"/>
  <c r="J438" i="1"/>
  <c r="I438" i="1"/>
  <c r="C438" i="1"/>
  <c r="AK437" i="1"/>
  <c r="AH437" i="1"/>
  <c r="AG437" i="1"/>
  <c r="AF437" i="1"/>
  <c r="AE437" i="1"/>
  <c r="AD437" i="1"/>
  <c r="AC437" i="1"/>
  <c r="U437" i="1"/>
  <c r="AK436" i="1"/>
  <c r="AJ436" i="1"/>
  <c r="AI436" i="1"/>
  <c r="AH436" i="1"/>
  <c r="AG436" i="1"/>
  <c r="AF436" i="1"/>
  <c r="AE436" i="1"/>
  <c r="AD436" i="1"/>
  <c r="AC436" i="1"/>
  <c r="AA436" i="1"/>
  <c r="Z436" i="1"/>
  <c r="U436" i="1"/>
  <c r="R436" i="1"/>
  <c r="Q436" i="1"/>
  <c r="P436" i="1"/>
  <c r="O436" i="1"/>
  <c r="N436" i="1"/>
  <c r="M436" i="1"/>
  <c r="L436" i="1"/>
  <c r="J436" i="1"/>
  <c r="I436" i="1"/>
  <c r="C436" i="1"/>
  <c r="AK435" i="1"/>
  <c r="AH435" i="1"/>
  <c r="AG435" i="1"/>
  <c r="AF435" i="1"/>
  <c r="AE435" i="1"/>
  <c r="AD435" i="1"/>
  <c r="AC435" i="1"/>
  <c r="U435" i="1"/>
  <c r="AK434" i="1"/>
  <c r="AJ434" i="1"/>
  <c r="AI434" i="1"/>
  <c r="AH434" i="1"/>
  <c r="AG434" i="1"/>
  <c r="AF434" i="1"/>
  <c r="AE434" i="1"/>
  <c r="AD434" i="1"/>
  <c r="AC434" i="1"/>
  <c r="AA434" i="1"/>
  <c r="Z434" i="1"/>
  <c r="U434" i="1"/>
  <c r="R434" i="1"/>
  <c r="Q434" i="1"/>
  <c r="P434" i="1"/>
  <c r="O434" i="1"/>
  <c r="N434" i="1"/>
  <c r="M434" i="1"/>
  <c r="L434" i="1"/>
  <c r="J434" i="1"/>
  <c r="I434" i="1"/>
  <c r="C434" i="1"/>
  <c r="AK433" i="1"/>
  <c r="AH433" i="1"/>
  <c r="AG433" i="1"/>
  <c r="AF433" i="1"/>
  <c r="AE433" i="1"/>
  <c r="AD433" i="1"/>
  <c r="AC433" i="1"/>
  <c r="U433" i="1"/>
  <c r="AK432" i="1"/>
  <c r="AJ432" i="1"/>
  <c r="AI432" i="1"/>
  <c r="AH432" i="1"/>
  <c r="AG432" i="1"/>
  <c r="AF432" i="1"/>
  <c r="AE432" i="1"/>
  <c r="AD432" i="1"/>
  <c r="AC432" i="1"/>
  <c r="AA432" i="1"/>
  <c r="Z432" i="1"/>
  <c r="U432" i="1"/>
  <c r="R432" i="1"/>
  <c r="Q432" i="1"/>
  <c r="P432" i="1"/>
  <c r="O432" i="1"/>
  <c r="N432" i="1"/>
  <c r="M432" i="1"/>
  <c r="L432" i="1"/>
  <c r="J432" i="1"/>
  <c r="I432" i="1"/>
  <c r="C432" i="1"/>
  <c r="AK431" i="1"/>
  <c r="AH431" i="1"/>
  <c r="AG431" i="1"/>
  <c r="AF431" i="1"/>
  <c r="AE431" i="1"/>
  <c r="AD431" i="1"/>
  <c r="AC431" i="1"/>
  <c r="U431" i="1"/>
  <c r="AK430" i="1"/>
  <c r="AJ430" i="1"/>
  <c r="AI430" i="1"/>
  <c r="AH430" i="1"/>
  <c r="AG430" i="1"/>
  <c r="AF430" i="1"/>
  <c r="AE430" i="1"/>
  <c r="AD430" i="1"/>
  <c r="AC430" i="1"/>
  <c r="AA430" i="1"/>
  <c r="Z430" i="1"/>
  <c r="U430" i="1"/>
  <c r="R430" i="1"/>
  <c r="Q430" i="1"/>
  <c r="P430" i="1"/>
  <c r="O430" i="1"/>
  <c r="N430" i="1"/>
  <c r="M430" i="1"/>
  <c r="L430" i="1"/>
  <c r="J430" i="1"/>
  <c r="I430" i="1"/>
  <c r="C430" i="1"/>
  <c r="AK429" i="1"/>
  <c r="AH429" i="1"/>
  <c r="AG429" i="1"/>
  <c r="AF429" i="1"/>
  <c r="AE429" i="1"/>
  <c r="AD429" i="1"/>
  <c r="AC429" i="1"/>
  <c r="U429" i="1"/>
  <c r="AK428" i="1"/>
  <c r="AJ428" i="1"/>
  <c r="AI428" i="1"/>
  <c r="AH428" i="1"/>
  <c r="AG428" i="1"/>
  <c r="AF428" i="1"/>
  <c r="AE428" i="1"/>
  <c r="AD428" i="1"/>
  <c r="AC428" i="1"/>
  <c r="AA428" i="1"/>
  <c r="Z428" i="1"/>
  <c r="U428" i="1"/>
  <c r="R428" i="1"/>
  <c r="Q428" i="1"/>
  <c r="P428" i="1"/>
  <c r="O428" i="1"/>
  <c r="N428" i="1"/>
  <c r="M428" i="1"/>
  <c r="L428" i="1"/>
  <c r="J428" i="1"/>
  <c r="I428" i="1"/>
  <c r="C428" i="1"/>
  <c r="AK427" i="1"/>
  <c r="AH427" i="1"/>
  <c r="AG427" i="1"/>
  <c r="AF427" i="1"/>
  <c r="AE427" i="1"/>
  <c r="AD427" i="1"/>
  <c r="AC427" i="1"/>
  <c r="U427" i="1"/>
  <c r="AK426" i="1"/>
  <c r="AJ426" i="1"/>
  <c r="AI426" i="1"/>
  <c r="AH426" i="1"/>
  <c r="AG426" i="1"/>
  <c r="AF426" i="1"/>
  <c r="AE426" i="1"/>
  <c r="AD426" i="1"/>
  <c r="AC426" i="1"/>
  <c r="AA426" i="1"/>
  <c r="Z426" i="1"/>
  <c r="U426" i="1"/>
  <c r="R426" i="1"/>
  <c r="Q426" i="1"/>
  <c r="P426" i="1"/>
  <c r="O426" i="1"/>
  <c r="N426" i="1"/>
  <c r="M426" i="1"/>
  <c r="L426" i="1"/>
  <c r="J426" i="1"/>
  <c r="I426" i="1"/>
  <c r="C426" i="1"/>
  <c r="AK425" i="1"/>
  <c r="AH425" i="1"/>
  <c r="AG425" i="1"/>
  <c r="AF425" i="1"/>
  <c r="AE425" i="1"/>
  <c r="AD425" i="1"/>
  <c r="AC425" i="1"/>
  <c r="U425" i="1"/>
  <c r="AK424" i="1"/>
  <c r="AJ424" i="1"/>
  <c r="AI424" i="1"/>
  <c r="AH424" i="1"/>
  <c r="AG424" i="1"/>
  <c r="AF424" i="1"/>
  <c r="AE424" i="1"/>
  <c r="AD424" i="1"/>
  <c r="AC424" i="1"/>
  <c r="AA424" i="1"/>
  <c r="Z424" i="1"/>
  <c r="U424" i="1"/>
  <c r="R424" i="1"/>
  <c r="Q424" i="1"/>
  <c r="P424" i="1"/>
  <c r="O424" i="1"/>
  <c r="N424" i="1"/>
  <c r="M424" i="1"/>
  <c r="L424" i="1"/>
  <c r="J424" i="1"/>
  <c r="I424" i="1"/>
  <c r="C424" i="1"/>
  <c r="AK423" i="1"/>
  <c r="AH423" i="1"/>
  <c r="AG423" i="1"/>
  <c r="AF423" i="1"/>
  <c r="AE423" i="1"/>
  <c r="AD423" i="1"/>
  <c r="AC423" i="1"/>
  <c r="U423" i="1"/>
  <c r="AK422" i="1"/>
  <c r="AJ422" i="1"/>
  <c r="AI422" i="1"/>
  <c r="AH422" i="1"/>
  <c r="AG422" i="1"/>
  <c r="AF422" i="1"/>
  <c r="AE422" i="1"/>
  <c r="AD422" i="1"/>
  <c r="AC422" i="1"/>
  <c r="AA422" i="1"/>
  <c r="Z422" i="1"/>
  <c r="U422" i="1"/>
  <c r="R422" i="1"/>
  <c r="Q422" i="1"/>
  <c r="P422" i="1"/>
  <c r="O422" i="1"/>
  <c r="N422" i="1"/>
  <c r="M422" i="1"/>
  <c r="L422" i="1"/>
  <c r="J422" i="1"/>
  <c r="I422" i="1"/>
  <c r="C422" i="1"/>
  <c r="AK421" i="1"/>
  <c r="AH421" i="1"/>
  <c r="AG421" i="1"/>
  <c r="AF421" i="1"/>
  <c r="AE421" i="1"/>
  <c r="AD421" i="1"/>
  <c r="AC421" i="1"/>
  <c r="U421" i="1"/>
  <c r="AK420" i="1"/>
  <c r="AJ420" i="1"/>
  <c r="AI420" i="1"/>
  <c r="AH420" i="1"/>
  <c r="AG420" i="1"/>
  <c r="AF420" i="1"/>
  <c r="AE420" i="1"/>
  <c r="AD420" i="1"/>
  <c r="AC420" i="1"/>
  <c r="AA420" i="1"/>
  <c r="Z420" i="1"/>
  <c r="U420" i="1"/>
  <c r="R420" i="1"/>
  <c r="Q420" i="1"/>
  <c r="P420" i="1"/>
  <c r="O420" i="1"/>
  <c r="N420" i="1"/>
  <c r="M420" i="1"/>
  <c r="L420" i="1"/>
  <c r="J420" i="1"/>
  <c r="I420" i="1"/>
  <c r="C420" i="1"/>
  <c r="AK419" i="1"/>
  <c r="AH419" i="1"/>
  <c r="AG419" i="1"/>
  <c r="AF419" i="1"/>
  <c r="AE419" i="1"/>
  <c r="AD419" i="1"/>
  <c r="AC419" i="1"/>
  <c r="U419" i="1"/>
  <c r="AK418" i="1"/>
  <c r="AJ418" i="1"/>
  <c r="AI418" i="1"/>
  <c r="AH418" i="1"/>
  <c r="AG418" i="1"/>
  <c r="AF418" i="1"/>
  <c r="AE418" i="1"/>
  <c r="AD418" i="1"/>
  <c r="AC418" i="1"/>
  <c r="AA418" i="1"/>
  <c r="Z418" i="1"/>
  <c r="U418" i="1"/>
  <c r="R418" i="1"/>
  <c r="Q418" i="1"/>
  <c r="P418" i="1"/>
  <c r="O418" i="1"/>
  <c r="N418" i="1"/>
  <c r="M418" i="1"/>
  <c r="L418" i="1"/>
  <c r="J418" i="1"/>
  <c r="I418" i="1"/>
  <c r="C418" i="1"/>
  <c r="AK417" i="1"/>
  <c r="AH417" i="1"/>
  <c r="AG417" i="1"/>
  <c r="AF417" i="1"/>
  <c r="AE417" i="1"/>
  <c r="AD417" i="1"/>
  <c r="AC417" i="1"/>
  <c r="U417" i="1"/>
  <c r="AK416" i="1"/>
  <c r="AJ416" i="1"/>
  <c r="AI416" i="1"/>
  <c r="AH416" i="1"/>
  <c r="AG416" i="1"/>
  <c r="AF416" i="1"/>
  <c r="AE416" i="1"/>
  <c r="AD416" i="1"/>
  <c r="AC416" i="1"/>
  <c r="AA416" i="1"/>
  <c r="Z416" i="1"/>
  <c r="U416" i="1"/>
  <c r="R416" i="1"/>
  <c r="Q416" i="1"/>
  <c r="P416" i="1"/>
  <c r="O416" i="1"/>
  <c r="N416" i="1"/>
  <c r="M416" i="1"/>
  <c r="L416" i="1"/>
  <c r="J416" i="1"/>
  <c r="I416" i="1"/>
  <c r="C416" i="1"/>
  <c r="AK415" i="1"/>
  <c r="AH415" i="1"/>
  <c r="AG415" i="1"/>
  <c r="AF415" i="1"/>
  <c r="AE415" i="1"/>
  <c r="AD415" i="1"/>
  <c r="AC415" i="1"/>
  <c r="U415" i="1"/>
  <c r="AK414" i="1"/>
  <c r="AJ414" i="1"/>
  <c r="AI414" i="1"/>
  <c r="AH414" i="1"/>
  <c r="AG414" i="1"/>
  <c r="AF414" i="1"/>
  <c r="AE414" i="1"/>
  <c r="AD414" i="1"/>
  <c r="AC414" i="1"/>
  <c r="AA414" i="1"/>
  <c r="Z414" i="1"/>
  <c r="U414" i="1"/>
  <c r="R414" i="1"/>
  <c r="Q414" i="1"/>
  <c r="P414" i="1"/>
  <c r="O414" i="1"/>
  <c r="N414" i="1"/>
  <c r="M414" i="1"/>
  <c r="L414" i="1"/>
  <c r="J414" i="1"/>
  <c r="I414" i="1"/>
  <c r="C414" i="1"/>
  <c r="AK413" i="1"/>
  <c r="AH413" i="1"/>
  <c r="AG413" i="1"/>
  <c r="AF413" i="1"/>
  <c r="AE413" i="1"/>
  <c r="AD413" i="1"/>
  <c r="AC413" i="1"/>
  <c r="U413" i="1"/>
  <c r="AK412" i="1"/>
  <c r="AJ412" i="1"/>
  <c r="AI412" i="1"/>
  <c r="AH412" i="1"/>
  <c r="AG412" i="1"/>
  <c r="AF412" i="1"/>
  <c r="AE412" i="1"/>
  <c r="AD412" i="1"/>
  <c r="AC412" i="1"/>
  <c r="AA412" i="1"/>
  <c r="Z412" i="1"/>
  <c r="U412" i="1"/>
  <c r="R412" i="1"/>
  <c r="Q412" i="1"/>
  <c r="P412" i="1"/>
  <c r="O412" i="1"/>
  <c r="N412" i="1"/>
  <c r="M412" i="1"/>
  <c r="L412" i="1"/>
  <c r="J412" i="1"/>
  <c r="I412" i="1"/>
  <c r="C412" i="1"/>
  <c r="AK411" i="1"/>
  <c r="AH411" i="1"/>
  <c r="AG411" i="1"/>
  <c r="AF411" i="1"/>
  <c r="AE411" i="1"/>
  <c r="AD411" i="1"/>
  <c r="AC411" i="1"/>
  <c r="U411" i="1"/>
  <c r="AK410" i="1"/>
  <c r="AJ410" i="1"/>
  <c r="AI410" i="1"/>
  <c r="AH410" i="1"/>
  <c r="AG410" i="1"/>
  <c r="AF410" i="1"/>
  <c r="AE410" i="1"/>
  <c r="AD410" i="1"/>
  <c r="AC410" i="1"/>
  <c r="AA410" i="1"/>
  <c r="Z410" i="1"/>
  <c r="U410" i="1"/>
  <c r="R410" i="1"/>
  <c r="Q410" i="1"/>
  <c r="P410" i="1"/>
  <c r="O410" i="1"/>
  <c r="N410" i="1"/>
  <c r="M410" i="1"/>
  <c r="L410" i="1"/>
  <c r="J410" i="1"/>
  <c r="I410" i="1"/>
  <c r="C410" i="1"/>
  <c r="AK409" i="1"/>
  <c r="AH409" i="1"/>
  <c r="AG409" i="1"/>
  <c r="AF409" i="1"/>
  <c r="AE409" i="1"/>
  <c r="AD409" i="1"/>
  <c r="AC409" i="1"/>
  <c r="U409" i="1"/>
  <c r="AK408" i="1"/>
  <c r="AJ408" i="1"/>
  <c r="AI408" i="1"/>
  <c r="AH408" i="1"/>
  <c r="AG408" i="1"/>
  <c r="AF408" i="1"/>
  <c r="AE408" i="1"/>
  <c r="AD408" i="1"/>
  <c r="AC408" i="1"/>
  <c r="AA408" i="1"/>
  <c r="Z408" i="1"/>
  <c r="U408" i="1"/>
  <c r="R408" i="1"/>
  <c r="Q408" i="1"/>
  <c r="P408" i="1"/>
  <c r="O408" i="1"/>
  <c r="N408" i="1"/>
  <c r="M408" i="1"/>
  <c r="L408" i="1"/>
  <c r="J408" i="1"/>
  <c r="I408" i="1"/>
  <c r="C408" i="1"/>
  <c r="AK407" i="1"/>
  <c r="AH407" i="1"/>
  <c r="AG407" i="1"/>
  <c r="AF407" i="1"/>
  <c r="AE407" i="1"/>
  <c r="AD407" i="1"/>
  <c r="AC407" i="1"/>
  <c r="U407" i="1"/>
  <c r="AK406" i="1"/>
  <c r="AJ406" i="1"/>
  <c r="AI406" i="1"/>
  <c r="AH406" i="1"/>
  <c r="AG406" i="1"/>
  <c r="AF406" i="1"/>
  <c r="AE406" i="1"/>
  <c r="AD406" i="1"/>
  <c r="AC406" i="1"/>
  <c r="AA406" i="1"/>
  <c r="Z406" i="1"/>
  <c r="U406" i="1"/>
  <c r="R406" i="1"/>
  <c r="Q406" i="1"/>
  <c r="P406" i="1"/>
  <c r="O406" i="1"/>
  <c r="N406" i="1"/>
  <c r="M406" i="1"/>
  <c r="L406" i="1"/>
  <c r="J406" i="1"/>
  <c r="I406" i="1"/>
  <c r="C406" i="1"/>
  <c r="AK405" i="1"/>
  <c r="AH405" i="1"/>
  <c r="AG405" i="1"/>
  <c r="AF405" i="1"/>
  <c r="AE405" i="1"/>
  <c r="AD405" i="1"/>
  <c r="AC405" i="1"/>
  <c r="U405" i="1"/>
  <c r="AK404" i="1"/>
  <c r="AJ404" i="1"/>
  <c r="AI404" i="1"/>
  <c r="AH404" i="1"/>
  <c r="AG404" i="1"/>
  <c r="AF404" i="1"/>
  <c r="AE404" i="1"/>
  <c r="AD404" i="1"/>
  <c r="AC404" i="1"/>
  <c r="AA404" i="1"/>
  <c r="Z404" i="1"/>
  <c r="U404" i="1"/>
  <c r="R404" i="1"/>
  <c r="Q404" i="1"/>
  <c r="P404" i="1"/>
  <c r="O404" i="1"/>
  <c r="N404" i="1"/>
  <c r="M404" i="1"/>
  <c r="L404" i="1"/>
  <c r="J404" i="1"/>
  <c r="I404" i="1"/>
  <c r="C404" i="1"/>
  <c r="AK403" i="1"/>
  <c r="AH403" i="1"/>
  <c r="AG403" i="1"/>
  <c r="AF403" i="1"/>
  <c r="AE403" i="1"/>
  <c r="AD403" i="1"/>
  <c r="AC403" i="1"/>
  <c r="U403" i="1"/>
  <c r="AK402" i="1"/>
  <c r="AJ402" i="1"/>
  <c r="AI402" i="1"/>
  <c r="AH402" i="1"/>
  <c r="AG402" i="1"/>
  <c r="AF402" i="1"/>
  <c r="AE402" i="1"/>
  <c r="AD402" i="1"/>
  <c r="AC402" i="1"/>
  <c r="AA402" i="1"/>
  <c r="Z402" i="1"/>
  <c r="U402" i="1"/>
  <c r="R402" i="1"/>
  <c r="Q402" i="1"/>
  <c r="P402" i="1"/>
  <c r="O402" i="1"/>
  <c r="N402" i="1"/>
  <c r="M402" i="1"/>
  <c r="L402" i="1"/>
  <c r="J402" i="1"/>
  <c r="I402" i="1"/>
  <c r="C402" i="1"/>
  <c r="AK401" i="1"/>
  <c r="AH401" i="1"/>
  <c r="AG401" i="1"/>
  <c r="AF401" i="1"/>
  <c r="AE401" i="1"/>
  <c r="AD401" i="1"/>
  <c r="AC401" i="1"/>
  <c r="U401" i="1"/>
  <c r="AK400" i="1"/>
  <c r="AJ400" i="1"/>
  <c r="AI400" i="1"/>
  <c r="AH400" i="1"/>
  <c r="AG400" i="1"/>
  <c r="AF400" i="1"/>
  <c r="AE400" i="1"/>
  <c r="AD400" i="1"/>
  <c r="AC400" i="1"/>
  <c r="AA400" i="1"/>
  <c r="Z400" i="1"/>
  <c r="U400" i="1"/>
  <c r="R400" i="1"/>
  <c r="Q400" i="1"/>
  <c r="P400" i="1"/>
  <c r="O400" i="1"/>
  <c r="N400" i="1"/>
  <c r="M400" i="1"/>
  <c r="L400" i="1"/>
  <c r="J400" i="1"/>
  <c r="I400" i="1"/>
  <c r="C400" i="1"/>
  <c r="AK399" i="1"/>
  <c r="AH399" i="1"/>
  <c r="AG399" i="1"/>
  <c r="AF399" i="1"/>
  <c r="AE399" i="1"/>
  <c r="AD399" i="1"/>
  <c r="AC399" i="1"/>
  <c r="U399" i="1"/>
  <c r="AK398" i="1"/>
  <c r="AJ398" i="1"/>
  <c r="AI398" i="1"/>
  <c r="AH398" i="1"/>
  <c r="AG398" i="1"/>
  <c r="AF398" i="1"/>
  <c r="AE398" i="1"/>
  <c r="AD398" i="1"/>
  <c r="AC398" i="1"/>
  <c r="AA398" i="1"/>
  <c r="Z398" i="1"/>
  <c r="U398" i="1"/>
  <c r="R398" i="1"/>
  <c r="Q398" i="1"/>
  <c r="P398" i="1"/>
  <c r="O398" i="1"/>
  <c r="N398" i="1"/>
  <c r="M398" i="1"/>
  <c r="L398" i="1"/>
  <c r="J398" i="1"/>
  <c r="I398" i="1"/>
  <c r="C398" i="1"/>
  <c r="AK397" i="1"/>
  <c r="AH397" i="1"/>
  <c r="AG397" i="1"/>
  <c r="AF397" i="1"/>
  <c r="AE397" i="1"/>
  <c r="AD397" i="1"/>
  <c r="AC397" i="1"/>
  <c r="U397" i="1"/>
  <c r="AK396" i="1"/>
  <c r="AJ396" i="1"/>
  <c r="AI396" i="1"/>
  <c r="AH396" i="1"/>
  <c r="AG396" i="1"/>
  <c r="AF396" i="1"/>
  <c r="AE396" i="1"/>
  <c r="AD396" i="1"/>
  <c r="AC396" i="1"/>
  <c r="AA396" i="1"/>
  <c r="Z396" i="1"/>
  <c r="U396" i="1"/>
  <c r="R396" i="1"/>
  <c r="Q396" i="1"/>
  <c r="P396" i="1"/>
  <c r="O396" i="1"/>
  <c r="N396" i="1"/>
  <c r="M396" i="1"/>
  <c r="L396" i="1"/>
  <c r="J396" i="1"/>
  <c r="I396" i="1"/>
  <c r="C396" i="1"/>
  <c r="AK395" i="1"/>
  <c r="AH395" i="1"/>
  <c r="AG395" i="1"/>
  <c r="AF395" i="1"/>
  <c r="AE395" i="1"/>
  <c r="AD395" i="1"/>
  <c r="AC395" i="1"/>
  <c r="U395" i="1"/>
  <c r="AK394" i="1"/>
  <c r="AJ394" i="1"/>
  <c r="AI394" i="1"/>
  <c r="AH394" i="1"/>
  <c r="AG394" i="1"/>
  <c r="AF394" i="1"/>
  <c r="AE394" i="1"/>
  <c r="AD394" i="1"/>
  <c r="AC394" i="1"/>
  <c r="AA394" i="1"/>
  <c r="Z394" i="1"/>
  <c r="U394" i="1"/>
  <c r="R394" i="1"/>
  <c r="Q394" i="1"/>
  <c r="P394" i="1"/>
  <c r="O394" i="1"/>
  <c r="N394" i="1"/>
  <c r="M394" i="1"/>
  <c r="L394" i="1"/>
  <c r="J394" i="1"/>
  <c r="I394" i="1"/>
  <c r="C394" i="1"/>
  <c r="AK393" i="1"/>
  <c r="AH393" i="1"/>
  <c r="AG393" i="1"/>
  <c r="AF393" i="1"/>
  <c r="AE393" i="1"/>
  <c r="AD393" i="1"/>
  <c r="AC393" i="1"/>
  <c r="U393" i="1"/>
  <c r="AK392" i="1"/>
  <c r="AJ392" i="1"/>
  <c r="AI392" i="1"/>
  <c r="AH392" i="1"/>
  <c r="AG392" i="1"/>
  <c r="AF392" i="1"/>
  <c r="AE392" i="1"/>
  <c r="AD392" i="1"/>
  <c r="AC392" i="1"/>
  <c r="AA392" i="1"/>
  <c r="Z392" i="1"/>
  <c r="U392" i="1"/>
  <c r="R392" i="1"/>
  <c r="Q392" i="1"/>
  <c r="P392" i="1"/>
  <c r="O392" i="1"/>
  <c r="N392" i="1"/>
  <c r="M392" i="1"/>
  <c r="L392" i="1"/>
  <c r="J392" i="1"/>
  <c r="I392" i="1"/>
  <c r="C392" i="1"/>
  <c r="AK391" i="1"/>
  <c r="AH391" i="1"/>
  <c r="AG391" i="1"/>
  <c r="AF391" i="1"/>
  <c r="AE391" i="1"/>
  <c r="AD391" i="1"/>
  <c r="AC391" i="1"/>
  <c r="U391" i="1"/>
  <c r="AK390" i="1"/>
  <c r="AJ390" i="1"/>
  <c r="AI390" i="1"/>
  <c r="AH390" i="1"/>
  <c r="AG390" i="1"/>
  <c r="AF390" i="1"/>
  <c r="AE390" i="1"/>
  <c r="AD390" i="1"/>
  <c r="AC390" i="1"/>
  <c r="AA390" i="1"/>
  <c r="Z390" i="1"/>
  <c r="U390" i="1"/>
  <c r="R390" i="1"/>
  <c r="Q390" i="1"/>
  <c r="P390" i="1"/>
  <c r="O390" i="1"/>
  <c r="N390" i="1"/>
  <c r="M390" i="1"/>
  <c r="L390" i="1"/>
  <c r="J390" i="1"/>
  <c r="I390" i="1"/>
  <c r="C390" i="1"/>
  <c r="AK389" i="1"/>
  <c r="AH389" i="1"/>
  <c r="AG389" i="1"/>
  <c r="AF389" i="1"/>
  <c r="AE389" i="1"/>
  <c r="AD389" i="1"/>
  <c r="AC389" i="1"/>
  <c r="U389" i="1"/>
  <c r="AK388" i="1"/>
  <c r="AJ388" i="1"/>
  <c r="AI388" i="1"/>
  <c r="AH388" i="1"/>
  <c r="AG388" i="1"/>
  <c r="AF388" i="1"/>
  <c r="AE388" i="1"/>
  <c r="AD388" i="1"/>
  <c r="AC388" i="1"/>
  <c r="AA388" i="1"/>
  <c r="Z388" i="1"/>
  <c r="U388" i="1"/>
  <c r="R388" i="1"/>
  <c r="Q388" i="1"/>
  <c r="P388" i="1"/>
  <c r="O388" i="1"/>
  <c r="N388" i="1"/>
  <c r="M388" i="1"/>
  <c r="L388" i="1"/>
  <c r="J388" i="1"/>
  <c r="I388" i="1"/>
  <c r="C388" i="1"/>
  <c r="AK387" i="1"/>
  <c r="AH387" i="1"/>
  <c r="AG387" i="1"/>
  <c r="AF387" i="1"/>
  <c r="AE387" i="1"/>
  <c r="AD387" i="1"/>
  <c r="AC387" i="1"/>
  <c r="U387" i="1"/>
  <c r="AK386" i="1"/>
  <c r="AJ386" i="1"/>
  <c r="AI386" i="1"/>
  <c r="AH386" i="1"/>
  <c r="AG386" i="1"/>
  <c r="AF386" i="1"/>
  <c r="AE386" i="1"/>
  <c r="AD386" i="1"/>
  <c r="AC386" i="1"/>
  <c r="AA386" i="1"/>
  <c r="Z386" i="1"/>
  <c r="U386" i="1"/>
  <c r="R386" i="1"/>
  <c r="Q386" i="1"/>
  <c r="P386" i="1"/>
  <c r="O386" i="1"/>
  <c r="N386" i="1"/>
  <c r="M386" i="1"/>
  <c r="L386" i="1"/>
  <c r="J386" i="1"/>
  <c r="I386" i="1"/>
  <c r="C386" i="1"/>
  <c r="AK385" i="1"/>
  <c r="AH385" i="1"/>
  <c r="AG385" i="1"/>
  <c r="AF385" i="1"/>
  <c r="AE385" i="1"/>
  <c r="AD385" i="1"/>
  <c r="AC385" i="1"/>
  <c r="U385" i="1"/>
  <c r="AK384" i="1"/>
  <c r="AJ384" i="1"/>
  <c r="AI384" i="1"/>
  <c r="AH384" i="1"/>
  <c r="AG384" i="1"/>
  <c r="AF384" i="1"/>
  <c r="AE384" i="1"/>
  <c r="AD384" i="1"/>
  <c r="AC384" i="1"/>
  <c r="AA384" i="1"/>
  <c r="Z384" i="1"/>
  <c r="U384" i="1"/>
  <c r="R384" i="1"/>
  <c r="Q384" i="1"/>
  <c r="P384" i="1"/>
  <c r="O384" i="1"/>
  <c r="N384" i="1"/>
  <c r="M384" i="1"/>
  <c r="L384" i="1"/>
  <c r="J384" i="1"/>
  <c r="I384" i="1"/>
  <c r="C384" i="1"/>
  <c r="AK383" i="1"/>
  <c r="AH383" i="1"/>
  <c r="AG383" i="1"/>
  <c r="AF383" i="1"/>
  <c r="AE383" i="1"/>
  <c r="AD383" i="1"/>
  <c r="AC383" i="1"/>
  <c r="U383" i="1"/>
  <c r="AK382" i="1"/>
  <c r="AJ382" i="1"/>
  <c r="AI382" i="1"/>
  <c r="AH382" i="1"/>
  <c r="AG382" i="1"/>
  <c r="AF382" i="1"/>
  <c r="AE382" i="1"/>
  <c r="AD382" i="1"/>
  <c r="AC382" i="1"/>
  <c r="AA382" i="1"/>
  <c r="Z382" i="1"/>
  <c r="U382" i="1"/>
  <c r="R382" i="1"/>
  <c r="Q382" i="1"/>
  <c r="P382" i="1"/>
  <c r="O382" i="1"/>
  <c r="N382" i="1"/>
  <c r="M382" i="1"/>
  <c r="L382" i="1"/>
  <c r="J382" i="1"/>
  <c r="I382" i="1"/>
  <c r="C382" i="1"/>
  <c r="AK381" i="1"/>
  <c r="AH381" i="1"/>
  <c r="AG381" i="1"/>
  <c r="AF381" i="1"/>
  <c r="AE381" i="1"/>
  <c r="AD381" i="1"/>
  <c r="AC381" i="1"/>
  <c r="U381" i="1"/>
  <c r="AK380" i="1"/>
  <c r="AJ380" i="1"/>
  <c r="AI380" i="1"/>
  <c r="AH380" i="1"/>
  <c r="AG380" i="1"/>
  <c r="AF380" i="1"/>
  <c r="AE380" i="1"/>
  <c r="AD380" i="1"/>
  <c r="AC380" i="1"/>
  <c r="AA380" i="1"/>
  <c r="Z380" i="1"/>
  <c r="U380" i="1"/>
  <c r="R380" i="1"/>
  <c r="Q380" i="1"/>
  <c r="P380" i="1"/>
  <c r="O380" i="1"/>
  <c r="N380" i="1"/>
  <c r="M380" i="1"/>
  <c r="L380" i="1"/>
  <c r="J380" i="1"/>
  <c r="I380" i="1"/>
  <c r="C380" i="1"/>
  <c r="AK379" i="1"/>
  <c r="AH379" i="1"/>
  <c r="AG379" i="1"/>
  <c r="AF379" i="1"/>
  <c r="AE379" i="1"/>
  <c r="AD379" i="1"/>
  <c r="AC379" i="1"/>
  <c r="U379" i="1"/>
  <c r="AK378" i="1"/>
  <c r="AJ378" i="1"/>
  <c r="AI378" i="1"/>
  <c r="AH378" i="1"/>
  <c r="AG378" i="1"/>
  <c r="AF378" i="1"/>
  <c r="AE378" i="1"/>
  <c r="AD378" i="1"/>
  <c r="AC378" i="1"/>
  <c r="AA378" i="1"/>
  <c r="Z378" i="1"/>
  <c r="U378" i="1"/>
  <c r="R378" i="1"/>
  <c r="Q378" i="1"/>
  <c r="P378" i="1"/>
  <c r="O378" i="1"/>
  <c r="N378" i="1"/>
  <c r="M378" i="1"/>
  <c r="L378" i="1"/>
  <c r="J378" i="1"/>
  <c r="I378" i="1"/>
  <c r="C378" i="1"/>
  <c r="AK377" i="1"/>
  <c r="AH377" i="1"/>
  <c r="AG377" i="1"/>
  <c r="AF377" i="1"/>
  <c r="AE377" i="1"/>
  <c r="AD377" i="1"/>
  <c r="AC377" i="1"/>
  <c r="U377" i="1"/>
  <c r="AK376" i="1"/>
  <c r="AJ376" i="1"/>
  <c r="AI376" i="1"/>
  <c r="AH376" i="1"/>
  <c r="AG376" i="1"/>
  <c r="AF376" i="1"/>
  <c r="AE376" i="1"/>
  <c r="AD376" i="1"/>
  <c r="AC376" i="1"/>
  <c r="AA376" i="1"/>
  <c r="Z376" i="1"/>
  <c r="U376" i="1"/>
  <c r="R376" i="1"/>
  <c r="Q376" i="1"/>
  <c r="P376" i="1"/>
  <c r="O376" i="1"/>
  <c r="N376" i="1"/>
  <c r="M376" i="1"/>
  <c r="L376" i="1"/>
  <c r="J376" i="1"/>
  <c r="I376" i="1"/>
  <c r="C376" i="1"/>
  <c r="AK375" i="1"/>
  <c r="AH375" i="1"/>
  <c r="AG375" i="1"/>
  <c r="AF375" i="1"/>
  <c r="AE375" i="1"/>
  <c r="AD375" i="1"/>
  <c r="AC375" i="1"/>
  <c r="U375" i="1"/>
  <c r="AK374" i="1"/>
  <c r="AJ374" i="1"/>
  <c r="AI374" i="1"/>
  <c r="AH374" i="1"/>
  <c r="AG374" i="1"/>
  <c r="AF374" i="1"/>
  <c r="AE374" i="1"/>
  <c r="AD374" i="1"/>
  <c r="AC374" i="1"/>
  <c r="AA374" i="1"/>
  <c r="Z374" i="1"/>
  <c r="U374" i="1"/>
  <c r="R374" i="1"/>
  <c r="Q374" i="1"/>
  <c r="P374" i="1"/>
  <c r="O374" i="1"/>
  <c r="N374" i="1"/>
  <c r="M374" i="1"/>
  <c r="L374" i="1"/>
  <c r="J374" i="1"/>
  <c r="I374" i="1"/>
  <c r="C374" i="1"/>
  <c r="AK373" i="1"/>
  <c r="AH373" i="1"/>
  <c r="AG373" i="1"/>
  <c r="AF373" i="1"/>
  <c r="AE373" i="1"/>
  <c r="AD373" i="1"/>
  <c r="AC373" i="1"/>
  <c r="U373" i="1"/>
  <c r="AK372" i="1"/>
  <c r="AJ372" i="1"/>
  <c r="AI372" i="1"/>
  <c r="AH372" i="1"/>
  <c r="AG372" i="1"/>
  <c r="AF372" i="1"/>
  <c r="AE372" i="1"/>
  <c r="AD372" i="1"/>
  <c r="AC372" i="1"/>
  <c r="AA372" i="1"/>
  <c r="Z372" i="1"/>
  <c r="U372" i="1"/>
  <c r="R372" i="1"/>
  <c r="Q372" i="1"/>
  <c r="P372" i="1"/>
  <c r="O372" i="1"/>
  <c r="N372" i="1"/>
  <c r="M372" i="1"/>
  <c r="L372" i="1"/>
  <c r="J372" i="1"/>
  <c r="I372" i="1"/>
  <c r="C372" i="1"/>
  <c r="AK371" i="1"/>
  <c r="AH371" i="1"/>
  <c r="AG371" i="1"/>
  <c r="AF371" i="1"/>
  <c r="AE371" i="1"/>
  <c r="AD371" i="1"/>
  <c r="AC371" i="1"/>
  <c r="U371" i="1"/>
  <c r="AK370" i="1"/>
  <c r="AJ370" i="1"/>
  <c r="AI370" i="1"/>
  <c r="AH370" i="1"/>
  <c r="AG370" i="1"/>
  <c r="AF370" i="1"/>
  <c r="AE370" i="1"/>
  <c r="AD370" i="1"/>
  <c r="AC370" i="1"/>
  <c r="AA370" i="1"/>
  <c r="Z370" i="1"/>
  <c r="U370" i="1"/>
  <c r="R370" i="1"/>
  <c r="Q370" i="1"/>
  <c r="P370" i="1"/>
  <c r="O370" i="1"/>
  <c r="N370" i="1"/>
  <c r="M370" i="1"/>
  <c r="L370" i="1"/>
  <c r="J370" i="1"/>
  <c r="I370" i="1"/>
  <c r="C370" i="1"/>
  <c r="AK369" i="1"/>
  <c r="AH369" i="1"/>
  <c r="AG369" i="1"/>
  <c r="AF369" i="1"/>
  <c r="AE369" i="1"/>
  <c r="AD369" i="1"/>
  <c r="AC369" i="1"/>
  <c r="U369" i="1"/>
  <c r="AK368" i="1"/>
  <c r="AJ368" i="1"/>
  <c r="AI368" i="1"/>
  <c r="AH368" i="1"/>
  <c r="AG368" i="1"/>
  <c r="AF368" i="1"/>
  <c r="AE368" i="1"/>
  <c r="AD368" i="1"/>
  <c r="AC368" i="1"/>
  <c r="AA368" i="1"/>
  <c r="Z368" i="1"/>
  <c r="U368" i="1"/>
  <c r="R368" i="1"/>
  <c r="Q368" i="1"/>
  <c r="P368" i="1"/>
  <c r="O368" i="1"/>
  <c r="N368" i="1"/>
  <c r="M368" i="1"/>
  <c r="L368" i="1"/>
  <c r="J368" i="1"/>
  <c r="I368" i="1"/>
  <c r="C368" i="1"/>
  <c r="AK367" i="1"/>
  <c r="AH367" i="1"/>
  <c r="AG367" i="1"/>
  <c r="AF367" i="1"/>
  <c r="AE367" i="1"/>
  <c r="AD367" i="1"/>
  <c r="AC367" i="1"/>
  <c r="U367" i="1"/>
  <c r="AK366" i="1"/>
  <c r="AJ366" i="1"/>
  <c r="AI366" i="1"/>
  <c r="AH366" i="1"/>
  <c r="AG366" i="1"/>
  <c r="AF366" i="1"/>
  <c r="AE366" i="1"/>
  <c r="AD366" i="1"/>
  <c r="AC366" i="1"/>
  <c r="AA366" i="1"/>
  <c r="Z366" i="1"/>
  <c r="U366" i="1"/>
  <c r="R366" i="1"/>
  <c r="Q366" i="1"/>
  <c r="P366" i="1"/>
  <c r="O366" i="1"/>
  <c r="N366" i="1"/>
  <c r="M366" i="1"/>
  <c r="L366" i="1"/>
  <c r="J366" i="1"/>
  <c r="I366" i="1"/>
  <c r="C366" i="1"/>
  <c r="AK365" i="1"/>
  <c r="AH365" i="1"/>
  <c r="AG365" i="1"/>
  <c r="AF365" i="1"/>
  <c r="AE365" i="1"/>
  <c r="AD365" i="1"/>
  <c r="AC365" i="1"/>
  <c r="U365" i="1"/>
  <c r="AK364" i="1"/>
  <c r="AJ364" i="1"/>
  <c r="AI364" i="1"/>
  <c r="AH364" i="1"/>
  <c r="AG364" i="1"/>
  <c r="AF364" i="1"/>
  <c r="AE364" i="1"/>
  <c r="AD364" i="1"/>
  <c r="AC364" i="1"/>
  <c r="AA364" i="1"/>
  <c r="Z364" i="1"/>
  <c r="U364" i="1"/>
  <c r="R364" i="1"/>
  <c r="Q364" i="1"/>
  <c r="P364" i="1"/>
  <c r="O364" i="1"/>
  <c r="N364" i="1"/>
  <c r="M364" i="1"/>
  <c r="L364" i="1"/>
  <c r="J364" i="1"/>
  <c r="I364" i="1"/>
  <c r="C364" i="1"/>
  <c r="AK363" i="1"/>
  <c r="AH363" i="1"/>
  <c r="AG363" i="1"/>
  <c r="AF363" i="1"/>
  <c r="AE363" i="1"/>
  <c r="AD363" i="1"/>
  <c r="AC363" i="1"/>
  <c r="U363" i="1"/>
  <c r="AK362" i="1"/>
  <c r="AJ362" i="1"/>
  <c r="AI362" i="1"/>
  <c r="AH362" i="1"/>
  <c r="AG362" i="1"/>
  <c r="AF362" i="1"/>
  <c r="AE362" i="1"/>
  <c r="AD362" i="1"/>
  <c r="AC362" i="1"/>
  <c r="AA362" i="1"/>
  <c r="Z362" i="1"/>
  <c r="U362" i="1"/>
  <c r="R362" i="1"/>
  <c r="Q362" i="1"/>
  <c r="P362" i="1"/>
  <c r="O362" i="1"/>
  <c r="N362" i="1"/>
  <c r="M362" i="1"/>
  <c r="L362" i="1"/>
  <c r="J362" i="1"/>
  <c r="I362" i="1"/>
  <c r="C362" i="1"/>
  <c r="AK361" i="1"/>
  <c r="AH361" i="1"/>
  <c r="AG361" i="1"/>
  <c r="AF361" i="1"/>
  <c r="AE361" i="1"/>
  <c r="AD361" i="1"/>
  <c r="AC361" i="1"/>
  <c r="U361" i="1"/>
  <c r="AK360" i="1"/>
  <c r="AJ360" i="1"/>
  <c r="AI360" i="1"/>
  <c r="AH360" i="1"/>
  <c r="AG360" i="1"/>
  <c r="AF360" i="1"/>
  <c r="AE360" i="1"/>
  <c r="AD360" i="1"/>
  <c r="AC360" i="1"/>
  <c r="AA360" i="1"/>
  <c r="Z360" i="1"/>
  <c r="U360" i="1"/>
  <c r="R360" i="1"/>
  <c r="Q360" i="1"/>
  <c r="P360" i="1"/>
  <c r="O360" i="1"/>
  <c r="N360" i="1"/>
  <c r="M360" i="1"/>
  <c r="L360" i="1"/>
  <c r="J360" i="1"/>
  <c r="I360" i="1"/>
  <c r="C360" i="1"/>
  <c r="AK359" i="1"/>
  <c r="AH359" i="1"/>
  <c r="AG359" i="1"/>
  <c r="AF359" i="1"/>
  <c r="AE359" i="1"/>
  <c r="AD359" i="1"/>
  <c r="AC359" i="1"/>
  <c r="U359" i="1"/>
  <c r="AK358" i="1"/>
  <c r="AJ358" i="1"/>
  <c r="AI358" i="1"/>
  <c r="AH358" i="1"/>
  <c r="AG358" i="1"/>
  <c r="AF358" i="1"/>
  <c r="AE358" i="1"/>
  <c r="AD358" i="1"/>
  <c r="AC358" i="1"/>
  <c r="AA358" i="1"/>
  <c r="Z358" i="1"/>
  <c r="U358" i="1"/>
  <c r="R358" i="1"/>
  <c r="Q358" i="1"/>
  <c r="P358" i="1"/>
  <c r="O358" i="1"/>
  <c r="N358" i="1"/>
  <c r="M358" i="1"/>
  <c r="L358" i="1"/>
  <c r="J358" i="1"/>
  <c r="I358" i="1"/>
  <c r="C358" i="1"/>
  <c r="AK357" i="1"/>
  <c r="AH357" i="1"/>
  <c r="AG357" i="1"/>
  <c r="AF357" i="1"/>
  <c r="AE357" i="1"/>
  <c r="AD357" i="1"/>
  <c r="AC357" i="1"/>
  <c r="U357" i="1"/>
  <c r="AK356" i="1"/>
  <c r="AJ356" i="1"/>
  <c r="AI356" i="1"/>
  <c r="AH356" i="1"/>
  <c r="AG356" i="1"/>
  <c r="AF356" i="1"/>
  <c r="AE356" i="1"/>
  <c r="AD356" i="1"/>
  <c r="AC356" i="1"/>
  <c r="AA356" i="1"/>
  <c r="Z356" i="1"/>
  <c r="U356" i="1"/>
  <c r="R356" i="1"/>
  <c r="Q356" i="1"/>
  <c r="P356" i="1"/>
  <c r="O356" i="1"/>
  <c r="N356" i="1"/>
  <c r="M356" i="1"/>
  <c r="L356" i="1"/>
  <c r="J356" i="1"/>
  <c r="I356" i="1"/>
  <c r="C356" i="1"/>
  <c r="AK355" i="1"/>
  <c r="AH355" i="1"/>
  <c r="AG355" i="1"/>
  <c r="AF355" i="1"/>
  <c r="AE355" i="1"/>
  <c r="AD355" i="1"/>
  <c r="AC355" i="1"/>
  <c r="U355" i="1"/>
  <c r="AK354" i="1"/>
  <c r="AJ354" i="1"/>
  <c r="AI354" i="1"/>
  <c r="AH354" i="1"/>
  <c r="AG354" i="1"/>
  <c r="AF354" i="1"/>
  <c r="AE354" i="1"/>
  <c r="AD354" i="1"/>
  <c r="AC354" i="1"/>
  <c r="AA354" i="1"/>
  <c r="Z354" i="1"/>
  <c r="U354" i="1"/>
  <c r="R354" i="1"/>
  <c r="Q354" i="1"/>
  <c r="P354" i="1"/>
  <c r="O354" i="1"/>
  <c r="N354" i="1"/>
  <c r="M354" i="1"/>
  <c r="L354" i="1"/>
  <c r="J354" i="1"/>
  <c r="I354" i="1"/>
  <c r="C354" i="1"/>
  <c r="AK353" i="1"/>
  <c r="AH353" i="1"/>
  <c r="AG353" i="1"/>
  <c r="AF353" i="1"/>
  <c r="AE353" i="1"/>
  <c r="AD353" i="1"/>
  <c r="AC353" i="1"/>
  <c r="U353" i="1"/>
  <c r="AK352" i="1"/>
  <c r="AJ352" i="1"/>
  <c r="AI352" i="1"/>
  <c r="AH352" i="1"/>
  <c r="AG352" i="1"/>
  <c r="AF352" i="1"/>
  <c r="AE352" i="1"/>
  <c r="AD352" i="1"/>
  <c r="AC352" i="1"/>
  <c r="AA352" i="1"/>
  <c r="Z352" i="1"/>
  <c r="U352" i="1"/>
  <c r="R352" i="1"/>
  <c r="Q352" i="1"/>
  <c r="P352" i="1"/>
  <c r="O352" i="1"/>
  <c r="N352" i="1"/>
  <c r="M352" i="1"/>
  <c r="L352" i="1"/>
  <c r="J352" i="1"/>
  <c r="I352" i="1"/>
  <c r="C352" i="1"/>
  <c r="AK351" i="1"/>
  <c r="AH351" i="1"/>
  <c r="AG351" i="1"/>
  <c r="AF351" i="1"/>
  <c r="AE351" i="1"/>
  <c r="AD351" i="1"/>
  <c r="AC351" i="1"/>
  <c r="U351" i="1"/>
  <c r="AK350" i="1"/>
  <c r="AJ350" i="1"/>
  <c r="AI350" i="1"/>
  <c r="AH350" i="1"/>
  <c r="AG350" i="1"/>
  <c r="AF350" i="1"/>
  <c r="AE350" i="1"/>
  <c r="AD350" i="1"/>
  <c r="AC350" i="1"/>
  <c r="AA350" i="1"/>
  <c r="Z350" i="1"/>
  <c r="U350" i="1"/>
  <c r="R350" i="1"/>
  <c r="Q350" i="1"/>
  <c r="P350" i="1"/>
  <c r="O350" i="1"/>
  <c r="N350" i="1"/>
  <c r="M350" i="1"/>
  <c r="L350" i="1"/>
  <c r="J350" i="1"/>
  <c r="I350" i="1"/>
  <c r="C350" i="1"/>
  <c r="AK349" i="1"/>
  <c r="AH349" i="1"/>
  <c r="AG349" i="1"/>
  <c r="AF349" i="1"/>
  <c r="AE349" i="1"/>
  <c r="AD349" i="1"/>
  <c r="AC349" i="1"/>
  <c r="U349" i="1"/>
  <c r="AK348" i="1"/>
  <c r="AJ348" i="1"/>
  <c r="AI348" i="1"/>
  <c r="AH348" i="1"/>
  <c r="AG348" i="1"/>
  <c r="AF348" i="1"/>
  <c r="AE348" i="1"/>
  <c r="AD348" i="1"/>
  <c r="AC348" i="1"/>
  <c r="AA348" i="1"/>
  <c r="Z348" i="1"/>
  <c r="U348" i="1"/>
  <c r="R348" i="1"/>
  <c r="Q348" i="1"/>
  <c r="P348" i="1"/>
  <c r="O348" i="1"/>
  <c r="N348" i="1"/>
  <c r="M348" i="1"/>
  <c r="L348" i="1"/>
  <c r="J348" i="1"/>
  <c r="I348" i="1"/>
  <c r="C348" i="1"/>
  <c r="AK347" i="1"/>
  <c r="AH347" i="1"/>
  <c r="AG347" i="1"/>
  <c r="AF347" i="1"/>
  <c r="AE347" i="1"/>
  <c r="AD347" i="1"/>
  <c r="AC347" i="1"/>
  <c r="U347" i="1"/>
  <c r="AK346" i="1"/>
  <c r="AJ346" i="1"/>
  <c r="AI346" i="1"/>
  <c r="AH346" i="1"/>
  <c r="AG346" i="1"/>
  <c r="AF346" i="1"/>
  <c r="AE346" i="1"/>
  <c r="AD346" i="1"/>
  <c r="AC346" i="1"/>
  <c r="AA346" i="1"/>
  <c r="Z346" i="1"/>
  <c r="U346" i="1"/>
  <c r="R346" i="1"/>
  <c r="Q346" i="1"/>
  <c r="P346" i="1"/>
  <c r="O346" i="1"/>
  <c r="N346" i="1"/>
  <c r="M346" i="1"/>
  <c r="L346" i="1"/>
  <c r="J346" i="1"/>
  <c r="I346" i="1"/>
  <c r="C346" i="1"/>
  <c r="AK345" i="1"/>
  <c r="AH345" i="1"/>
  <c r="AG345" i="1"/>
  <c r="AF345" i="1"/>
  <c r="AE345" i="1"/>
  <c r="AD345" i="1"/>
  <c r="AC345" i="1"/>
  <c r="U345" i="1"/>
  <c r="AK344" i="1"/>
  <c r="AJ344" i="1"/>
  <c r="AI344" i="1"/>
  <c r="AH344" i="1"/>
  <c r="AG344" i="1"/>
  <c r="AF344" i="1"/>
  <c r="AE344" i="1"/>
  <c r="AD344" i="1"/>
  <c r="AC344" i="1"/>
  <c r="AA344" i="1"/>
  <c r="Z344" i="1"/>
  <c r="U344" i="1"/>
  <c r="R344" i="1"/>
  <c r="Q344" i="1"/>
  <c r="P344" i="1"/>
  <c r="O344" i="1"/>
  <c r="N344" i="1"/>
  <c r="M344" i="1"/>
  <c r="L344" i="1"/>
  <c r="J344" i="1"/>
  <c r="I344" i="1"/>
  <c r="C344" i="1"/>
  <c r="AK343" i="1"/>
  <c r="AH343" i="1"/>
  <c r="AG343" i="1"/>
  <c r="AF343" i="1"/>
  <c r="AE343" i="1"/>
  <c r="AD343" i="1"/>
  <c r="AC343" i="1"/>
  <c r="U343" i="1"/>
  <c r="AK342" i="1"/>
  <c r="AJ342" i="1"/>
  <c r="AI342" i="1"/>
  <c r="AH342" i="1"/>
  <c r="AG342" i="1"/>
  <c r="AF342" i="1"/>
  <c r="AE342" i="1"/>
  <c r="AD342" i="1"/>
  <c r="AC342" i="1"/>
  <c r="AA342" i="1"/>
  <c r="Z342" i="1"/>
  <c r="U342" i="1"/>
  <c r="R342" i="1"/>
  <c r="Q342" i="1"/>
  <c r="P342" i="1"/>
  <c r="O342" i="1"/>
  <c r="N342" i="1"/>
  <c r="M342" i="1"/>
  <c r="L342" i="1"/>
  <c r="J342" i="1"/>
  <c r="I342" i="1"/>
  <c r="C342" i="1"/>
  <c r="AK341" i="1"/>
  <c r="AH341" i="1"/>
  <c r="AG341" i="1"/>
  <c r="AF341" i="1"/>
  <c r="AE341" i="1"/>
  <c r="AD341" i="1"/>
  <c r="AC341" i="1"/>
  <c r="U341" i="1"/>
  <c r="AK340" i="1"/>
  <c r="AJ340" i="1"/>
  <c r="AI340" i="1"/>
  <c r="AH340" i="1"/>
  <c r="AG340" i="1"/>
  <c r="AF340" i="1"/>
  <c r="AE340" i="1"/>
  <c r="AD340" i="1"/>
  <c r="AC340" i="1"/>
  <c r="AA340" i="1"/>
  <c r="Z340" i="1"/>
  <c r="U340" i="1"/>
  <c r="R340" i="1"/>
  <c r="Q340" i="1"/>
  <c r="P340" i="1"/>
  <c r="O340" i="1"/>
  <c r="N340" i="1"/>
  <c r="M340" i="1"/>
  <c r="L340" i="1"/>
  <c r="J340" i="1"/>
  <c r="I340" i="1"/>
  <c r="C340" i="1"/>
  <c r="AK339" i="1"/>
  <c r="AH339" i="1"/>
  <c r="AG339" i="1"/>
  <c r="AF339" i="1"/>
  <c r="AE339" i="1"/>
  <c r="AD339" i="1"/>
  <c r="AC339" i="1"/>
  <c r="U339" i="1"/>
  <c r="AK338" i="1"/>
  <c r="AJ338" i="1"/>
  <c r="AI338" i="1"/>
  <c r="AH338" i="1"/>
  <c r="AG338" i="1"/>
  <c r="AF338" i="1"/>
  <c r="AE338" i="1"/>
  <c r="AD338" i="1"/>
  <c r="AC338" i="1"/>
  <c r="AA338" i="1"/>
  <c r="Z338" i="1"/>
  <c r="U338" i="1"/>
  <c r="R338" i="1"/>
  <c r="Q338" i="1"/>
  <c r="P338" i="1"/>
  <c r="O338" i="1"/>
  <c r="N338" i="1"/>
  <c r="M338" i="1"/>
  <c r="L338" i="1"/>
  <c r="J338" i="1"/>
  <c r="I338" i="1"/>
  <c r="C338" i="1"/>
  <c r="AK337" i="1"/>
  <c r="AH337" i="1"/>
  <c r="AG337" i="1"/>
  <c r="AF337" i="1"/>
  <c r="AE337" i="1"/>
  <c r="AD337" i="1"/>
  <c r="AC337" i="1"/>
  <c r="U337" i="1"/>
  <c r="AK336" i="1"/>
  <c r="AJ336" i="1"/>
  <c r="AI336" i="1"/>
  <c r="AH336" i="1"/>
  <c r="AG336" i="1"/>
  <c r="AF336" i="1"/>
  <c r="AE336" i="1"/>
  <c r="AD336" i="1"/>
  <c r="AC336" i="1"/>
  <c r="AA336" i="1"/>
  <c r="Z336" i="1"/>
  <c r="U336" i="1"/>
  <c r="R336" i="1"/>
  <c r="Q336" i="1"/>
  <c r="P336" i="1"/>
  <c r="O336" i="1"/>
  <c r="N336" i="1"/>
  <c r="M336" i="1"/>
  <c r="L336" i="1"/>
  <c r="J336" i="1"/>
  <c r="I336" i="1"/>
  <c r="C336" i="1"/>
  <c r="AK335" i="1"/>
  <c r="AH335" i="1"/>
  <c r="AG335" i="1"/>
  <c r="AF335" i="1"/>
  <c r="AE335" i="1"/>
  <c r="AD335" i="1"/>
  <c r="AC335" i="1"/>
  <c r="U335" i="1"/>
  <c r="AK334" i="1"/>
  <c r="AJ334" i="1"/>
  <c r="AI334" i="1"/>
  <c r="AH334" i="1"/>
  <c r="AG334" i="1"/>
  <c r="AF334" i="1"/>
  <c r="AE334" i="1"/>
  <c r="AD334" i="1"/>
  <c r="AC334" i="1"/>
  <c r="AA334" i="1"/>
  <c r="Z334" i="1"/>
  <c r="U334" i="1"/>
  <c r="R334" i="1"/>
  <c r="Q334" i="1"/>
  <c r="P334" i="1"/>
  <c r="O334" i="1"/>
  <c r="N334" i="1"/>
  <c r="M334" i="1"/>
  <c r="L334" i="1"/>
  <c r="J334" i="1"/>
  <c r="I334" i="1"/>
  <c r="C334" i="1"/>
  <c r="AK333" i="1"/>
  <c r="AH333" i="1"/>
  <c r="AG333" i="1"/>
  <c r="AF333" i="1"/>
  <c r="AE333" i="1"/>
  <c r="AD333" i="1"/>
  <c r="AC333" i="1"/>
  <c r="U333" i="1"/>
  <c r="AK332" i="1"/>
  <c r="AJ332" i="1"/>
  <c r="AI332" i="1"/>
  <c r="AH332" i="1"/>
  <c r="AG332" i="1"/>
  <c r="AF332" i="1"/>
  <c r="AE332" i="1"/>
  <c r="AD332" i="1"/>
  <c r="AC332" i="1"/>
  <c r="AA332" i="1"/>
  <c r="Z332" i="1"/>
  <c r="U332" i="1"/>
  <c r="R332" i="1"/>
  <c r="Q332" i="1"/>
  <c r="P332" i="1"/>
  <c r="O332" i="1"/>
  <c r="N332" i="1"/>
  <c r="M332" i="1"/>
  <c r="L332" i="1"/>
  <c r="J332" i="1"/>
  <c r="I332" i="1"/>
  <c r="C332" i="1"/>
  <c r="AK331" i="1"/>
  <c r="AH331" i="1"/>
  <c r="AG331" i="1"/>
  <c r="AF331" i="1"/>
  <c r="AE331" i="1"/>
  <c r="AD331" i="1"/>
  <c r="AC331" i="1"/>
  <c r="U331" i="1"/>
  <c r="AK330" i="1"/>
  <c r="AJ330" i="1"/>
  <c r="AI330" i="1"/>
  <c r="AH330" i="1"/>
  <c r="AG330" i="1"/>
  <c r="AF330" i="1"/>
  <c r="AE330" i="1"/>
  <c r="AD330" i="1"/>
  <c r="AC330" i="1"/>
  <c r="AA330" i="1"/>
  <c r="Z330" i="1"/>
  <c r="U330" i="1"/>
  <c r="R330" i="1"/>
  <c r="Q330" i="1"/>
  <c r="P330" i="1"/>
  <c r="O330" i="1"/>
  <c r="N330" i="1"/>
  <c r="M330" i="1"/>
  <c r="L330" i="1"/>
  <c r="J330" i="1"/>
  <c r="I330" i="1"/>
  <c r="C330" i="1"/>
  <c r="AK329" i="1"/>
  <c r="AH329" i="1"/>
  <c r="AG329" i="1"/>
  <c r="AF329" i="1"/>
  <c r="AE329" i="1"/>
  <c r="AD329" i="1"/>
  <c r="AC329" i="1"/>
  <c r="U329" i="1"/>
  <c r="AK328" i="1"/>
  <c r="AJ328" i="1"/>
  <c r="AI328" i="1"/>
  <c r="AH328" i="1"/>
  <c r="AG328" i="1"/>
  <c r="AF328" i="1"/>
  <c r="AE328" i="1"/>
  <c r="AD328" i="1"/>
  <c r="AC328" i="1"/>
  <c r="AA328" i="1"/>
  <c r="Z328" i="1"/>
  <c r="U328" i="1"/>
  <c r="R328" i="1"/>
  <c r="Q328" i="1"/>
  <c r="P328" i="1"/>
  <c r="O328" i="1"/>
  <c r="N328" i="1"/>
  <c r="M328" i="1"/>
  <c r="L328" i="1"/>
  <c r="J328" i="1"/>
  <c r="I328" i="1"/>
  <c r="C328" i="1"/>
  <c r="AK327" i="1"/>
  <c r="AH327" i="1"/>
  <c r="AG327" i="1"/>
  <c r="AF327" i="1"/>
  <c r="AE327" i="1"/>
  <c r="AD327" i="1"/>
  <c r="AC327" i="1"/>
  <c r="U327" i="1"/>
  <c r="AK326" i="1"/>
  <c r="AJ326" i="1"/>
  <c r="AI326" i="1"/>
  <c r="AH326" i="1"/>
  <c r="AG326" i="1"/>
  <c r="AF326" i="1"/>
  <c r="AE326" i="1"/>
  <c r="AD326" i="1"/>
  <c r="AC326" i="1"/>
  <c r="AA326" i="1"/>
  <c r="Z326" i="1"/>
  <c r="U326" i="1"/>
  <c r="R326" i="1"/>
  <c r="Q326" i="1"/>
  <c r="P326" i="1"/>
  <c r="O326" i="1"/>
  <c r="N326" i="1"/>
  <c r="M326" i="1"/>
  <c r="L326" i="1"/>
  <c r="J326" i="1"/>
  <c r="I326" i="1"/>
  <c r="C326" i="1"/>
  <c r="AK325" i="1"/>
  <c r="AH325" i="1"/>
  <c r="AG325" i="1"/>
  <c r="AF325" i="1"/>
  <c r="AE325" i="1"/>
  <c r="AD325" i="1"/>
  <c r="AC325" i="1"/>
  <c r="U325" i="1"/>
  <c r="AK324" i="1"/>
  <c r="AJ324" i="1"/>
  <c r="AI324" i="1"/>
  <c r="AH324" i="1"/>
  <c r="AG324" i="1"/>
  <c r="AF324" i="1"/>
  <c r="AE324" i="1"/>
  <c r="AD324" i="1"/>
  <c r="AC324" i="1"/>
  <c r="AA324" i="1"/>
  <c r="Z324" i="1"/>
  <c r="U324" i="1"/>
  <c r="R324" i="1"/>
  <c r="Q324" i="1"/>
  <c r="P324" i="1"/>
  <c r="O324" i="1"/>
  <c r="N324" i="1"/>
  <c r="M324" i="1"/>
  <c r="L324" i="1"/>
  <c r="J324" i="1"/>
  <c r="I324" i="1"/>
  <c r="C324" i="1"/>
  <c r="AK323" i="1"/>
  <c r="AH323" i="1"/>
  <c r="AG323" i="1"/>
  <c r="AF323" i="1"/>
  <c r="AE323" i="1"/>
  <c r="AD323" i="1"/>
  <c r="AC323" i="1"/>
  <c r="U323" i="1"/>
  <c r="AK322" i="1"/>
  <c r="AJ322" i="1"/>
  <c r="AI322" i="1"/>
  <c r="AH322" i="1"/>
  <c r="AG322" i="1"/>
  <c r="AF322" i="1"/>
  <c r="AE322" i="1"/>
  <c r="AD322" i="1"/>
  <c r="AC322" i="1"/>
  <c r="AA322" i="1"/>
  <c r="Z322" i="1"/>
  <c r="U322" i="1"/>
  <c r="R322" i="1"/>
  <c r="Q322" i="1"/>
  <c r="P322" i="1"/>
  <c r="O322" i="1"/>
  <c r="N322" i="1"/>
  <c r="M322" i="1"/>
  <c r="L322" i="1"/>
  <c r="J322" i="1"/>
  <c r="I322" i="1"/>
  <c r="C322" i="1"/>
  <c r="AK321" i="1"/>
  <c r="AH321" i="1"/>
  <c r="AG321" i="1"/>
  <c r="AF321" i="1"/>
  <c r="AE321" i="1"/>
  <c r="AD321" i="1"/>
  <c r="AC321" i="1"/>
  <c r="U321" i="1"/>
  <c r="AK320" i="1"/>
  <c r="AJ320" i="1"/>
  <c r="AI320" i="1"/>
  <c r="AH320" i="1"/>
  <c r="AG320" i="1"/>
  <c r="AF320" i="1"/>
  <c r="AE320" i="1"/>
  <c r="AD320" i="1"/>
  <c r="AC320" i="1"/>
  <c r="AA320" i="1"/>
  <c r="Z320" i="1"/>
  <c r="U320" i="1"/>
  <c r="R320" i="1"/>
  <c r="Q320" i="1"/>
  <c r="P320" i="1"/>
  <c r="O320" i="1"/>
  <c r="N320" i="1"/>
  <c r="M320" i="1"/>
  <c r="L320" i="1"/>
  <c r="J320" i="1"/>
  <c r="I320" i="1"/>
  <c r="C320" i="1"/>
  <c r="AK319" i="1"/>
  <c r="AH319" i="1"/>
  <c r="AG319" i="1"/>
  <c r="AF319" i="1"/>
  <c r="AE319" i="1"/>
  <c r="AD319" i="1"/>
  <c r="AC319" i="1"/>
  <c r="U319" i="1"/>
  <c r="AK318" i="1"/>
  <c r="AJ318" i="1"/>
  <c r="AI318" i="1"/>
  <c r="AH318" i="1"/>
  <c r="AG318" i="1"/>
  <c r="AF318" i="1"/>
  <c r="AE318" i="1"/>
  <c r="AD318" i="1"/>
  <c r="AC318" i="1"/>
  <c r="AA318" i="1"/>
  <c r="Z318" i="1"/>
  <c r="U318" i="1"/>
  <c r="R318" i="1"/>
  <c r="Q318" i="1"/>
  <c r="P318" i="1"/>
  <c r="O318" i="1"/>
  <c r="N318" i="1"/>
  <c r="M318" i="1"/>
  <c r="L318" i="1"/>
  <c r="J318" i="1"/>
  <c r="I318" i="1"/>
  <c r="C318" i="1"/>
  <c r="AK317" i="1"/>
  <c r="AH317" i="1"/>
  <c r="AG317" i="1"/>
  <c r="AF317" i="1"/>
  <c r="AE317" i="1"/>
  <c r="AD317" i="1"/>
  <c r="AC317" i="1"/>
  <c r="U317" i="1"/>
  <c r="AK316" i="1"/>
  <c r="AJ316" i="1"/>
  <c r="AI316" i="1"/>
  <c r="AH316" i="1"/>
  <c r="AG316" i="1"/>
  <c r="AF316" i="1"/>
  <c r="AE316" i="1"/>
  <c r="AD316" i="1"/>
  <c r="AC316" i="1"/>
  <c r="AA316" i="1"/>
  <c r="Z316" i="1"/>
  <c r="U316" i="1"/>
  <c r="R316" i="1"/>
  <c r="Q316" i="1"/>
  <c r="P316" i="1"/>
  <c r="O316" i="1"/>
  <c r="N316" i="1"/>
  <c r="M316" i="1"/>
  <c r="L316" i="1"/>
  <c r="J316" i="1"/>
  <c r="I316" i="1"/>
  <c r="C316" i="1"/>
  <c r="AK315" i="1"/>
  <c r="AH315" i="1"/>
  <c r="AG315" i="1"/>
  <c r="AF315" i="1"/>
  <c r="AE315" i="1"/>
  <c r="AD315" i="1"/>
  <c r="AC315" i="1"/>
  <c r="U315" i="1"/>
  <c r="AK314" i="1"/>
  <c r="AJ314" i="1"/>
  <c r="AI314" i="1"/>
  <c r="AH314" i="1"/>
  <c r="AG314" i="1"/>
  <c r="AF314" i="1"/>
  <c r="AE314" i="1"/>
  <c r="AD314" i="1"/>
  <c r="AC314" i="1"/>
  <c r="AA314" i="1"/>
  <c r="Z314" i="1"/>
  <c r="U314" i="1"/>
  <c r="R314" i="1"/>
  <c r="Q314" i="1"/>
  <c r="P314" i="1"/>
  <c r="O314" i="1"/>
  <c r="N314" i="1"/>
  <c r="M314" i="1"/>
  <c r="L314" i="1"/>
  <c r="J314" i="1"/>
  <c r="I314" i="1"/>
  <c r="C314" i="1"/>
  <c r="AK313" i="1"/>
  <c r="AH313" i="1"/>
  <c r="AG313" i="1"/>
  <c r="AF313" i="1"/>
  <c r="AE313" i="1"/>
  <c r="AD313" i="1"/>
  <c r="AC313" i="1"/>
  <c r="U313" i="1"/>
  <c r="AK312" i="1"/>
  <c r="AJ312" i="1"/>
  <c r="AI312" i="1"/>
  <c r="AH312" i="1"/>
  <c r="AG312" i="1"/>
  <c r="AF312" i="1"/>
  <c r="AE312" i="1"/>
  <c r="AD312" i="1"/>
  <c r="AC312" i="1"/>
  <c r="AA312" i="1"/>
  <c r="Z312" i="1"/>
  <c r="U312" i="1"/>
  <c r="R312" i="1"/>
  <c r="Q312" i="1"/>
  <c r="P312" i="1"/>
  <c r="O312" i="1"/>
  <c r="N312" i="1"/>
  <c r="M312" i="1"/>
  <c r="L312" i="1"/>
  <c r="J312" i="1"/>
  <c r="I312" i="1"/>
  <c r="C312" i="1"/>
  <c r="AK311" i="1"/>
  <c r="AH311" i="1"/>
  <c r="AG311" i="1"/>
  <c r="AF311" i="1"/>
  <c r="AE311" i="1"/>
  <c r="AD311" i="1"/>
  <c r="AC311" i="1"/>
  <c r="U311" i="1"/>
  <c r="AK310" i="1"/>
  <c r="AJ310" i="1"/>
  <c r="AI310" i="1"/>
  <c r="AH310" i="1"/>
  <c r="AG310" i="1"/>
  <c r="AF310" i="1"/>
  <c r="AE310" i="1"/>
  <c r="AD310" i="1"/>
  <c r="AC310" i="1"/>
  <c r="AA310" i="1"/>
  <c r="Z310" i="1"/>
  <c r="U310" i="1"/>
  <c r="R310" i="1"/>
  <c r="Q310" i="1"/>
  <c r="P310" i="1"/>
  <c r="O310" i="1"/>
  <c r="N310" i="1"/>
  <c r="M310" i="1"/>
  <c r="L310" i="1"/>
  <c r="J310" i="1"/>
  <c r="I310" i="1"/>
  <c r="C310" i="1"/>
  <c r="AK309" i="1"/>
  <c r="AH309" i="1"/>
  <c r="AG309" i="1"/>
  <c r="AF309" i="1"/>
  <c r="AE309" i="1"/>
  <c r="AD309" i="1"/>
  <c r="AC309" i="1"/>
  <c r="U309" i="1"/>
  <c r="AK308" i="1"/>
  <c r="AJ308" i="1"/>
  <c r="AI308" i="1"/>
  <c r="AH308" i="1"/>
  <c r="AG308" i="1"/>
  <c r="AF308" i="1"/>
  <c r="AE308" i="1"/>
  <c r="AD308" i="1"/>
  <c r="AC308" i="1"/>
  <c r="AA308" i="1"/>
  <c r="Z308" i="1"/>
  <c r="U308" i="1"/>
  <c r="R308" i="1"/>
  <c r="Q308" i="1"/>
  <c r="P308" i="1"/>
  <c r="O308" i="1"/>
  <c r="N308" i="1"/>
  <c r="M308" i="1"/>
  <c r="L308" i="1"/>
  <c r="J308" i="1"/>
  <c r="I308" i="1"/>
  <c r="C308" i="1"/>
  <c r="AK307" i="1"/>
  <c r="AH307" i="1"/>
  <c r="AG307" i="1"/>
  <c r="AF307" i="1"/>
  <c r="AE307" i="1"/>
  <c r="AD307" i="1"/>
  <c r="AC307" i="1"/>
  <c r="U307" i="1"/>
  <c r="AK306" i="1"/>
  <c r="AJ306" i="1"/>
  <c r="AI306" i="1"/>
  <c r="AH306" i="1"/>
  <c r="AG306" i="1"/>
  <c r="AF306" i="1"/>
  <c r="AE306" i="1"/>
  <c r="AD306" i="1"/>
  <c r="AC306" i="1"/>
  <c r="AA306" i="1"/>
  <c r="Z306" i="1"/>
  <c r="U306" i="1"/>
  <c r="R306" i="1"/>
  <c r="Q306" i="1"/>
  <c r="P306" i="1"/>
  <c r="O306" i="1"/>
  <c r="N306" i="1"/>
  <c r="M306" i="1"/>
  <c r="L306" i="1"/>
  <c r="J306" i="1"/>
  <c r="I306" i="1"/>
  <c r="C306" i="1"/>
  <c r="AK305" i="1"/>
  <c r="AH305" i="1"/>
  <c r="AG305" i="1"/>
  <c r="AF305" i="1"/>
  <c r="AE305" i="1"/>
  <c r="AD305" i="1"/>
  <c r="AC305" i="1"/>
  <c r="U305" i="1"/>
  <c r="AK304" i="1"/>
  <c r="AJ304" i="1"/>
  <c r="AI304" i="1"/>
  <c r="AH304" i="1"/>
  <c r="AG304" i="1"/>
  <c r="AF304" i="1"/>
  <c r="AE304" i="1"/>
  <c r="AD304" i="1"/>
  <c r="AC304" i="1"/>
  <c r="AA304" i="1"/>
  <c r="Z304" i="1"/>
  <c r="U304" i="1"/>
  <c r="R304" i="1"/>
  <c r="Q304" i="1"/>
  <c r="P304" i="1"/>
  <c r="O304" i="1"/>
  <c r="N304" i="1"/>
  <c r="M304" i="1"/>
  <c r="L304" i="1"/>
  <c r="J304" i="1"/>
  <c r="I304" i="1"/>
  <c r="C304" i="1"/>
  <c r="AK303" i="1"/>
  <c r="AH303" i="1"/>
  <c r="AG303" i="1"/>
  <c r="AF303" i="1"/>
  <c r="AE303" i="1"/>
  <c r="AD303" i="1"/>
  <c r="AC303" i="1"/>
  <c r="U303" i="1"/>
  <c r="AK302" i="1"/>
  <c r="AJ302" i="1"/>
  <c r="AI302" i="1"/>
  <c r="AH302" i="1"/>
  <c r="AG302" i="1"/>
  <c r="AF302" i="1"/>
  <c r="AE302" i="1"/>
  <c r="AD302" i="1"/>
  <c r="AC302" i="1"/>
  <c r="AA302" i="1"/>
  <c r="Z302" i="1"/>
  <c r="U302" i="1"/>
  <c r="R302" i="1"/>
  <c r="Q302" i="1"/>
  <c r="P302" i="1"/>
  <c r="O302" i="1"/>
  <c r="N302" i="1"/>
  <c r="M302" i="1"/>
  <c r="L302" i="1"/>
  <c r="J302" i="1"/>
  <c r="I302" i="1"/>
  <c r="C302" i="1"/>
  <c r="AK301" i="1"/>
  <c r="AH301" i="1"/>
  <c r="AG301" i="1"/>
  <c r="AF301" i="1"/>
  <c r="AE301" i="1"/>
  <c r="AD301" i="1"/>
  <c r="AC301" i="1"/>
  <c r="U301" i="1"/>
  <c r="AK300" i="1"/>
  <c r="AJ300" i="1"/>
  <c r="AI300" i="1"/>
  <c r="AH300" i="1"/>
  <c r="AG300" i="1"/>
  <c r="AF300" i="1"/>
  <c r="AE300" i="1"/>
  <c r="AD300" i="1"/>
  <c r="AC300" i="1"/>
  <c r="AA300" i="1"/>
  <c r="Z300" i="1"/>
  <c r="U300" i="1"/>
  <c r="R300" i="1"/>
  <c r="Q300" i="1"/>
  <c r="P300" i="1"/>
  <c r="O300" i="1"/>
  <c r="N300" i="1"/>
  <c r="M300" i="1"/>
  <c r="L300" i="1"/>
  <c r="J300" i="1"/>
  <c r="I300" i="1"/>
  <c r="C300" i="1"/>
  <c r="AK299" i="1"/>
  <c r="AH299" i="1"/>
  <c r="AG299" i="1"/>
  <c r="AF299" i="1"/>
  <c r="AE299" i="1"/>
  <c r="AD299" i="1"/>
  <c r="AC299" i="1"/>
  <c r="U299" i="1"/>
  <c r="AK298" i="1"/>
  <c r="AJ298" i="1"/>
  <c r="AI298" i="1"/>
  <c r="AH298" i="1"/>
  <c r="AG298" i="1"/>
  <c r="AF298" i="1"/>
  <c r="AE298" i="1"/>
  <c r="AD298" i="1"/>
  <c r="AC298" i="1"/>
  <c r="AA298" i="1"/>
  <c r="Z298" i="1"/>
  <c r="U298" i="1"/>
  <c r="R298" i="1"/>
  <c r="Q298" i="1"/>
  <c r="P298" i="1"/>
  <c r="O298" i="1"/>
  <c r="N298" i="1"/>
  <c r="M298" i="1"/>
  <c r="L298" i="1"/>
  <c r="J298" i="1"/>
  <c r="I298" i="1"/>
  <c r="C298" i="1"/>
  <c r="AK297" i="1"/>
  <c r="AH297" i="1"/>
  <c r="AG297" i="1"/>
  <c r="AF297" i="1"/>
  <c r="AE297" i="1"/>
  <c r="AD297" i="1"/>
  <c r="AC297" i="1"/>
  <c r="U297" i="1"/>
  <c r="AK296" i="1"/>
  <c r="AJ296" i="1"/>
  <c r="AI296" i="1"/>
  <c r="AH296" i="1"/>
  <c r="AG296" i="1"/>
  <c r="AF296" i="1"/>
  <c r="AE296" i="1"/>
  <c r="AD296" i="1"/>
  <c r="AC296" i="1"/>
  <c r="AA296" i="1"/>
  <c r="Z296" i="1"/>
  <c r="U296" i="1"/>
  <c r="R296" i="1"/>
  <c r="Q296" i="1"/>
  <c r="P296" i="1"/>
  <c r="O296" i="1"/>
  <c r="N296" i="1"/>
  <c r="M296" i="1"/>
  <c r="L296" i="1"/>
  <c r="J296" i="1"/>
  <c r="I296" i="1"/>
  <c r="C296" i="1"/>
  <c r="AK295" i="1"/>
  <c r="AH295" i="1"/>
  <c r="AG295" i="1"/>
  <c r="AF295" i="1"/>
  <c r="AE295" i="1"/>
  <c r="AD295" i="1"/>
  <c r="AC295" i="1"/>
  <c r="U295" i="1"/>
  <c r="AK294" i="1"/>
  <c r="AJ294" i="1"/>
  <c r="AI294" i="1"/>
  <c r="AH294" i="1"/>
  <c r="AG294" i="1"/>
  <c r="AF294" i="1"/>
  <c r="AE294" i="1"/>
  <c r="AD294" i="1"/>
  <c r="AC294" i="1"/>
  <c r="AA294" i="1"/>
  <c r="Z294" i="1"/>
  <c r="U294" i="1"/>
  <c r="R294" i="1"/>
  <c r="Q294" i="1"/>
  <c r="P294" i="1"/>
  <c r="O294" i="1"/>
  <c r="N294" i="1"/>
  <c r="M294" i="1"/>
  <c r="L294" i="1"/>
  <c r="J294" i="1"/>
  <c r="I294" i="1"/>
  <c r="C294" i="1"/>
  <c r="AK293" i="1"/>
  <c r="AH293" i="1"/>
  <c r="AG293" i="1"/>
  <c r="AF293" i="1"/>
  <c r="AE293" i="1"/>
  <c r="AD293" i="1"/>
  <c r="AC293" i="1"/>
  <c r="U293" i="1"/>
  <c r="AK292" i="1"/>
  <c r="AJ292" i="1"/>
  <c r="AI292" i="1"/>
  <c r="AH292" i="1"/>
  <c r="AG292" i="1"/>
  <c r="AF292" i="1"/>
  <c r="AE292" i="1"/>
  <c r="AD292" i="1"/>
  <c r="AC292" i="1"/>
  <c r="AA292" i="1"/>
  <c r="Z292" i="1"/>
  <c r="U292" i="1"/>
  <c r="R292" i="1"/>
  <c r="Q292" i="1"/>
  <c r="P292" i="1"/>
  <c r="O292" i="1"/>
  <c r="N292" i="1"/>
  <c r="M292" i="1"/>
  <c r="L292" i="1"/>
  <c r="J292" i="1"/>
  <c r="I292" i="1"/>
  <c r="C292" i="1"/>
  <c r="AK291" i="1"/>
  <c r="AH291" i="1"/>
  <c r="AG291" i="1"/>
  <c r="AF291" i="1"/>
  <c r="AE291" i="1"/>
  <c r="AD291" i="1"/>
  <c r="AC291" i="1"/>
  <c r="U291" i="1"/>
  <c r="AK290" i="1"/>
  <c r="AJ290" i="1"/>
  <c r="AI290" i="1"/>
  <c r="AH290" i="1"/>
  <c r="AG290" i="1"/>
  <c r="AF290" i="1"/>
  <c r="AE290" i="1"/>
  <c r="AD290" i="1"/>
  <c r="AC290" i="1"/>
  <c r="AA290" i="1"/>
  <c r="Z290" i="1"/>
  <c r="U290" i="1"/>
  <c r="R290" i="1"/>
  <c r="Q290" i="1"/>
  <c r="P290" i="1"/>
  <c r="O290" i="1"/>
  <c r="N290" i="1"/>
  <c r="M290" i="1"/>
  <c r="L290" i="1"/>
  <c r="J290" i="1"/>
  <c r="I290" i="1"/>
  <c r="C290" i="1"/>
  <c r="AK289" i="1"/>
  <c r="AH289" i="1"/>
  <c r="AG289" i="1"/>
  <c r="AF289" i="1"/>
  <c r="AE289" i="1"/>
  <c r="AD289" i="1"/>
  <c r="AC289" i="1"/>
  <c r="U289" i="1"/>
  <c r="AK288" i="1"/>
  <c r="AJ288" i="1"/>
  <c r="AI288" i="1"/>
  <c r="AH288" i="1"/>
  <c r="AG288" i="1"/>
  <c r="AF288" i="1"/>
  <c r="AE288" i="1"/>
  <c r="AD288" i="1"/>
  <c r="AC288" i="1"/>
  <c r="AA288" i="1"/>
  <c r="Z288" i="1"/>
  <c r="U288" i="1"/>
  <c r="R288" i="1"/>
  <c r="Q288" i="1"/>
  <c r="P288" i="1"/>
  <c r="O288" i="1"/>
  <c r="N288" i="1"/>
  <c r="M288" i="1"/>
  <c r="L288" i="1"/>
  <c r="J288" i="1"/>
  <c r="I288" i="1"/>
  <c r="C288" i="1"/>
  <c r="AK287" i="1"/>
  <c r="AH287" i="1"/>
  <c r="AG287" i="1"/>
  <c r="AF287" i="1"/>
  <c r="AE287" i="1"/>
  <c r="AD287" i="1"/>
  <c r="AC287" i="1"/>
  <c r="U287" i="1"/>
  <c r="AK286" i="1"/>
  <c r="AJ286" i="1"/>
  <c r="AI286" i="1"/>
  <c r="AH286" i="1"/>
  <c r="AG286" i="1"/>
  <c r="AF286" i="1"/>
  <c r="AE286" i="1"/>
  <c r="AD286" i="1"/>
  <c r="AC286" i="1"/>
  <c r="AA286" i="1"/>
  <c r="Z286" i="1"/>
  <c r="U286" i="1"/>
  <c r="R286" i="1"/>
  <c r="Q286" i="1"/>
  <c r="P286" i="1"/>
  <c r="O286" i="1"/>
  <c r="N286" i="1"/>
  <c r="M286" i="1"/>
  <c r="L286" i="1"/>
  <c r="J286" i="1"/>
  <c r="I286" i="1"/>
  <c r="C286" i="1"/>
  <c r="AK285" i="1"/>
  <c r="AH285" i="1"/>
  <c r="AG285" i="1"/>
  <c r="AF285" i="1"/>
  <c r="AE285" i="1"/>
  <c r="AD285" i="1"/>
  <c r="AC285" i="1"/>
  <c r="U285" i="1"/>
  <c r="AK284" i="1"/>
  <c r="AJ284" i="1"/>
  <c r="AI284" i="1"/>
  <c r="AH284" i="1"/>
  <c r="AG284" i="1"/>
  <c r="AF284" i="1"/>
  <c r="AE284" i="1"/>
  <c r="AD284" i="1"/>
  <c r="AC284" i="1"/>
  <c r="AA284" i="1"/>
  <c r="Z284" i="1"/>
  <c r="U284" i="1"/>
  <c r="R284" i="1"/>
  <c r="Q284" i="1"/>
  <c r="P284" i="1"/>
  <c r="O284" i="1"/>
  <c r="N284" i="1"/>
  <c r="M284" i="1"/>
  <c r="L284" i="1"/>
  <c r="J284" i="1"/>
  <c r="I284" i="1"/>
  <c r="C284" i="1"/>
  <c r="AK283" i="1"/>
  <c r="AH283" i="1"/>
  <c r="AG283" i="1"/>
  <c r="AF283" i="1"/>
  <c r="AE283" i="1"/>
  <c r="AD283" i="1"/>
  <c r="AC283" i="1"/>
  <c r="U283" i="1"/>
  <c r="AK282" i="1"/>
  <c r="AJ282" i="1"/>
  <c r="AI282" i="1"/>
  <c r="AH282" i="1"/>
  <c r="AG282" i="1"/>
  <c r="AF282" i="1"/>
  <c r="AE282" i="1"/>
  <c r="AD282" i="1"/>
  <c r="AC282" i="1"/>
  <c r="AA282" i="1"/>
  <c r="Z282" i="1"/>
  <c r="U282" i="1"/>
  <c r="R282" i="1"/>
  <c r="Q282" i="1"/>
  <c r="P282" i="1"/>
  <c r="O282" i="1"/>
  <c r="N282" i="1"/>
  <c r="M282" i="1"/>
  <c r="L282" i="1"/>
  <c r="J282" i="1"/>
  <c r="I282" i="1"/>
  <c r="C282" i="1"/>
  <c r="AK281" i="1"/>
  <c r="AH281" i="1"/>
  <c r="AG281" i="1"/>
  <c r="AF281" i="1"/>
  <c r="AE281" i="1"/>
  <c r="AD281" i="1"/>
  <c r="AC281" i="1"/>
  <c r="U281" i="1"/>
  <c r="AK280" i="1"/>
  <c r="AJ280" i="1"/>
  <c r="AI280" i="1"/>
  <c r="AH280" i="1"/>
  <c r="AG280" i="1"/>
  <c r="AF280" i="1"/>
  <c r="AE280" i="1"/>
  <c r="AD280" i="1"/>
  <c r="AC280" i="1"/>
  <c r="AA280" i="1"/>
  <c r="Z280" i="1"/>
  <c r="U280" i="1"/>
  <c r="R280" i="1"/>
  <c r="Q280" i="1"/>
  <c r="P280" i="1"/>
  <c r="O280" i="1"/>
  <c r="N280" i="1"/>
  <c r="M280" i="1"/>
  <c r="L280" i="1"/>
  <c r="J280" i="1"/>
  <c r="I280" i="1"/>
  <c r="C280" i="1"/>
  <c r="AK279" i="1"/>
  <c r="AH279" i="1"/>
  <c r="AG279" i="1"/>
  <c r="AF279" i="1"/>
  <c r="AE279" i="1"/>
  <c r="AD279" i="1"/>
  <c r="AC279" i="1"/>
  <c r="U279" i="1"/>
  <c r="AK278" i="1"/>
  <c r="AJ278" i="1"/>
  <c r="AI278" i="1"/>
  <c r="AH278" i="1"/>
  <c r="AG278" i="1"/>
  <c r="AF278" i="1"/>
  <c r="AE278" i="1"/>
  <c r="AD278" i="1"/>
  <c r="AC278" i="1"/>
  <c r="AA278" i="1"/>
  <c r="Z278" i="1"/>
  <c r="U278" i="1"/>
  <c r="R278" i="1"/>
  <c r="Q278" i="1"/>
  <c r="P278" i="1"/>
  <c r="O278" i="1"/>
  <c r="N278" i="1"/>
  <c r="M278" i="1"/>
  <c r="L278" i="1"/>
  <c r="J278" i="1"/>
  <c r="I278" i="1"/>
  <c r="C278" i="1"/>
  <c r="AK277" i="1"/>
  <c r="AH277" i="1"/>
  <c r="AG277" i="1"/>
  <c r="AF277" i="1"/>
  <c r="AE277" i="1"/>
  <c r="AD277" i="1"/>
  <c r="AC277" i="1"/>
  <c r="U277" i="1"/>
  <c r="AK276" i="1"/>
  <c r="AJ276" i="1"/>
  <c r="AI276" i="1"/>
  <c r="AH276" i="1"/>
  <c r="AG276" i="1"/>
  <c r="AF276" i="1"/>
  <c r="AE276" i="1"/>
  <c r="AD276" i="1"/>
  <c r="AC276" i="1"/>
  <c r="AA276" i="1"/>
  <c r="Z276" i="1"/>
  <c r="U276" i="1"/>
  <c r="R276" i="1"/>
  <c r="Q276" i="1"/>
  <c r="P276" i="1"/>
  <c r="O276" i="1"/>
  <c r="N276" i="1"/>
  <c r="M276" i="1"/>
  <c r="L276" i="1"/>
  <c r="J276" i="1"/>
  <c r="I276" i="1"/>
  <c r="C276" i="1"/>
  <c r="AK275" i="1"/>
  <c r="AH275" i="1"/>
  <c r="AG275" i="1"/>
  <c r="AF275" i="1"/>
  <c r="AE275" i="1"/>
  <c r="AD275" i="1"/>
  <c r="AC275" i="1"/>
  <c r="U275" i="1"/>
  <c r="AK274" i="1"/>
  <c r="AJ274" i="1"/>
  <c r="AI274" i="1"/>
  <c r="AH274" i="1"/>
  <c r="AG274" i="1"/>
  <c r="AF274" i="1"/>
  <c r="AE274" i="1"/>
  <c r="AD274" i="1"/>
  <c r="AC274" i="1"/>
  <c r="AA274" i="1"/>
  <c r="Z274" i="1"/>
  <c r="U274" i="1"/>
  <c r="R274" i="1"/>
  <c r="Q274" i="1"/>
  <c r="P274" i="1"/>
  <c r="O274" i="1"/>
  <c r="N274" i="1"/>
  <c r="M274" i="1"/>
  <c r="L274" i="1"/>
  <c r="J274" i="1"/>
  <c r="I274" i="1"/>
  <c r="C274" i="1"/>
  <c r="AK273" i="1"/>
  <c r="AH273" i="1"/>
  <c r="AG273" i="1"/>
  <c r="AF273" i="1"/>
  <c r="AE273" i="1"/>
  <c r="AD273" i="1"/>
  <c r="AC273" i="1"/>
  <c r="U273" i="1"/>
  <c r="AK272" i="1"/>
  <c r="AJ272" i="1"/>
  <c r="AI272" i="1"/>
  <c r="AH272" i="1"/>
  <c r="AG272" i="1"/>
  <c r="AF272" i="1"/>
  <c r="AE272" i="1"/>
  <c r="AD272" i="1"/>
  <c r="AC272" i="1"/>
  <c r="AA272" i="1"/>
  <c r="Z272" i="1"/>
  <c r="U272" i="1"/>
  <c r="R272" i="1"/>
  <c r="Q272" i="1"/>
  <c r="P272" i="1"/>
  <c r="O272" i="1"/>
  <c r="N272" i="1"/>
  <c r="M272" i="1"/>
  <c r="L272" i="1"/>
  <c r="J272" i="1"/>
  <c r="I272" i="1"/>
  <c r="C272" i="1"/>
  <c r="AK271" i="1"/>
  <c r="AH271" i="1"/>
  <c r="AG271" i="1"/>
  <c r="AF271" i="1"/>
  <c r="AE271" i="1"/>
  <c r="AD271" i="1"/>
  <c r="AC271" i="1"/>
  <c r="U271" i="1"/>
  <c r="AK270" i="1"/>
  <c r="AJ270" i="1"/>
  <c r="AI270" i="1"/>
  <c r="AH270" i="1"/>
  <c r="AG270" i="1"/>
  <c r="AF270" i="1"/>
  <c r="AE270" i="1"/>
  <c r="AD270" i="1"/>
  <c r="AC270" i="1"/>
  <c r="AA270" i="1"/>
  <c r="Z270" i="1"/>
  <c r="U270" i="1"/>
  <c r="R270" i="1"/>
  <c r="Q270" i="1"/>
  <c r="P270" i="1"/>
  <c r="O270" i="1"/>
  <c r="N270" i="1"/>
  <c r="M270" i="1"/>
  <c r="L270" i="1"/>
  <c r="J270" i="1"/>
  <c r="I270" i="1"/>
  <c r="C270" i="1"/>
  <c r="AK269" i="1"/>
  <c r="AH269" i="1"/>
  <c r="AG269" i="1"/>
  <c r="AF269" i="1"/>
  <c r="AE269" i="1"/>
  <c r="AD269" i="1"/>
  <c r="AC269" i="1"/>
  <c r="U269" i="1"/>
  <c r="AK268" i="1"/>
  <c r="AJ268" i="1"/>
  <c r="AI268" i="1"/>
  <c r="AH268" i="1"/>
  <c r="AG268" i="1"/>
  <c r="AF268" i="1"/>
  <c r="AE268" i="1"/>
  <c r="AD268" i="1"/>
  <c r="AC268" i="1"/>
  <c r="AA268" i="1"/>
  <c r="Z268" i="1"/>
  <c r="U268" i="1"/>
  <c r="R268" i="1"/>
  <c r="Q268" i="1"/>
  <c r="P268" i="1"/>
  <c r="O268" i="1"/>
  <c r="N268" i="1"/>
  <c r="M268" i="1"/>
  <c r="L268" i="1"/>
  <c r="J268" i="1"/>
  <c r="I268" i="1"/>
  <c r="C268" i="1"/>
  <c r="AK267" i="1"/>
  <c r="AH267" i="1"/>
  <c r="AG267" i="1"/>
  <c r="AF267" i="1"/>
  <c r="AE267" i="1"/>
  <c r="AD267" i="1"/>
  <c r="AC267" i="1"/>
  <c r="U267" i="1"/>
  <c r="AK266" i="1"/>
  <c r="AJ266" i="1"/>
  <c r="AI266" i="1"/>
  <c r="AH266" i="1"/>
  <c r="AG266" i="1"/>
  <c r="AF266" i="1"/>
  <c r="AE266" i="1"/>
  <c r="AD266" i="1"/>
  <c r="AC266" i="1"/>
  <c r="AA266" i="1"/>
  <c r="Z266" i="1"/>
  <c r="U266" i="1"/>
  <c r="R266" i="1"/>
  <c r="Q266" i="1"/>
  <c r="P266" i="1"/>
  <c r="O266" i="1"/>
  <c r="N266" i="1"/>
  <c r="M266" i="1"/>
  <c r="L266" i="1"/>
  <c r="J266" i="1"/>
  <c r="I266" i="1"/>
  <c r="C266" i="1"/>
  <c r="AK265" i="1"/>
  <c r="AH265" i="1"/>
  <c r="AG265" i="1"/>
  <c r="AF265" i="1"/>
  <c r="AE265" i="1"/>
  <c r="AD265" i="1"/>
  <c r="AC265" i="1"/>
  <c r="U265" i="1"/>
  <c r="AK264" i="1"/>
  <c r="AJ264" i="1"/>
  <c r="AI264" i="1"/>
  <c r="AH264" i="1"/>
  <c r="AG264" i="1"/>
  <c r="AF264" i="1"/>
  <c r="AE264" i="1"/>
  <c r="AD264" i="1"/>
  <c r="AC264" i="1"/>
  <c r="AA264" i="1"/>
  <c r="Z264" i="1"/>
  <c r="U264" i="1"/>
  <c r="R264" i="1"/>
  <c r="Q264" i="1"/>
  <c r="P264" i="1"/>
  <c r="O264" i="1"/>
  <c r="N264" i="1"/>
  <c r="M264" i="1"/>
  <c r="L264" i="1"/>
  <c r="J264" i="1"/>
  <c r="I264" i="1"/>
  <c r="C264" i="1"/>
  <c r="AK263" i="1"/>
  <c r="AH263" i="1"/>
  <c r="AG263" i="1"/>
  <c r="AF263" i="1"/>
  <c r="AE263" i="1"/>
  <c r="AD263" i="1"/>
  <c r="AC263" i="1"/>
  <c r="U263" i="1"/>
  <c r="AK262" i="1"/>
  <c r="AJ262" i="1"/>
  <c r="AI262" i="1"/>
  <c r="AH262" i="1"/>
  <c r="AG262" i="1"/>
  <c r="AF262" i="1"/>
  <c r="AE262" i="1"/>
  <c r="AD262" i="1"/>
  <c r="AC262" i="1"/>
  <c r="AA262" i="1"/>
  <c r="Z262" i="1"/>
  <c r="U262" i="1"/>
  <c r="R262" i="1"/>
  <c r="Q262" i="1"/>
  <c r="P262" i="1"/>
  <c r="O262" i="1"/>
  <c r="N262" i="1"/>
  <c r="M262" i="1"/>
  <c r="L262" i="1"/>
  <c r="J262" i="1"/>
  <c r="I262" i="1"/>
  <c r="C262" i="1"/>
  <c r="AK261" i="1"/>
  <c r="AH261" i="1"/>
  <c r="AG261" i="1"/>
  <c r="AF261" i="1"/>
  <c r="AE261" i="1"/>
  <c r="AD261" i="1"/>
  <c r="AC261" i="1"/>
  <c r="U261" i="1"/>
  <c r="AK260" i="1"/>
  <c r="AJ260" i="1"/>
  <c r="AI260" i="1"/>
  <c r="AH260" i="1"/>
  <c r="AG260" i="1"/>
  <c r="AF260" i="1"/>
  <c r="AE260" i="1"/>
  <c r="AD260" i="1"/>
  <c r="AC260" i="1"/>
  <c r="AA260" i="1"/>
  <c r="Z260" i="1"/>
  <c r="U260" i="1"/>
  <c r="R260" i="1"/>
  <c r="Q260" i="1"/>
  <c r="P260" i="1"/>
  <c r="O260" i="1"/>
  <c r="N260" i="1"/>
  <c r="M260" i="1"/>
  <c r="L260" i="1"/>
  <c r="J260" i="1"/>
  <c r="I260" i="1"/>
  <c r="C260" i="1"/>
  <c r="AK259" i="1"/>
  <c r="AH259" i="1"/>
  <c r="AG259" i="1"/>
  <c r="AF259" i="1"/>
  <c r="AE259" i="1"/>
  <c r="AD259" i="1"/>
  <c r="AC259" i="1"/>
  <c r="U259" i="1"/>
  <c r="AK258" i="1"/>
  <c r="AJ258" i="1"/>
  <c r="AI258" i="1"/>
  <c r="AH258" i="1"/>
  <c r="AG258" i="1"/>
  <c r="AF258" i="1"/>
  <c r="AE258" i="1"/>
  <c r="AD258" i="1"/>
  <c r="AC258" i="1"/>
  <c r="AA258" i="1"/>
  <c r="Z258" i="1"/>
  <c r="U258" i="1"/>
  <c r="R258" i="1"/>
  <c r="Q258" i="1"/>
  <c r="P258" i="1"/>
  <c r="O258" i="1"/>
  <c r="N258" i="1"/>
  <c r="M258" i="1"/>
  <c r="L258" i="1"/>
  <c r="J258" i="1"/>
  <c r="I258" i="1"/>
  <c r="C258" i="1"/>
  <c r="AK257" i="1"/>
  <c r="AH257" i="1"/>
  <c r="AG257" i="1"/>
  <c r="AF257" i="1"/>
  <c r="AE257" i="1"/>
  <c r="AD257" i="1"/>
  <c r="AC257" i="1"/>
  <c r="U257" i="1"/>
  <c r="AK256" i="1"/>
  <c r="AJ256" i="1"/>
  <c r="AI256" i="1"/>
  <c r="AH256" i="1"/>
  <c r="AG256" i="1"/>
  <c r="AF256" i="1"/>
  <c r="AE256" i="1"/>
  <c r="AD256" i="1"/>
  <c r="AC256" i="1"/>
  <c r="AA256" i="1"/>
  <c r="Z256" i="1"/>
  <c r="U256" i="1"/>
  <c r="R256" i="1"/>
  <c r="Q256" i="1"/>
  <c r="P256" i="1"/>
  <c r="O256" i="1"/>
  <c r="N256" i="1"/>
  <c r="M256" i="1"/>
  <c r="L256" i="1"/>
  <c r="J256" i="1"/>
  <c r="I256" i="1"/>
  <c r="C256" i="1"/>
  <c r="AK255" i="1"/>
  <c r="AH255" i="1"/>
  <c r="AG255" i="1"/>
  <c r="AF255" i="1"/>
  <c r="AE255" i="1"/>
  <c r="AD255" i="1"/>
  <c r="AC255" i="1"/>
  <c r="U255" i="1"/>
  <c r="AK254" i="1"/>
  <c r="AJ254" i="1"/>
  <c r="AI254" i="1"/>
  <c r="AH254" i="1"/>
  <c r="AG254" i="1"/>
  <c r="AF254" i="1"/>
  <c r="AE254" i="1"/>
  <c r="AD254" i="1"/>
  <c r="AC254" i="1"/>
  <c r="AA254" i="1"/>
  <c r="Z254" i="1"/>
  <c r="U254" i="1"/>
  <c r="R254" i="1"/>
  <c r="Q254" i="1"/>
  <c r="P254" i="1"/>
  <c r="O254" i="1"/>
  <c r="N254" i="1"/>
  <c r="M254" i="1"/>
  <c r="L254" i="1"/>
  <c r="J254" i="1"/>
  <c r="I254" i="1"/>
  <c r="C254" i="1"/>
  <c r="AK253" i="1"/>
  <c r="AH253" i="1"/>
  <c r="AG253" i="1"/>
  <c r="AF253" i="1"/>
  <c r="AE253" i="1"/>
  <c r="AD253" i="1"/>
  <c r="AC253" i="1"/>
  <c r="U253" i="1"/>
  <c r="AK252" i="1"/>
  <c r="AJ252" i="1"/>
  <c r="AI252" i="1"/>
  <c r="AH252" i="1"/>
  <c r="AG252" i="1"/>
  <c r="AF252" i="1"/>
  <c r="AE252" i="1"/>
  <c r="AD252" i="1"/>
  <c r="AC252" i="1"/>
  <c r="AA252" i="1"/>
  <c r="Z252" i="1"/>
  <c r="U252" i="1"/>
  <c r="R252" i="1"/>
  <c r="Q252" i="1"/>
  <c r="P252" i="1"/>
  <c r="O252" i="1"/>
  <c r="N252" i="1"/>
  <c r="M252" i="1"/>
  <c r="L252" i="1"/>
  <c r="J252" i="1"/>
  <c r="I252" i="1"/>
  <c r="C252" i="1"/>
  <c r="AK251" i="1"/>
  <c r="AH251" i="1"/>
  <c r="AG251" i="1"/>
  <c r="AF251" i="1"/>
  <c r="AE251" i="1"/>
  <c r="AD251" i="1"/>
  <c r="AC251" i="1"/>
  <c r="U251" i="1"/>
  <c r="AK250" i="1"/>
  <c r="AJ250" i="1"/>
  <c r="AI250" i="1"/>
  <c r="AH250" i="1"/>
  <c r="AG250" i="1"/>
  <c r="AF250" i="1"/>
  <c r="AE250" i="1"/>
  <c r="AD250" i="1"/>
  <c r="AC250" i="1"/>
  <c r="AA250" i="1"/>
  <c r="Z250" i="1"/>
  <c r="U250" i="1"/>
  <c r="R250" i="1"/>
  <c r="Q250" i="1"/>
  <c r="P250" i="1"/>
  <c r="O250" i="1"/>
  <c r="N250" i="1"/>
  <c r="M250" i="1"/>
  <c r="L250" i="1"/>
  <c r="J250" i="1"/>
  <c r="I250" i="1"/>
  <c r="C250" i="1"/>
  <c r="AK249" i="1"/>
  <c r="AH249" i="1"/>
  <c r="AG249" i="1"/>
  <c r="AF249" i="1"/>
  <c r="AE249" i="1"/>
  <c r="AD249" i="1"/>
  <c r="AC249" i="1"/>
  <c r="U249" i="1"/>
  <c r="AK248" i="1"/>
  <c r="AJ248" i="1"/>
  <c r="AI248" i="1"/>
  <c r="AH248" i="1"/>
  <c r="AG248" i="1"/>
  <c r="AF248" i="1"/>
  <c r="AE248" i="1"/>
  <c r="AD248" i="1"/>
  <c r="AC248" i="1"/>
  <c r="AA248" i="1"/>
  <c r="Z248" i="1"/>
  <c r="U248" i="1"/>
  <c r="R248" i="1"/>
  <c r="Q248" i="1"/>
  <c r="P248" i="1"/>
  <c r="O248" i="1"/>
  <c r="N248" i="1"/>
  <c r="M248" i="1"/>
  <c r="L248" i="1"/>
  <c r="J248" i="1"/>
  <c r="I248" i="1"/>
  <c r="C248" i="1"/>
  <c r="AK247" i="1"/>
  <c r="AH247" i="1"/>
  <c r="AG247" i="1"/>
  <c r="AF247" i="1"/>
  <c r="AE247" i="1"/>
  <c r="AD247" i="1"/>
  <c r="AC247" i="1"/>
  <c r="U247" i="1"/>
  <c r="AK246" i="1"/>
  <c r="AJ246" i="1"/>
  <c r="AI246" i="1"/>
  <c r="AH246" i="1"/>
  <c r="AG246" i="1"/>
  <c r="AF246" i="1"/>
  <c r="AE246" i="1"/>
  <c r="AD246" i="1"/>
  <c r="AC246" i="1"/>
  <c r="AA246" i="1"/>
  <c r="Z246" i="1"/>
  <c r="U246" i="1"/>
  <c r="R246" i="1"/>
  <c r="Q246" i="1"/>
  <c r="P246" i="1"/>
  <c r="O246" i="1"/>
  <c r="N246" i="1"/>
  <c r="M246" i="1"/>
  <c r="L246" i="1"/>
  <c r="J246" i="1"/>
  <c r="I246" i="1"/>
  <c r="C246" i="1"/>
  <c r="AK245" i="1"/>
  <c r="AH245" i="1"/>
  <c r="AG245" i="1"/>
  <c r="AF245" i="1"/>
  <c r="AE245" i="1"/>
  <c r="AD245" i="1"/>
  <c r="AC245" i="1"/>
  <c r="U245" i="1"/>
  <c r="AK244" i="1"/>
  <c r="AJ244" i="1"/>
  <c r="AI244" i="1"/>
  <c r="AH244" i="1"/>
  <c r="AG244" i="1"/>
  <c r="AF244" i="1"/>
  <c r="AE244" i="1"/>
  <c r="AD244" i="1"/>
  <c r="AC244" i="1"/>
  <c r="AA244" i="1"/>
  <c r="Z244" i="1"/>
  <c r="U244" i="1"/>
  <c r="R244" i="1"/>
  <c r="Q244" i="1"/>
  <c r="P244" i="1"/>
  <c r="O244" i="1"/>
  <c r="N244" i="1"/>
  <c r="M244" i="1"/>
  <c r="L244" i="1"/>
  <c r="J244" i="1"/>
  <c r="I244" i="1"/>
  <c r="C244" i="1"/>
  <c r="AK243" i="1"/>
  <c r="AH243" i="1"/>
  <c r="AG243" i="1"/>
  <c r="AF243" i="1"/>
  <c r="AE243" i="1"/>
  <c r="AD243" i="1"/>
  <c r="AC243" i="1"/>
  <c r="U243" i="1"/>
  <c r="AK242" i="1"/>
  <c r="AJ242" i="1"/>
  <c r="AI242" i="1"/>
  <c r="AH242" i="1"/>
  <c r="AG242" i="1"/>
  <c r="AF242" i="1"/>
  <c r="AE242" i="1"/>
  <c r="AD242" i="1"/>
  <c r="AC242" i="1"/>
  <c r="AA242" i="1"/>
  <c r="Z242" i="1"/>
  <c r="U242" i="1"/>
  <c r="R242" i="1"/>
  <c r="Q242" i="1"/>
  <c r="P242" i="1"/>
  <c r="O242" i="1"/>
  <c r="N242" i="1"/>
  <c r="M242" i="1"/>
  <c r="L242" i="1"/>
  <c r="J242" i="1"/>
  <c r="I242" i="1"/>
  <c r="C242" i="1"/>
  <c r="AK241" i="1"/>
  <c r="AH241" i="1"/>
  <c r="AG241" i="1"/>
  <c r="AF241" i="1"/>
  <c r="AE241" i="1"/>
  <c r="AD241" i="1"/>
  <c r="AC241" i="1"/>
  <c r="U241" i="1"/>
  <c r="AK240" i="1"/>
  <c r="AJ240" i="1"/>
  <c r="AI240" i="1"/>
  <c r="AH240" i="1"/>
  <c r="AG240" i="1"/>
  <c r="AF240" i="1"/>
  <c r="AE240" i="1"/>
  <c r="AD240" i="1"/>
  <c r="AC240" i="1"/>
  <c r="AA240" i="1"/>
  <c r="Z240" i="1"/>
  <c r="U240" i="1"/>
  <c r="R240" i="1"/>
  <c r="Q240" i="1"/>
  <c r="P240" i="1"/>
  <c r="O240" i="1"/>
  <c r="N240" i="1"/>
  <c r="M240" i="1"/>
  <c r="L240" i="1"/>
  <c r="J240" i="1"/>
  <c r="I240" i="1"/>
  <c r="C240" i="1"/>
  <c r="AK239" i="1"/>
  <c r="AH239" i="1"/>
  <c r="AG239" i="1"/>
  <c r="AF239" i="1"/>
  <c r="AE239" i="1"/>
  <c r="AD239" i="1"/>
  <c r="AC239" i="1"/>
  <c r="U239" i="1"/>
  <c r="AK238" i="1"/>
  <c r="AJ238" i="1"/>
  <c r="AI238" i="1"/>
  <c r="AH238" i="1"/>
  <c r="AG238" i="1"/>
  <c r="AF238" i="1"/>
  <c r="AE238" i="1"/>
  <c r="AD238" i="1"/>
  <c r="AC238" i="1"/>
  <c r="AA238" i="1"/>
  <c r="Z238" i="1"/>
  <c r="U238" i="1"/>
  <c r="R238" i="1"/>
  <c r="Q238" i="1"/>
  <c r="P238" i="1"/>
  <c r="O238" i="1"/>
  <c r="N238" i="1"/>
  <c r="M238" i="1"/>
  <c r="L238" i="1"/>
  <c r="J238" i="1"/>
  <c r="I238" i="1"/>
  <c r="C238" i="1"/>
  <c r="AK237" i="1"/>
  <c r="AH237" i="1"/>
  <c r="AG237" i="1"/>
  <c r="AF237" i="1"/>
  <c r="AE237" i="1"/>
  <c r="AD237" i="1"/>
  <c r="AC237" i="1"/>
  <c r="U237" i="1"/>
  <c r="AK236" i="1"/>
  <c r="AJ236" i="1"/>
  <c r="AI236" i="1"/>
  <c r="AH236" i="1"/>
  <c r="AG236" i="1"/>
  <c r="AF236" i="1"/>
  <c r="AE236" i="1"/>
  <c r="AD236" i="1"/>
  <c r="AC236" i="1"/>
  <c r="AA236" i="1"/>
  <c r="Z236" i="1"/>
  <c r="U236" i="1"/>
  <c r="R236" i="1"/>
  <c r="Q236" i="1"/>
  <c r="P236" i="1"/>
  <c r="O236" i="1"/>
  <c r="N236" i="1"/>
  <c r="M236" i="1"/>
  <c r="L236" i="1"/>
  <c r="J236" i="1"/>
  <c r="I236" i="1"/>
  <c r="C236" i="1"/>
  <c r="AK235" i="1"/>
  <c r="AH235" i="1"/>
  <c r="AG235" i="1"/>
  <c r="AF235" i="1"/>
  <c r="AE235" i="1"/>
  <c r="AD235" i="1"/>
  <c r="AC235" i="1"/>
  <c r="U235" i="1"/>
  <c r="AK234" i="1"/>
  <c r="AJ234" i="1"/>
  <c r="AI234" i="1"/>
  <c r="AH234" i="1"/>
  <c r="AG234" i="1"/>
  <c r="AF234" i="1"/>
  <c r="AE234" i="1"/>
  <c r="AD234" i="1"/>
  <c r="AC234" i="1"/>
  <c r="AA234" i="1"/>
  <c r="Z234" i="1"/>
  <c r="U234" i="1"/>
  <c r="R234" i="1"/>
  <c r="Q234" i="1"/>
  <c r="P234" i="1"/>
  <c r="O234" i="1"/>
  <c r="N234" i="1"/>
  <c r="M234" i="1"/>
  <c r="L234" i="1"/>
  <c r="J234" i="1"/>
  <c r="I234" i="1"/>
  <c r="C234" i="1"/>
  <c r="AK233" i="1"/>
  <c r="AH233" i="1"/>
  <c r="AG233" i="1"/>
  <c r="AF233" i="1"/>
  <c r="AE233" i="1"/>
  <c r="AD233" i="1"/>
  <c r="AC233" i="1"/>
  <c r="U233" i="1"/>
  <c r="AK232" i="1"/>
  <c r="AJ232" i="1"/>
  <c r="AI232" i="1"/>
  <c r="AH232" i="1"/>
  <c r="AG232" i="1"/>
  <c r="AF232" i="1"/>
  <c r="AE232" i="1"/>
  <c r="AD232" i="1"/>
  <c r="AC232" i="1"/>
  <c r="AA232" i="1"/>
  <c r="Z232" i="1"/>
  <c r="U232" i="1"/>
  <c r="R232" i="1"/>
  <c r="Q232" i="1"/>
  <c r="P232" i="1"/>
  <c r="O232" i="1"/>
  <c r="N232" i="1"/>
  <c r="M232" i="1"/>
  <c r="L232" i="1"/>
  <c r="J232" i="1"/>
  <c r="I232" i="1"/>
  <c r="C232" i="1"/>
  <c r="AK231" i="1"/>
  <c r="AH231" i="1"/>
  <c r="AG231" i="1"/>
  <c r="AF231" i="1"/>
  <c r="AE231" i="1"/>
  <c r="AD231" i="1"/>
  <c r="AC231" i="1"/>
  <c r="U231" i="1"/>
  <c r="AK230" i="1"/>
  <c r="AJ230" i="1"/>
  <c r="AI230" i="1"/>
  <c r="AH230" i="1"/>
  <c r="AG230" i="1"/>
  <c r="AF230" i="1"/>
  <c r="AE230" i="1"/>
  <c r="AD230" i="1"/>
  <c r="AC230" i="1"/>
  <c r="AA230" i="1"/>
  <c r="Z230" i="1"/>
  <c r="U230" i="1"/>
  <c r="R230" i="1"/>
  <c r="Q230" i="1"/>
  <c r="P230" i="1"/>
  <c r="O230" i="1"/>
  <c r="N230" i="1"/>
  <c r="M230" i="1"/>
  <c r="L230" i="1"/>
  <c r="J230" i="1"/>
  <c r="I230" i="1"/>
  <c r="C230" i="1"/>
  <c r="AK229" i="1"/>
  <c r="AH229" i="1"/>
  <c r="AG229" i="1"/>
  <c r="AF229" i="1"/>
  <c r="AE229" i="1"/>
  <c r="AD229" i="1"/>
  <c r="AC229" i="1"/>
  <c r="U229" i="1"/>
  <c r="AK228" i="1"/>
  <c r="AJ228" i="1"/>
  <c r="AI228" i="1"/>
  <c r="AH228" i="1"/>
  <c r="AG228" i="1"/>
  <c r="AF228" i="1"/>
  <c r="AE228" i="1"/>
  <c r="AD228" i="1"/>
  <c r="AC228" i="1"/>
  <c r="AA228" i="1"/>
  <c r="Z228" i="1"/>
  <c r="U228" i="1"/>
  <c r="R228" i="1"/>
  <c r="Q228" i="1"/>
  <c r="P228" i="1"/>
  <c r="O228" i="1"/>
  <c r="N228" i="1"/>
  <c r="M228" i="1"/>
  <c r="L228" i="1"/>
  <c r="J228" i="1"/>
  <c r="I228" i="1"/>
  <c r="C228" i="1"/>
  <c r="AK227" i="1"/>
  <c r="AH227" i="1"/>
  <c r="AG227" i="1"/>
  <c r="AF227" i="1"/>
  <c r="AE227" i="1"/>
  <c r="AD227" i="1"/>
  <c r="AC227" i="1"/>
  <c r="U227" i="1"/>
  <c r="AK226" i="1"/>
  <c r="AJ226" i="1"/>
  <c r="AI226" i="1"/>
  <c r="AH226" i="1"/>
  <c r="AG226" i="1"/>
  <c r="AF226" i="1"/>
  <c r="AE226" i="1"/>
  <c r="AD226" i="1"/>
  <c r="AC226" i="1"/>
  <c r="AA226" i="1"/>
  <c r="Z226" i="1"/>
  <c r="U226" i="1"/>
  <c r="R226" i="1"/>
  <c r="Q226" i="1"/>
  <c r="P226" i="1"/>
  <c r="O226" i="1"/>
  <c r="N226" i="1"/>
  <c r="M226" i="1"/>
  <c r="L226" i="1"/>
  <c r="J226" i="1"/>
  <c r="I226" i="1"/>
  <c r="C226" i="1"/>
  <c r="AK225" i="1"/>
  <c r="AH225" i="1"/>
  <c r="AG225" i="1"/>
  <c r="AF225" i="1"/>
  <c r="AE225" i="1"/>
  <c r="AD225" i="1"/>
  <c r="AC225" i="1"/>
  <c r="U225" i="1"/>
  <c r="AK224" i="1"/>
  <c r="AJ224" i="1"/>
  <c r="AI224" i="1"/>
  <c r="AH224" i="1"/>
  <c r="AG224" i="1"/>
  <c r="AF224" i="1"/>
  <c r="AE224" i="1"/>
  <c r="AD224" i="1"/>
  <c r="AC224" i="1"/>
  <c r="AA224" i="1"/>
  <c r="Z224" i="1"/>
  <c r="U224" i="1"/>
  <c r="R224" i="1"/>
  <c r="Q224" i="1"/>
  <c r="P224" i="1"/>
  <c r="O224" i="1"/>
  <c r="N224" i="1"/>
  <c r="M224" i="1"/>
  <c r="L224" i="1"/>
  <c r="J224" i="1"/>
  <c r="I224" i="1"/>
  <c r="C224" i="1"/>
  <c r="AK223" i="1"/>
  <c r="AH223" i="1"/>
  <c r="AG223" i="1"/>
  <c r="AF223" i="1"/>
  <c r="AE223" i="1"/>
  <c r="AD223" i="1"/>
  <c r="AC223" i="1"/>
  <c r="U223" i="1"/>
  <c r="AK222" i="1"/>
  <c r="AJ222" i="1"/>
  <c r="AI222" i="1"/>
  <c r="AH222" i="1"/>
  <c r="AG222" i="1"/>
  <c r="AF222" i="1"/>
  <c r="AE222" i="1"/>
  <c r="AD222" i="1"/>
  <c r="AC222" i="1"/>
  <c r="AA222" i="1"/>
  <c r="Z222" i="1"/>
  <c r="U222" i="1"/>
  <c r="R222" i="1"/>
  <c r="Q222" i="1"/>
  <c r="P222" i="1"/>
  <c r="O222" i="1"/>
  <c r="N222" i="1"/>
  <c r="M222" i="1"/>
  <c r="L222" i="1"/>
  <c r="J222" i="1"/>
  <c r="I222" i="1"/>
  <c r="C222" i="1"/>
  <c r="AK221" i="1"/>
  <c r="AH221" i="1"/>
  <c r="AG221" i="1"/>
  <c r="AF221" i="1"/>
  <c r="AE221" i="1"/>
  <c r="AD221" i="1"/>
  <c r="AC221" i="1"/>
  <c r="U221" i="1"/>
  <c r="AK220" i="1"/>
  <c r="AJ220" i="1"/>
  <c r="AI220" i="1"/>
  <c r="AH220" i="1"/>
  <c r="AG220" i="1"/>
  <c r="AF220" i="1"/>
  <c r="AE220" i="1"/>
  <c r="AD220" i="1"/>
  <c r="AC220" i="1"/>
  <c r="AA220" i="1"/>
  <c r="Z220" i="1"/>
  <c r="U220" i="1"/>
  <c r="R220" i="1"/>
  <c r="Q220" i="1"/>
  <c r="P220" i="1"/>
  <c r="O220" i="1"/>
  <c r="N220" i="1"/>
  <c r="M220" i="1"/>
  <c r="L220" i="1"/>
  <c r="J220" i="1"/>
  <c r="I220" i="1"/>
  <c r="C220" i="1"/>
  <c r="AK219" i="1"/>
  <c r="AH219" i="1"/>
  <c r="AG219" i="1"/>
  <c r="AF219" i="1"/>
  <c r="AE219" i="1"/>
  <c r="AD219" i="1"/>
  <c r="AC219" i="1"/>
  <c r="U219" i="1"/>
  <c r="AK218" i="1"/>
  <c r="AJ218" i="1"/>
  <c r="AI218" i="1"/>
  <c r="AH218" i="1"/>
  <c r="AG218" i="1"/>
  <c r="AF218" i="1"/>
  <c r="AE218" i="1"/>
  <c r="AD218" i="1"/>
  <c r="AC218" i="1"/>
  <c r="AA218" i="1"/>
  <c r="Z218" i="1"/>
  <c r="U218" i="1"/>
  <c r="R218" i="1"/>
  <c r="Q218" i="1"/>
  <c r="P218" i="1"/>
  <c r="O218" i="1"/>
  <c r="N218" i="1"/>
  <c r="M218" i="1"/>
  <c r="L218" i="1"/>
  <c r="J218" i="1"/>
  <c r="I218" i="1"/>
  <c r="C218" i="1"/>
  <c r="AK217" i="1"/>
  <c r="AH217" i="1"/>
  <c r="AG217" i="1"/>
  <c r="AF217" i="1"/>
  <c r="AE217" i="1"/>
  <c r="AD217" i="1"/>
  <c r="AC217" i="1"/>
  <c r="U217" i="1"/>
  <c r="AK216" i="1"/>
  <c r="AJ216" i="1"/>
  <c r="AI216" i="1"/>
  <c r="AH216" i="1"/>
  <c r="AG216" i="1"/>
  <c r="AF216" i="1"/>
  <c r="AE216" i="1"/>
  <c r="AD216" i="1"/>
  <c r="AC216" i="1"/>
  <c r="AA216" i="1"/>
  <c r="Z216" i="1"/>
  <c r="U216" i="1"/>
  <c r="R216" i="1"/>
  <c r="Q216" i="1"/>
  <c r="P216" i="1"/>
  <c r="O216" i="1"/>
  <c r="N216" i="1"/>
  <c r="M216" i="1"/>
  <c r="L216" i="1"/>
  <c r="J216" i="1"/>
  <c r="I216" i="1"/>
  <c r="C216" i="1"/>
  <c r="AK215" i="1"/>
  <c r="AH215" i="1"/>
  <c r="AG215" i="1"/>
  <c r="AF215" i="1"/>
  <c r="AE215" i="1"/>
  <c r="AD215" i="1"/>
  <c r="AC215" i="1"/>
  <c r="U215" i="1"/>
  <c r="AK214" i="1"/>
  <c r="AJ214" i="1"/>
  <c r="AI214" i="1"/>
  <c r="AH214" i="1"/>
  <c r="AG214" i="1"/>
  <c r="AF214" i="1"/>
  <c r="AE214" i="1"/>
  <c r="AD214" i="1"/>
  <c r="AC214" i="1"/>
  <c r="AA214" i="1"/>
  <c r="Z214" i="1"/>
  <c r="U214" i="1"/>
  <c r="R214" i="1"/>
  <c r="Q214" i="1"/>
  <c r="P214" i="1"/>
  <c r="O214" i="1"/>
  <c r="N214" i="1"/>
  <c r="M214" i="1"/>
  <c r="L214" i="1"/>
  <c r="J214" i="1"/>
  <c r="I214" i="1"/>
  <c r="C214" i="1"/>
  <c r="AK213" i="1"/>
  <c r="AH213" i="1"/>
  <c r="AG213" i="1"/>
  <c r="AF213" i="1"/>
  <c r="AE213" i="1"/>
  <c r="AD213" i="1"/>
  <c r="AC213" i="1"/>
  <c r="U213" i="1"/>
  <c r="AK212" i="1"/>
  <c r="AJ212" i="1"/>
  <c r="AI212" i="1"/>
  <c r="AH212" i="1"/>
  <c r="AG212" i="1"/>
  <c r="AF212" i="1"/>
  <c r="AE212" i="1"/>
  <c r="AD212" i="1"/>
  <c r="AC212" i="1"/>
  <c r="AA212" i="1"/>
  <c r="Z212" i="1"/>
  <c r="U212" i="1"/>
  <c r="R212" i="1"/>
  <c r="Q212" i="1"/>
  <c r="P212" i="1"/>
  <c r="O212" i="1"/>
  <c r="N212" i="1"/>
  <c r="M212" i="1"/>
  <c r="L212" i="1"/>
  <c r="J212" i="1"/>
  <c r="I212" i="1"/>
  <c r="C212" i="1"/>
  <c r="AK211" i="1"/>
  <c r="AH211" i="1"/>
  <c r="AG211" i="1"/>
  <c r="AF211" i="1"/>
  <c r="AE211" i="1"/>
  <c r="AD211" i="1"/>
  <c r="AC211" i="1"/>
  <c r="U211" i="1"/>
  <c r="AK210" i="1"/>
  <c r="AJ210" i="1"/>
  <c r="AI210" i="1"/>
  <c r="AH210" i="1"/>
  <c r="AG210" i="1"/>
  <c r="AF210" i="1"/>
  <c r="AE210" i="1"/>
  <c r="AD210" i="1"/>
  <c r="AC210" i="1"/>
  <c r="AA210" i="1"/>
  <c r="Z210" i="1"/>
  <c r="U210" i="1"/>
  <c r="R210" i="1"/>
  <c r="Q210" i="1"/>
  <c r="P210" i="1"/>
  <c r="O210" i="1"/>
  <c r="N210" i="1"/>
  <c r="M210" i="1"/>
  <c r="L210" i="1"/>
  <c r="J210" i="1"/>
  <c r="I210" i="1"/>
  <c r="C210" i="1"/>
  <c r="AK209" i="1"/>
  <c r="AH209" i="1"/>
  <c r="AG209" i="1"/>
  <c r="AF209" i="1"/>
  <c r="AE209" i="1"/>
  <c r="AD209" i="1"/>
  <c r="AC209" i="1"/>
  <c r="U209" i="1"/>
  <c r="AK208" i="1"/>
  <c r="AJ208" i="1"/>
  <c r="AI208" i="1"/>
  <c r="AH208" i="1"/>
  <c r="AG208" i="1"/>
  <c r="AF208" i="1"/>
  <c r="AE208" i="1"/>
  <c r="AD208" i="1"/>
  <c r="AC208" i="1"/>
  <c r="AA208" i="1"/>
  <c r="Z208" i="1"/>
  <c r="U208" i="1"/>
  <c r="R208" i="1"/>
  <c r="Q208" i="1"/>
  <c r="P208" i="1"/>
  <c r="O208" i="1"/>
  <c r="N208" i="1"/>
  <c r="M208" i="1"/>
  <c r="L208" i="1"/>
  <c r="J208" i="1"/>
  <c r="I208" i="1"/>
  <c r="C208" i="1"/>
  <c r="AK207" i="1"/>
  <c r="AH207" i="1"/>
  <c r="AG207" i="1"/>
  <c r="AF207" i="1"/>
  <c r="AE207" i="1"/>
  <c r="AD207" i="1"/>
  <c r="AC207" i="1"/>
  <c r="U207" i="1"/>
  <c r="AK206" i="1"/>
  <c r="AJ206" i="1"/>
  <c r="AI206" i="1"/>
  <c r="AH206" i="1"/>
  <c r="AG206" i="1"/>
  <c r="AF206" i="1"/>
  <c r="AE206" i="1"/>
  <c r="AD206" i="1"/>
  <c r="AC206" i="1"/>
  <c r="AA206" i="1"/>
  <c r="Z206" i="1"/>
  <c r="U206" i="1"/>
  <c r="R206" i="1"/>
  <c r="Q206" i="1"/>
  <c r="P206" i="1"/>
  <c r="O206" i="1"/>
  <c r="N206" i="1"/>
  <c r="M206" i="1"/>
  <c r="L206" i="1"/>
  <c r="J206" i="1"/>
  <c r="I206" i="1"/>
  <c r="C206" i="1"/>
  <c r="AK205" i="1"/>
  <c r="AH205" i="1"/>
  <c r="AG205" i="1"/>
  <c r="AF205" i="1"/>
  <c r="AE205" i="1"/>
  <c r="AD205" i="1"/>
  <c r="AC205" i="1"/>
  <c r="U205" i="1"/>
  <c r="AK204" i="1"/>
  <c r="AJ204" i="1"/>
  <c r="AI204" i="1"/>
  <c r="AH204" i="1"/>
  <c r="AG204" i="1"/>
  <c r="AF204" i="1"/>
  <c r="AE204" i="1"/>
  <c r="AD204" i="1"/>
  <c r="AC204" i="1"/>
  <c r="AA204" i="1"/>
  <c r="Z204" i="1"/>
  <c r="U204" i="1"/>
  <c r="R204" i="1"/>
  <c r="Q204" i="1"/>
  <c r="P204" i="1"/>
  <c r="O204" i="1"/>
  <c r="N204" i="1"/>
  <c r="M204" i="1"/>
  <c r="L204" i="1"/>
  <c r="J204" i="1"/>
  <c r="I204" i="1"/>
  <c r="C204" i="1"/>
  <c r="AK203" i="1"/>
  <c r="AH203" i="1"/>
  <c r="AG203" i="1"/>
  <c r="AF203" i="1"/>
  <c r="AE203" i="1"/>
  <c r="AD203" i="1"/>
  <c r="AC203" i="1"/>
  <c r="U203" i="1"/>
  <c r="AK202" i="1"/>
  <c r="AJ202" i="1"/>
  <c r="AI202" i="1"/>
  <c r="AH202" i="1"/>
  <c r="AG202" i="1"/>
  <c r="AF202" i="1"/>
  <c r="AE202" i="1"/>
  <c r="AD202" i="1"/>
  <c r="AC202" i="1"/>
  <c r="AA202" i="1"/>
  <c r="Z202" i="1"/>
  <c r="U202" i="1"/>
  <c r="R202" i="1"/>
  <c r="Q202" i="1"/>
  <c r="P202" i="1"/>
  <c r="O202" i="1"/>
  <c r="N202" i="1"/>
  <c r="M202" i="1"/>
  <c r="L202" i="1"/>
  <c r="J202" i="1"/>
  <c r="I202" i="1"/>
  <c r="C202" i="1"/>
  <c r="AK201" i="1"/>
  <c r="AH201" i="1"/>
  <c r="AG201" i="1"/>
  <c r="AF201" i="1"/>
  <c r="AE201" i="1"/>
  <c r="AD201" i="1"/>
  <c r="AC201" i="1"/>
  <c r="U201" i="1"/>
  <c r="AK200" i="1"/>
  <c r="AJ200" i="1"/>
  <c r="AI200" i="1"/>
  <c r="AH200" i="1"/>
  <c r="AG200" i="1"/>
  <c r="AF200" i="1"/>
  <c r="AE200" i="1"/>
  <c r="AD200" i="1"/>
  <c r="AC200" i="1"/>
  <c r="AA200" i="1"/>
  <c r="Z200" i="1"/>
  <c r="U200" i="1"/>
  <c r="R200" i="1"/>
  <c r="Q200" i="1"/>
  <c r="P200" i="1"/>
  <c r="O200" i="1"/>
  <c r="N200" i="1"/>
  <c r="M200" i="1"/>
  <c r="L200" i="1"/>
  <c r="J200" i="1"/>
  <c r="I200" i="1"/>
  <c r="C200" i="1"/>
  <c r="AK199" i="1"/>
  <c r="AH199" i="1"/>
  <c r="AG199" i="1"/>
  <c r="AF199" i="1"/>
  <c r="AE199" i="1"/>
  <c r="AD199" i="1"/>
  <c r="AC199" i="1"/>
  <c r="U199" i="1"/>
  <c r="AK198" i="1"/>
  <c r="AJ198" i="1"/>
  <c r="AI198" i="1"/>
  <c r="AH198" i="1"/>
  <c r="AG198" i="1"/>
  <c r="AF198" i="1"/>
  <c r="AE198" i="1"/>
  <c r="AD198" i="1"/>
  <c r="AC198" i="1"/>
  <c r="AA198" i="1"/>
  <c r="Z198" i="1"/>
  <c r="U198" i="1"/>
  <c r="R198" i="1"/>
  <c r="Q198" i="1"/>
  <c r="P198" i="1"/>
  <c r="O198" i="1"/>
  <c r="N198" i="1"/>
  <c r="M198" i="1"/>
  <c r="L198" i="1"/>
  <c r="J198" i="1"/>
  <c r="I198" i="1"/>
  <c r="C198" i="1"/>
  <c r="AK197" i="1"/>
  <c r="AH197" i="1"/>
  <c r="AG197" i="1"/>
  <c r="AF197" i="1"/>
  <c r="AE197" i="1"/>
  <c r="AD197" i="1"/>
  <c r="AC197" i="1"/>
  <c r="U197" i="1"/>
  <c r="AK196" i="1"/>
  <c r="AJ196" i="1"/>
  <c r="AI196" i="1"/>
  <c r="AH196" i="1"/>
  <c r="AG196" i="1"/>
  <c r="AF196" i="1"/>
  <c r="AE196" i="1"/>
  <c r="AD196" i="1"/>
  <c r="AC196" i="1"/>
  <c r="AA196" i="1"/>
  <c r="Z196" i="1"/>
  <c r="U196" i="1"/>
  <c r="R196" i="1"/>
  <c r="Q196" i="1"/>
  <c r="P196" i="1"/>
  <c r="O196" i="1"/>
  <c r="N196" i="1"/>
  <c r="M196" i="1"/>
  <c r="L196" i="1"/>
  <c r="J196" i="1"/>
  <c r="I196" i="1"/>
  <c r="C196" i="1"/>
  <c r="AK195" i="1"/>
  <c r="AH195" i="1"/>
  <c r="AG195" i="1"/>
  <c r="AF195" i="1"/>
  <c r="AE195" i="1"/>
  <c r="AD195" i="1"/>
  <c r="AC195" i="1"/>
  <c r="U195" i="1"/>
  <c r="AK194" i="1"/>
  <c r="AJ194" i="1"/>
  <c r="AI194" i="1"/>
  <c r="AH194" i="1"/>
  <c r="AG194" i="1"/>
  <c r="AF194" i="1"/>
  <c r="AE194" i="1"/>
  <c r="AD194" i="1"/>
  <c r="AC194" i="1"/>
  <c r="AA194" i="1"/>
  <c r="Z194" i="1"/>
  <c r="U194" i="1"/>
  <c r="R194" i="1"/>
  <c r="Q194" i="1"/>
  <c r="P194" i="1"/>
  <c r="O194" i="1"/>
  <c r="N194" i="1"/>
  <c r="M194" i="1"/>
  <c r="L194" i="1"/>
  <c r="J194" i="1"/>
  <c r="I194" i="1"/>
  <c r="C194" i="1"/>
  <c r="AK193" i="1"/>
  <c r="AH193" i="1"/>
  <c r="AG193" i="1"/>
  <c r="AF193" i="1"/>
  <c r="AE193" i="1"/>
  <c r="AD193" i="1"/>
  <c r="AC193" i="1"/>
  <c r="U193" i="1"/>
  <c r="AK192" i="1"/>
  <c r="AJ192" i="1"/>
  <c r="AI192" i="1"/>
  <c r="AH192" i="1"/>
  <c r="AG192" i="1"/>
  <c r="AF192" i="1"/>
  <c r="AE192" i="1"/>
  <c r="AD192" i="1"/>
  <c r="AC192" i="1"/>
  <c r="AA192" i="1"/>
  <c r="Z192" i="1"/>
  <c r="U192" i="1"/>
  <c r="R192" i="1"/>
  <c r="Q192" i="1"/>
  <c r="P192" i="1"/>
  <c r="O192" i="1"/>
  <c r="N192" i="1"/>
  <c r="M192" i="1"/>
  <c r="L192" i="1"/>
  <c r="J192" i="1"/>
  <c r="I192" i="1"/>
  <c r="C192" i="1"/>
  <c r="AK191" i="1"/>
  <c r="AH191" i="1"/>
  <c r="AG191" i="1"/>
  <c r="AF191" i="1"/>
  <c r="AE191" i="1"/>
  <c r="AD191" i="1"/>
  <c r="AC191" i="1"/>
  <c r="U191" i="1"/>
  <c r="AK190" i="1"/>
  <c r="AJ190" i="1"/>
  <c r="AI190" i="1"/>
  <c r="AH190" i="1"/>
  <c r="AG190" i="1"/>
  <c r="AF190" i="1"/>
  <c r="AE190" i="1"/>
  <c r="AD190" i="1"/>
  <c r="AC190" i="1"/>
  <c r="AA190" i="1"/>
  <c r="Z190" i="1"/>
  <c r="U190" i="1"/>
  <c r="R190" i="1"/>
  <c r="Q190" i="1"/>
  <c r="P190" i="1"/>
  <c r="O190" i="1"/>
  <c r="N190" i="1"/>
  <c r="M190" i="1"/>
  <c r="L190" i="1"/>
  <c r="J190" i="1"/>
  <c r="I190" i="1"/>
  <c r="C190" i="1"/>
  <c r="AK189" i="1"/>
  <c r="AH189" i="1"/>
  <c r="AG189" i="1"/>
  <c r="AF189" i="1"/>
  <c r="AE189" i="1"/>
  <c r="AD189" i="1"/>
  <c r="AC189" i="1"/>
  <c r="U189" i="1"/>
  <c r="AK188" i="1"/>
  <c r="AJ188" i="1"/>
  <c r="AI188" i="1"/>
  <c r="AH188" i="1"/>
  <c r="AG188" i="1"/>
  <c r="AF188" i="1"/>
  <c r="AE188" i="1"/>
  <c r="AD188" i="1"/>
  <c r="AC188" i="1"/>
  <c r="AA188" i="1"/>
  <c r="Z188" i="1"/>
  <c r="U188" i="1"/>
  <c r="R188" i="1"/>
  <c r="Q188" i="1"/>
  <c r="P188" i="1"/>
  <c r="O188" i="1"/>
  <c r="N188" i="1"/>
  <c r="M188" i="1"/>
  <c r="L188" i="1"/>
  <c r="J188" i="1"/>
  <c r="I188" i="1"/>
  <c r="C188" i="1"/>
  <c r="AK187" i="1"/>
  <c r="AH187" i="1"/>
  <c r="AG187" i="1"/>
  <c r="AF187" i="1"/>
  <c r="AE187" i="1"/>
  <c r="AD187" i="1"/>
  <c r="AC187" i="1"/>
  <c r="U187" i="1"/>
  <c r="AK186" i="1"/>
  <c r="AJ186" i="1"/>
  <c r="AI186" i="1"/>
  <c r="AH186" i="1"/>
  <c r="AG186" i="1"/>
  <c r="AF186" i="1"/>
  <c r="AE186" i="1"/>
  <c r="AD186" i="1"/>
  <c r="AC186" i="1"/>
  <c r="AA186" i="1"/>
  <c r="Z186" i="1"/>
  <c r="U186" i="1"/>
  <c r="R186" i="1"/>
  <c r="Q186" i="1"/>
  <c r="P186" i="1"/>
  <c r="O186" i="1"/>
  <c r="N186" i="1"/>
  <c r="M186" i="1"/>
  <c r="L186" i="1"/>
  <c r="J186" i="1"/>
  <c r="I186" i="1"/>
  <c r="C186" i="1"/>
  <c r="AK185" i="1"/>
  <c r="AH185" i="1"/>
  <c r="AG185" i="1"/>
  <c r="AF185" i="1"/>
  <c r="AE185" i="1"/>
  <c r="AD185" i="1"/>
  <c r="AC185" i="1"/>
  <c r="U185" i="1"/>
  <c r="AK184" i="1"/>
  <c r="AJ184" i="1"/>
  <c r="AI184" i="1"/>
  <c r="AH184" i="1"/>
  <c r="AG184" i="1"/>
  <c r="AF184" i="1"/>
  <c r="AE184" i="1"/>
  <c r="AD184" i="1"/>
  <c r="AC184" i="1"/>
  <c r="AA184" i="1"/>
  <c r="Z184" i="1"/>
  <c r="U184" i="1"/>
  <c r="R184" i="1"/>
  <c r="Q184" i="1"/>
  <c r="P184" i="1"/>
  <c r="O184" i="1"/>
  <c r="N184" i="1"/>
  <c r="M184" i="1"/>
  <c r="L184" i="1"/>
  <c r="J184" i="1"/>
  <c r="I184" i="1"/>
  <c r="C184" i="1"/>
  <c r="AK183" i="1"/>
  <c r="AH183" i="1"/>
  <c r="AG183" i="1"/>
  <c r="AF183" i="1"/>
  <c r="AE183" i="1"/>
  <c r="AD183" i="1"/>
  <c r="AC183" i="1"/>
  <c r="U183" i="1"/>
  <c r="AK182" i="1"/>
  <c r="AJ182" i="1"/>
  <c r="AI182" i="1"/>
  <c r="AH182" i="1"/>
  <c r="AG182" i="1"/>
  <c r="AF182" i="1"/>
  <c r="AE182" i="1"/>
  <c r="AD182" i="1"/>
  <c r="AC182" i="1"/>
  <c r="AA182" i="1"/>
  <c r="Z182" i="1"/>
  <c r="U182" i="1"/>
  <c r="R182" i="1"/>
  <c r="Q182" i="1"/>
  <c r="P182" i="1"/>
  <c r="O182" i="1"/>
  <c r="N182" i="1"/>
  <c r="M182" i="1"/>
  <c r="L182" i="1"/>
  <c r="J182" i="1"/>
  <c r="I182" i="1"/>
  <c r="C182" i="1"/>
  <c r="AK181" i="1"/>
  <c r="AH181" i="1"/>
  <c r="AG181" i="1"/>
  <c r="AF181" i="1"/>
  <c r="AE181" i="1"/>
  <c r="AD181" i="1"/>
  <c r="AC181" i="1"/>
  <c r="U181" i="1"/>
  <c r="AK180" i="1"/>
  <c r="AJ180" i="1"/>
  <c r="AI180" i="1"/>
  <c r="AH180" i="1"/>
  <c r="AG180" i="1"/>
  <c r="AF180" i="1"/>
  <c r="AE180" i="1"/>
  <c r="AD180" i="1"/>
  <c r="AC180" i="1"/>
  <c r="AA180" i="1"/>
  <c r="Z180" i="1"/>
  <c r="U180" i="1"/>
  <c r="R180" i="1"/>
  <c r="Q180" i="1"/>
  <c r="P180" i="1"/>
  <c r="O180" i="1"/>
  <c r="N180" i="1"/>
  <c r="M180" i="1"/>
  <c r="L180" i="1"/>
  <c r="J180" i="1"/>
  <c r="I180" i="1"/>
  <c r="C180" i="1"/>
  <c r="AK179" i="1"/>
  <c r="AH179" i="1"/>
  <c r="AG179" i="1"/>
  <c r="AF179" i="1"/>
  <c r="AE179" i="1"/>
  <c r="AD179" i="1"/>
  <c r="AC179" i="1"/>
  <c r="U179" i="1"/>
  <c r="AK178" i="1"/>
  <c r="AJ178" i="1"/>
  <c r="AI178" i="1"/>
  <c r="AH178" i="1"/>
  <c r="AG178" i="1"/>
  <c r="AF178" i="1"/>
  <c r="AE178" i="1"/>
  <c r="AD178" i="1"/>
  <c r="AC178" i="1"/>
  <c r="AA178" i="1"/>
  <c r="Z178" i="1"/>
  <c r="U178" i="1"/>
  <c r="R178" i="1"/>
  <c r="Q178" i="1"/>
  <c r="P178" i="1"/>
  <c r="O178" i="1"/>
  <c r="N178" i="1"/>
  <c r="M178" i="1"/>
  <c r="L178" i="1"/>
  <c r="J178" i="1"/>
  <c r="I178" i="1"/>
  <c r="C178" i="1"/>
  <c r="AK177" i="1"/>
  <c r="AH177" i="1"/>
  <c r="AG177" i="1"/>
  <c r="AF177" i="1"/>
  <c r="AE177" i="1"/>
  <c r="AD177" i="1"/>
  <c r="AC177" i="1"/>
  <c r="U177" i="1"/>
  <c r="AK176" i="1"/>
  <c r="AJ176" i="1"/>
  <c r="AI176" i="1"/>
  <c r="AH176" i="1"/>
  <c r="AG176" i="1"/>
  <c r="AF176" i="1"/>
  <c r="AE176" i="1"/>
  <c r="AD176" i="1"/>
  <c r="AC176" i="1"/>
  <c r="AA176" i="1"/>
  <c r="Z176" i="1"/>
  <c r="U176" i="1"/>
  <c r="R176" i="1"/>
  <c r="Q176" i="1"/>
  <c r="P176" i="1"/>
  <c r="O176" i="1"/>
  <c r="N176" i="1"/>
  <c r="M176" i="1"/>
  <c r="L176" i="1"/>
  <c r="J176" i="1"/>
  <c r="I176" i="1"/>
  <c r="C176" i="1"/>
  <c r="AK175" i="1"/>
  <c r="AH175" i="1"/>
  <c r="AG175" i="1"/>
  <c r="AF175" i="1"/>
  <c r="AE175" i="1"/>
  <c r="AD175" i="1"/>
  <c r="AC175" i="1"/>
  <c r="U175" i="1"/>
  <c r="AK174" i="1"/>
  <c r="AJ174" i="1"/>
  <c r="AI174" i="1"/>
  <c r="AH174" i="1"/>
  <c r="AG174" i="1"/>
  <c r="AF174" i="1"/>
  <c r="AE174" i="1"/>
  <c r="AD174" i="1"/>
  <c r="AC174" i="1"/>
  <c r="AA174" i="1"/>
  <c r="Z174" i="1"/>
  <c r="U174" i="1"/>
  <c r="R174" i="1"/>
  <c r="Q174" i="1"/>
  <c r="P174" i="1"/>
  <c r="O174" i="1"/>
  <c r="N174" i="1"/>
  <c r="M174" i="1"/>
  <c r="L174" i="1"/>
  <c r="J174" i="1"/>
  <c r="I174" i="1"/>
  <c r="C174" i="1"/>
  <c r="AK173" i="1"/>
  <c r="AH173" i="1"/>
  <c r="AG173" i="1"/>
  <c r="AF173" i="1"/>
  <c r="AE173" i="1"/>
  <c r="AD173" i="1"/>
  <c r="AC173" i="1"/>
  <c r="U173" i="1"/>
  <c r="AK172" i="1"/>
  <c r="AJ172" i="1"/>
  <c r="AI172" i="1"/>
  <c r="AH172" i="1"/>
  <c r="AG172" i="1"/>
  <c r="AF172" i="1"/>
  <c r="AE172" i="1"/>
  <c r="AD172" i="1"/>
  <c r="AC172" i="1"/>
  <c r="AA172" i="1"/>
  <c r="Z172" i="1"/>
  <c r="U172" i="1"/>
  <c r="R172" i="1"/>
  <c r="Q172" i="1"/>
  <c r="P172" i="1"/>
  <c r="O172" i="1"/>
  <c r="N172" i="1"/>
  <c r="M172" i="1"/>
  <c r="L172" i="1"/>
  <c r="J172" i="1"/>
  <c r="I172" i="1"/>
  <c r="C172" i="1"/>
  <c r="AK171" i="1"/>
  <c r="AH171" i="1"/>
  <c r="AG171" i="1"/>
  <c r="AF171" i="1"/>
  <c r="AE171" i="1"/>
  <c r="AD171" i="1"/>
  <c r="AC171" i="1"/>
  <c r="U171" i="1"/>
  <c r="AK170" i="1"/>
  <c r="AJ170" i="1"/>
  <c r="AI170" i="1"/>
  <c r="AH170" i="1"/>
  <c r="AG170" i="1"/>
  <c r="AF170" i="1"/>
  <c r="AE170" i="1"/>
  <c r="AD170" i="1"/>
  <c r="AC170" i="1"/>
  <c r="AA170" i="1"/>
  <c r="Z170" i="1"/>
  <c r="U170" i="1"/>
  <c r="R170" i="1"/>
  <c r="Q170" i="1"/>
  <c r="P170" i="1"/>
  <c r="O170" i="1"/>
  <c r="N170" i="1"/>
  <c r="M170" i="1"/>
  <c r="L170" i="1"/>
  <c r="J170" i="1"/>
  <c r="I170" i="1"/>
  <c r="C170" i="1"/>
  <c r="AK169" i="1"/>
  <c r="AH169" i="1"/>
  <c r="AG169" i="1"/>
  <c r="AF169" i="1"/>
  <c r="AE169" i="1"/>
  <c r="AD169" i="1"/>
  <c r="AC169" i="1"/>
  <c r="U169" i="1"/>
  <c r="AK168" i="1"/>
  <c r="AJ168" i="1"/>
  <c r="AI168" i="1"/>
  <c r="AH168" i="1"/>
  <c r="AG168" i="1"/>
  <c r="AF168" i="1"/>
  <c r="AE168" i="1"/>
  <c r="AD168" i="1"/>
  <c r="AC168" i="1"/>
  <c r="AA168" i="1"/>
  <c r="Z168" i="1"/>
  <c r="U168" i="1"/>
  <c r="R168" i="1"/>
  <c r="Q168" i="1"/>
  <c r="P168" i="1"/>
  <c r="O168" i="1"/>
  <c r="N168" i="1"/>
  <c r="M168" i="1"/>
  <c r="L168" i="1"/>
  <c r="J168" i="1"/>
  <c r="I168" i="1"/>
  <c r="C168" i="1"/>
  <c r="AK167" i="1"/>
  <c r="AH167" i="1"/>
  <c r="AG167" i="1"/>
  <c r="AF167" i="1"/>
  <c r="AE167" i="1"/>
  <c r="AD167" i="1"/>
  <c r="AC167" i="1"/>
  <c r="U167" i="1"/>
  <c r="AK166" i="1"/>
  <c r="AJ166" i="1"/>
  <c r="AI166" i="1"/>
  <c r="AH166" i="1"/>
  <c r="AG166" i="1"/>
  <c r="AF166" i="1"/>
  <c r="AE166" i="1"/>
  <c r="AD166" i="1"/>
  <c r="AC166" i="1"/>
  <c r="AA166" i="1"/>
  <c r="Z166" i="1"/>
  <c r="U166" i="1"/>
  <c r="R166" i="1"/>
  <c r="Q166" i="1"/>
  <c r="P166" i="1"/>
  <c r="O166" i="1"/>
  <c r="N166" i="1"/>
  <c r="M166" i="1"/>
  <c r="L166" i="1"/>
  <c r="J166" i="1"/>
  <c r="I166" i="1"/>
  <c r="C166" i="1"/>
  <c r="AK165" i="1"/>
  <c r="AH165" i="1"/>
  <c r="AG165" i="1"/>
  <c r="AF165" i="1"/>
  <c r="AE165" i="1"/>
  <c r="AD165" i="1"/>
  <c r="AC165" i="1"/>
  <c r="U165" i="1"/>
  <c r="AK164" i="1"/>
  <c r="AJ164" i="1"/>
  <c r="AI164" i="1"/>
  <c r="AH164" i="1"/>
  <c r="AG164" i="1"/>
  <c r="AF164" i="1"/>
  <c r="AE164" i="1"/>
  <c r="AD164" i="1"/>
  <c r="AC164" i="1"/>
  <c r="AA164" i="1"/>
  <c r="Z164" i="1"/>
  <c r="U164" i="1"/>
  <c r="R164" i="1"/>
  <c r="Q164" i="1"/>
  <c r="P164" i="1"/>
  <c r="O164" i="1"/>
  <c r="N164" i="1"/>
  <c r="M164" i="1"/>
  <c r="L164" i="1"/>
  <c r="J164" i="1"/>
  <c r="I164" i="1"/>
  <c r="C164" i="1"/>
  <c r="AK163" i="1"/>
  <c r="AH163" i="1"/>
  <c r="AG163" i="1"/>
  <c r="AF163" i="1"/>
  <c r="AE163" i="1"/>
  <c r="AD163" i="1"/>
  <c r="AC163" i="1"/>
  <c r="U163" i="1"/>
  <c r="AK162" i="1"/>
  <c r="AJ162" i="1"/>
  <c r="AI162" i="1"/>
  <c r="AH162" i="1"/>
  <c r="AG162" i="1"/>
  <c r="AF162" i="1"/>
  <c r="AE162" i="1"/>
  <c r="AD162" i="1"/>
  <c r="AC162" i="1"/>
  <c r="AA162" i="1"/>
  <c r="Z162" i="1"/>
  <c r="U162" i="1"/>
  <c r="R162" i="1"/>
  <c r="Q162" i="1"/>
  <c r="P162" i="1"/>
  <c r="O162" i="1"/>
  <c r="N162" i="1"/>
  <c r="M162" i="1"/>
  <c r="L162" i="1"/>
  <c r="J162" i="1"/>
  <c r="I162" i="1"/>
  <c r="C162" i="1"/>
  <c r="AK161" i="1"/>
  <c r="AH161" i="1"/>
  <c r="AG161" i="1"/>
  <c r="AF161" i="1"/>
  <c r="AE161" i="1"/>
  <c r="AD161" i="1"/>
  <c r="AC161" i="1"/>
  <c r="U161" i="1"/>
  <c r="AK160" i="1"/>
  <c r="AJ160" i="1"/>
  <c r="AI160" i="1"/>
  <c r="AH160" i="1"/>
  <c r="AG160" i="1"/>
  <c r="AF160" i="1"/>
  <c r="AE160" i="1"/>
  <c r="AD160" i="1"/>
  <c r="AC160" i="1"/>
  <c r="AA160" i="1"/>
  <c r="Z160" i="1"/>
  <c r="U160" i="1"/>
  <c r="R160" i="1"/>
  <c r="Q160" i="1"/>
  <c r="P160" i="1"/>
  <c r="O160" i="1"/>
  <c r="N160" i="1"/>
  <c r="M160" i="1"/>
  <c r="L160" i="1"/>
  <c r="J160" i="1"/>
  <c r="I160" i="1"/>
  <c r="C160" i="1"/>
  <c r="AK159" i="1"/>
  <c r="AH159" i="1"/>
  <c r="AG159" i="1"/>
  <c r="AF159" i="1"/>
  <c r="AE159" i="1"/>
  <c r="AD159" i="1"/>
  <c r="AC159" i="1"/>
  <c r="U159" i="1"/>
  <c r="AK158" i="1"/>
  <c r="AJ158" i="1"/>
  <c r="AI158" i="1"/>
  <c r="AH158" i="1"/>
  <c r="AG158" i="1"/>
  <c r="AF158" i="1"/>
  <c r="AE158" i="1"/>
  <c r="AD158" i="1"/>
  <c r="AC158" i="1"/>
  <c r="AA158" i="1"/>
  <c r="Z158" i="1"/>
  <c r="U158" i="1"/>
  <c r="R158" i="1"/>
  <c r="Q158" i="1"/>
  <c r="P158" i="1"/>
  <c r="O158" i="1"/>
  <c r="N158" i="1"/>
  <c r="M158" i="1"/>
  <c r="L158" i="1"/>
  <c r="J158" i="1"/>
  <c r="I158" i="1"/>
  <c r="C158" i="1"/>
  <c r="AK157" i="1"/>
  <c r="AH157" i="1"/>
  <c r="AG157" i="1"/>
  <c r="AF157" i="1"/>
  <c r="AE157" i="1"/>
  <c r="AD157" i="1"/>
  <c r="AC157" i="1"/>
  <c r="U157" i="1"/>
  <c r="AK156" i="1"/>
  <c r="AJ156" i="1"/>
  <c r="AI156" i="1"/>
  <c r="AH156" i="1"/>
  <c r="AG156" i="1"/>
  <c r="AF156" i="1"/>
  <c r="AE156" i="1"/>
  <c r="AD156" i="1"/>
  <c r="AC156" i="1"/>
  <c r="AA156" i="1"/>
  <c r="Z156" i="1"/>
  <c r="U156" i="1"/>
  <c r="R156" i="1"/>
  <c r="Q156" i="1"/>
  <c r="P156" i="1"/>
  <c r="O156" i="1"/>
  <c r="N156" i="1"/>
  <c r="M156" i="1"/>
  <c r="L156" i="1"/>
  <c r="J156" i="1"/>
  <c r="I156" i="1"/>
  <c r="C156" i="1"/>
  <c r="AK155" i="1"/>
  <c r="AH155" i="1"/>
  <c r="AG155" i="1"/>
  <c r="AF155" i="1"/>
  <c r="AE155" i="1"/>
  <c r="AD155" i="1"/>
  <c r="AC155" i="1"/>
  <c r="U155" i="1"/>
  <c r="AK154" i="1"/>
  <c r="AJ154" i="1"/>
  <c r="AI154" i="1"/>
  <c r="AH154" i="1"/>
  <c r="AG154" i="1"/>
  <c r="AF154" i="1"/>
  <c r="AE154" i="1"/>
  <c r="AD154" i="1"/>
  <c r="AC154" i="1"/>
  <c r="AA154" i="1"/>
  <c r="Z154" i="1"/>
  <c r="U154" i="1"/>
  <c r="R154" i="1"/>
  <c r="Q154" i="1"/>
  <c r="P154" i="1"/>
  <c r="O154" i="1"/>
  <c r="N154" i="1"/>
  <c r="M154" i="1"/>
  <c r="L154" i="1"/>
  <c r="J154" i="1"/>
  <c r="I154" i="1"/>
  <c r="C154" i="1"/>
  <c r="AK153" i="1"/>
  <c r="AH153" i="1"/>
  <c r="AG153" i="1"/>
  <c r="AF153" i="1"/>
  <c r="AE153" i="1"/>
  <c r="AD153" i="1"/>
  <c r="AC153" i="1"/>
  <c r="U153" i="1"/>
  <c r="AK152" i="1"/>
  <c r="AJ152" i="1"/>
  <c r="AI152" i="1"/>
  <c r="AH152" i="1"/>
  <c r="AG152" i="1"/>
  <c r="AF152" i="1"/>
  <c r="AE152" i="1"/>
  <c r="AD152" i="1"/>
  <c r="AC152" i="1"/>
  <c r="AA152" i="1"/>
  <c r="Z152" i="1"/>
  <c r="U152" i="1"/>
  <c r="R152" i="1"/>
  <c r="Q152" i="1"/>
  <c r="P152" i="1"/>
  <c r="O152" i="1"/>
  <c r="N152" i="1"/>
  <c r="M152" i="1"/>
  <c r="L152" i="1"/>
  <c r="J152" i="1"/>
  <c r="I152" i="1"/>
  <c r="C152" i="1"/>
  <c r="AK151" i="1"/>
  <c r="AH151" i="1"/>
  <c r="AG151" i="1"/>
  <c r="AF151" i="1"/>
  <c r="AE151" i="1"/>
  <c r="AD151" i="1"/>
  <c r="AC151" i="1"/>
  <c r="U151" i="1"/>
  <c r="AK150" i="1"/>
  <c r="AJ150" i="1"/>
  <c r="AI150" i="1"/>
  <c r="AH150" i="1"/>
  <c r="AG150" i="1"/>
  <c r="AF150" i="1"/>
  <c r="AE150" i="1"/>
  <c r="AD150" i="1"/>
  <c r="AC150" i="1"/>
  <c r="AA150" i="1"/>
  <c r="Z150" i="1"/>
  <c r="U150" i="1"/>
  <c r="R150" i="1"/>
  <c r="Q150" i="1"/>
  <c r="P150" i="1"/>
  <c r="O150" i="1"/>
  <c r="N150" i="1"/>
  <c r="M150" i="1"/>
  <c r="L150" i="1"/>
  <c r="J150" i="1"/>
  <c r="I150" i="1"/>
  <c r="C150" i="1"/>
  <c r="AK149" i="1"/>
  <c r="AH149" i="1"/>
  <c r="AG149" i="1"/>
  <c r="AF149" i="1"/>
  <c r="AE149" i="1"/>
  <c r="AD149" i="1"/>
  <c r="AC149" i="1"/>
  <c r="U149" i="1"/>
  <c r="AK148" i="1"/>
  <c r="AJ148" i="1"/>
  <c r="AI148" i="1"/>
  <c r="AH148" i="1"/>
  <c r="AG148" i="1"/>
  <c r="AF148" i="1"/>
  <c r="AE148" i="1"/>
  <c r="AD148" i="1"/>
  <c r="AC148" i="1"/>
  <c r="AA148" i="1"/>
  <c r="Z148" i="1"/>
  <c r="U148" i="1"/>
  <c r="R148" i="1"/>
  <c r="Q148" i="1"/>
  <c r="P148" i="1"/>
  <c r="O148" i="1"/>
  <c r="N148" i="1"/>
  <c r="M148" i="1"/>
  <c r="L148" i="1"/>
  <c r="J148" i="1"/>
  <c r="I148" i="1"/>
  <c r="C148" i="1"/>
  <c r="AK147" i="1"/>
  <c r="AH147" i="1"/>
  <c r="AG147" i="1"/>
  <c r="AF147" i="1"/>
  <c r="AE147" i="1"/>
  <c r="AD147" i="1"/>
  <c r="AC147" i="1"/>
  <c r="U147" i="1"/>
  <c r="AK146" i="1"/>
  <c r="AJ146" i="1"/>
  <c r="AI146" i="1"/>
  <c r="AH146" i="1"/>
  <c r="AG146" i="1"/>
  <c r="AF146" i="1"/>
  <c r="AE146" i="1"/>
  <c r="AD146" i="1"/>
  <c r="AC146" i="1"/>
  <c r="AA146" i="1"/>
  <c r="Z146" i="1"/>
  <c r="U146" i="1"/>
  <c r="R146" i="1"/>
  <c r="Q146" i="1"/>
  <c r="P146" i="1"/>
  <c r="O146" i="1"/>
  <c r="N146" i="1"/>
  <c r="M146" i="1"/>
  <c r="L146" i="1"/>
  <c r="J146" i="1"/>
  <c r="I146" i="1"/>
  <c r="C146" i="1"/>
  <c r="AK145" i="1"/>
  <c r="AH145" i="1"/>
  <c r="AG145" i="1"/>
  <c r="AF145" i="1"/>
  <c r="AE145" i="1"/>
  <c r="AD145" i="1"/>
  <c r="AC145" i="1"/>
  <c r="U145" i="1"/>
  <c r="AK144" i="1"/>
  <c r="AJ144" i="1"/>
  <c r="AI144" i="1"/>
  <c r="AH144" i="1"/>
  <c r="AG144" i="1"/>
  <c r="AF144" i="1"/>
  <c r="AE144" i="1"/>
  <c r="AD144" i="1"/>
  <c r="AC144" i="1"/>
  <c r="AA144" i="1"/>
  <c r="Z144" i="1"/>
  <c r="U144" i="1"/>
  <c r="R144" i="1"/>
  <c r="Q144" i="1"/>
  <c r="P144" i="1"/>
  <c r="O144" i="1"/>
  <c r="N144" i="1"/>
  <c r="M144" i="1"/>
  <c r="L144" i="1"/>
  <c r="J144" i="1"/>
  <c r="I144" i="1"/>
  <c r="C144" i="1"/>
  <c r="AK143" i="1"/>
  <c r="AH143" i="1"/>
  <c r="AG143" i="1"/>
  <c r="AF143" i="1"/>
  <c r="AE143" i="1"/>
  <c r="AD143" i="1"/>
  <c r="AC143" i="1"/>
  <c r="U143" i="1"/>
  <c r="AK142" i="1"/>
  <c r="AJ142" i="1"/>
  <c r="AI142" i="1"/>
  <c r="AH142" i="1"/>
  <c r="AG142" i="1"/>
  <c r="AF142" i="1"/>
  <c r="AE142" i="1"/>
  <c r="AD142" i="1"/>
  <c r="AC142" i="1"/>
  <c r="AA142" i="1"/>
  <c r="Z142" i="1"/>
  <c r="U142" i="1"/>
  <c r="R142" i="1"/>
  <c r="Q142" i="1"/>
  <c r="P142" i="1"/>
  <c r="O142" i="1"/>
  <c r="N142" i="1"/>
  <c r="M142" i="1"/>
  <c r="L142" i="1"/>
  <c r="J142" i="1"/>
  <c r="I142" i="1"/>
  <c r="C142" i="1"/>
  <c r="AK141" i="1"/>
  <c r="AH141" i="1"/>
  <c r="AG141" i="1"/>
  <c r="AF141" i="1"/>
  <c r="AE141" i="1"/>
  <c r="AD141" i="1"/>
  <c r="AC141" i="1"/>
  <c r="U141" i="1"/>
  <c r="AK140" i="1"/>
  <c r="AJ140" i="1"/>
  <c r="AI140" i="1"/>
  <c r="AH140" i="1"/>
  <c r="AG140" i="1"/>
  <c r="AF140" i="1"/>
  <c r="AE140" i="1"/>
  <c r="AD140" i="1"/>
  <c r="AC140" i="1"/>
  <c r="AA140" i="1"/>
  <c r="Z140" i="1"/>
  <c r="U140" i="1"/>
  <c r="R140" i="1"/>
  <c r="Q140" i="1"/>
  <c r="P140" i="1"/>
  <c r="O140" i="1"/>
  <c r="N140" i="1"/>
  <c r="M140" i="1"/>
  <c r="L140" i="1"/>
  <c r="J140" i="1"/>
  <c r="I140" i="1"/>
  <c r="C140" i="1"/>
  <c r="AK139" i="1"/>
  <c r="AH139" i="1"/>
  <c r="AG139" i="1"/>
  <c r="AF139" i="1"/>
  <c r="AE139" i="1"/>
  <c r="AD139" i="1"/>
  <c r="AC139" i="1"/>
  <c r="U139" i="1"/>
  <c r="AK138" i="1"/>
  <c r="AJ138" i="1"/>
  <c r="AI138" i="1"/>
  <c r="AH138" i="1"/>
  <c r="AG138" i="1"/>
  <c r="AF138" i="1"/>
  <c r="AE138" i="1"/>
  <c r="AD138" i="1"/>
  <c r="AC138" i="1"/>
  <c r="AA138" i="1"/>
  <c r="Z138" i="1"/>
  <c r="U138" i="1"/>
  <c r="R138" i="1"/>
  <c r="Q138" i="1"/>
  <c r="P138" i="1"/>
  <c r="O138" i="1"/>
  <c r="N138" i="1"/>
  <c r="M138" i="1"/>
  <c r="L138" i="1"/>
  <c r="J138" i="1"/>
  <c r="I138" i="1"/>
  <c r="C138" i="1"/>
  <c r="AK137" i="1"/>
  <c r="AH137" i="1"/>
  <c r="AG137" i="1"/>
  <c r="AF137" i="1"/>
  <c r="AE137" i="1"/>
  <c r="AD137" i="1"/>
  <c r="AC137" i="1"/>
  <c r="U137" i="1"/>
  <c r="AK136" i="1"/>
  <c r="AJ136" i="1"/>
  <c r="AI136" i="1"/>
  <c r="AH136" i="1"/>
  <c r="AG136" i="1"/>
  <c r="AF136" i="1"/>
  <c r="AE136" i="1"/>
  <c r="AD136" i="1"/>
  <c r="AC136" i="1"/>
  <c r="AA136" i="1"/>
  <c r="Z136" i="1"/>
  <c r="U136" i="1"/>
  <c r="R136" i="1"/>
  <c r="Q136" i="1"/>
  <c r="P136" i="1"/>
  <c r="O136" i="1"/>
  <c r="N136" i="1"/>
  <c r="M136" i="1"/>
  <c r="L136" i="1"/>
  <c r="J136" i="1"/>
  <c r="I136" i="1"/>
  <c r="C136" i="1"/>
  <c r="AK135" i="1"/>
  <c r="AH135" i="1"/>
  <c r="AG135" i="1"/>
  <c r="AF135" i="1"/>
  <c r="AE135" i="1"/>
  <c r="AD135" i="1"/>
  <c r="AC135" i="1"/>
  <c r="U135" i="1"/>
  <c r="AK134" i="1"/>
  <c r="AJ134" i="1"/>
  <c r="AI134" i="1"/>
  <c r="AH134" i="1"/>
  <c r="AG134" i="1"/>
  <c r="AF134" i="1"/>
  <c r="AE134" i="1"/>
  <c r="AD134" i="1"/>
  <c r="AC134" i="1"/>
  <c r="AA134" i="1"/>
  <c r="Z134" i="1"/>
  <c r="U134" i="1"/>
  <c r="R134" i="1"/>
  <c r="Q134" i="1"/>
  <c r="P134" i="1"/>
  <c r="O134" i="1"/>
  <c r="N134" i="1"/>
  <c r="M134" i="1"/>
  <c r="L134" i="1"/>
  <c r="J134" i="1"/>
  <c r="I134" i="1"/>
  <c r="C134" i="1"/>
  <c r="AK133" i="1"/>
  <c r="AH133" i="1"/>
  <c r="AG133" i="1"/>
  <c r="AF133" i="1"/>
  <c r="AE133" i="1"/>
  <c r="AD133" i="1"/>
  <c r="AC133" i="1"/>
  <c r="U133" i="1"/>
  <c r="AK132" i="1"/>
  <c r="AJ132" i="1"/>
  <c r="AI132" i="1"/>
  <c r="AH132" i="1"/>
  <c r="AG132" i="1"/>
  <c r="AF132" i="1"/>
  <c r="AE132" i="1"/>
  <c r="AD132" i="1"/>
  <c r="AC132" i="1"/>
  <c r="AA132" i="1"/>
  <c r="Z132" i="1"/>
  <c r="U132" i="1"/>
  <c r="R132" i="1"/>
  <c r="Q132" i="1"/>
  <c r="P132" i="1"/>
  <c r="O132" i="1"/>
  <c r="N132" i="1"/>
  <c r="M132" i="1"/>
  <c r="L132" i="1"/>
  <c r="J132" i="1"/>
  <c r="I132" i="1"/>
  <c r="C132" i="1"/>
  <c r="AK131" i="1"/>
  <c r="AH131" i="1"/>
  <c r="AG131" i="1"/>
  <c r="AF131" i="1"/>
  <c r="AE131" i="1"/>
  <c r="AD131" i="1"/>
  <c r="AC131" i="1"/>
  <c r="U131" i="1"/>
  <c r="AK130" i="1"/>
  <c r="AJ130" i="1"/>
  <c r="AI130" i="1"/>
  <c r="AH130" i="1"/>
  <c r="AG130" i="1"/>
  <c r="AF130" i="1"/>
  <c r="AE130" i="1"/>
  <c r="AD130" i="1"/>
  <c r="AC130" i="1"/>
  <c r="AA130" i="1"/>
  <c r="Z130" i="1"/>
  <c r="U130" i="1"/>
  <c r="R130" i="1"/>
  <c r="Q130" i="1"/>
  <c r="P130" i="1"/>
  <c r="O130" i="1"/>
  <c r="N130" i="1"/>
  <c r="M130" i="1"/>
  <c r="L130" i="1"/>
  <c r="J130" i="1"/>
  <c r="I130" i="1"/>
  <c r="C130" i="1"/>
  <c r="AK129" i="1"/>
  <c r="AH129" i="1"/>
  <c r="AG129" i="1"/>
  <c r="AF129" i="1"/>
  <c r="AE129" i="1"/>
  <c r="AD129" i="1"/>
  <c r="AC129" i="1"/>
  <c r="U129" i="1"/>
  <c r="AK128" i="1"/>
  <c r="AJ128" i="1"/>
  <c r="AI128" i="1"/>
  <c r="AH128" i="1"/>
  <c r="AG128" i="1"/>
  <c r="AF128" i="1"/>
  <c r="AE128" i="1"/>
  <c r="AD128" i="1"/>
  <c r="AC128" i="1"/>
  <c r="AA128" i="1"/>
  <c r="Z128" i="1"/>
  <c r="U128" i="1"/>
  <c r="R128" i="1"/>
  <c r="Q128" i="1"/>
  <c r="P128" i="1"/>
  <c r="O128" i="1"/>
  <c r="N128" i="1"/>
  <c r="M128" i="1"/>
  <c r="L128" i="1"/>
  <c r="J128" i="1"/>
  <c r="I128" i="1"/>
  <c r="C128" i="1"/>
  <c r="AK127" i="1"/>
  <c r="AH127" i="1"/>
  <c r="AG127" i="1"/>
  <c r="AF127" i="1"/>
  <c r="AE127" i="1"/>
  <c r="AD127" i="1"/>
  <c r="AC127" i="1"/>
  <c r="U127" i="1"/>
  <c r="AK126" i="1"/>
  <c r="AJ126" i="1"/>
  <c r="AI126" i="1"/>
  <c r="AH126" i="1"/>
  <c r="AG126" i="1"/>
  <c r="AF126" i="1"/>
  <c r="AE126" i="1"/>
  <c r="AD126" i="1"/>
  <c r="AC126" i="1"/>
  <c r="AA126" i="1"/>
  <c r="Z126" i="1"/>
  <c r="U126" i="1"/>
  <c r="R126" i="1"/>
  <c r="Q126" i="1"/>
  <c r="P126" i="1"/>
  <c r="O126" i="1"/>
  <c r="N126" i="1"/>
  <c r="M126" i="1"/>
  <c r="L126" i="1"/>
  <c r="J126" i="1"/>
  <c r="I126" i="1"/>
  <c r="C126" i="1"/>
  <c r="AK125" i="1"/>
  <c r="AH125" i="1"/>
  <c r="AG125" i="1"/>
  <c r="AF125" i="1"/>
  <c r="AE125" i="1"/>
  <c r="AD125" i="1"/>
  <c r="AC125" i="1"/>
  <c r="U125" i="1"/>
  <c r="AK124" i="1"/>
  <c r="AJ124" i="1"/>
  <c r="AI124" i="1"/>
  <c r="AH124" i="1"/>
  <c r="AG124" i="1"/>
  <c r="AF124" i="1"/>
  <c r="AE124" i="1"/>
  <c r="AD124" i="1"/>
  <c r="AC124" i="1"/>
  <c r="AA124" i="1"/>
  <c r="Z124" i="1"/>
  <c r="U124" i="1"/>
  <c r="R124" i="1"/>
  <c r="Q124" i="1"/>
  <c r="P124" i="1"/>
  <c r="O124" i="1"/>
  <c r="N124" i="1"/>
  <c r="M124" i="1"/>
  <c r="L124" i="1"/>
  <c r="J124" i="1"/>
  <c r="I124" i="1"/>
  <c r="C124" i="1"/>
  <c r="AK123" i="1"/>
  <c r="AH123" i="1"/>
  <c r="AG123" i="1"/>
  <c r="AF123" i="1"/>
  <c r="AE123" i="1"/>
  <c r="AD123" i="1"/>
  <c r="AC123" i="1"/>
  <c r="U123" i="1"/>
  <c r="AK122" i="1"/>
  <c r="AJ122" i="1"/>
  <c r="AI122" i="1"/>
  <c r="AH122" i="1"/>
  <c r="AG122" i="1"/>
  <c r="AF122" i="1"/>
  <c r="AE122" i="1"/>
  <c r="AD122" i="1"/>
  <c r="AC122" i="1"/>
  <c r="AA122" i="1"/>
  <c r="Z122" i="1"/>
  <c r="U122" i="1"/>
  <c r="R122" i="1"/>
  <c r="Q122" i="1"/>
  <c r="P122" i="1"/>
  <c r="O122" i="1"/>
  <c r="N122" i="1"/>
  <c r="M122" i="1"/>
  <c r="L122" i="1"/>
  <c r="J122" i="1"/>
  <c r="I122" i="1"/>
  <c r="C122" i="1"/>
  <c r="AK121" i="1"/>
  <c r="AH121" i="1"/>
  <c r="AG121" i="1"/>
  <c r="AF121" i="1"/>
  <c r="AE121" i="1"/>
  <c r="AD121" i="1"/>
  <c r="AC121" i="1"/>
  <c r="U121" i="1"/>
  <c r="AK120" i="1"/>
  <c r="AJ120" i="1"/>
  <c r="AI120" i="1"/>
  <c r="AH120" i="1"/>
  <c r="AG120" i="1"/>
  <c r="AF120" i="1"/>
  <c r="AE120" i="1"/>
  <c r="AD120" i="1"/>
  <c r="AC120" i="1"/>
  <c r="AA120" i="1"/>
  <c r="Z120" i="1"/>
  <c r="U120" i="1"/>
  <c r="R120" i="1"/>
  <c r="Q120" i="1"/>
  <c r="P120" i="1"/>
  <c r="O120" i="1"/>
  <c r="N120" i="1"/>
  <c r="M120" i="1"/>
  <c r="L120" i="1"/>
  <c r="J120" i="1"/>
  <c r="I120" i="1"/>
  <c r="C120" i="1"/>
  <c r="AK119" i="1"/>
  <c r="AH119" i="1"/>
  <c r="AG119" i="1"/>
  <c r="AF119" i="1"/>
  <c r="AE119" i="1"/>
  <c r="AD119" i="1"/>
  <c r="AC119" i="1"/>
  <c r="U119" i="1"/>
  <c r="AK118" i="1"/>
  <c r="AJ118" i="1"/>
  <c r="AI118" i="1"/>
  <c r="AH118" i="1"/>
  <c r="AG118" i="1"/>
  <c r="AF118" i="1"/>
  <c r="AE118" i="1"/>
  <c r="AD118" i="1"/>
  <c r="AC118" i="1"/>
  <c r="AA118" i="1"/>
  <c r="Z118" i="1"/>
  <c r="U118" i="1"/>
  <c r="R118" i="1"/>
  <c r="Q118" i="1"/>
  <c r="P118" i="1"/>
  <c r="O118" i="1"/>
  <c r="N118" i="1"/>
  <c r="M118" i="1"/>
  <c r="L118" i="1"/>
  <c r="J118" i="1"/>
  <c r="I118" i="1"/>
  <c r="C118" i="1"/>
  <c r="AK117" i="1"/>
  <c r="AH117" i="1"/>
  <c r="AG117" i="1"/>
  <c r="AF117" i="1"/>
  <c r="AE117" i="1"/>
  <c r="AD117" i="1"/>
  <c r="AC117" i="1"/>
  <c r="U117" i="1"/>
  <c r="AK116" i="1"/>
  <c r="AJ116" i="1"/>
  <c r="AI116" i="1"/>
  <c r="AH116" i="1"/>
  <c r="AG116" i="1"/>
  <c r="AF116" i="1"/>
  <c r="AE116" i="1"/>
  <c r="AD116" i="1"/>
  <c r="AC116" i="1"/>
  <c r="AA116" i="1"/>
  <c r="Z116" i="1"/>
  <c r="U116" i="1"/>
  <c r="R116" i="1"/>
  <c r="Q116" i="1"/>
  <c r="P116" i="1"/>
  <c r="O116" i="1"/>
  <c r="N116" i="1"/>
  <c r="M116" i="1"/>
  <c r="L116" i="1"/>
  <c r="J116" i="1"/>
  <c r="I116" i="1"/>
  <c r="C116" i="1"/>
  <c r="AK115" i="1"/>
  <c r="AH115" i="1"/>
  <c r="AG115" i="1"/>
  <c r="AF115" i="1"/>
  <c r="AE115" i="1"/>
  <c r="AD115" i="1"/>
  <c r="AC115" i="1"/>
  <c r="U115" i="1"/>
  <c r="AK114" i="1"/>
  <c r="AJ114" i="1"/>
  <c r="AI114" i="1"/>
  <c r="AH114" i="1"/>
  <c r="AG114" i="1"/>
  <c r="AF114" i="1"/>
  <c r="AE114" i="1"/>
  <c r="AD114" i="1"/>
  <c r="AC114" i="1"/>
  <c r="AA114" i="1"/>
  <c r="Z114" i="1"/>
  <c r="U114" i="1"/>
  <c r="R114" i="1"/>
  <c r="Q114" i="1"/>
  <c r="P114" i="1"/>
  <c r="O114" i="1"/>
  <c r="N114" i="1"/>
  <c r="M114" i="1"/>
  <c r="L114" i="1"/>
  <c r="J114" i="1"/>
  <c r="I114" i="1"/>
  <c r="C114" i="1"/>
  <c r="AK113" i="1"/>
  <c r="AH113" i="1"/>
  <c r="AG113" i="1"/>
  <c r="AF113" i="1"/>
  <c r="AE113" i="1"/>
  <c r="AD113" i="1"/>
  <c r="AC113" i="1"/>
  <c r="U113" i="1"/>
  <c r="AK112" i="1"/>
  <c r="AJ112" i="1"/>
  <c r="AI112" i="1"/>
  <c r="AH112" i="1"/>
  <c r="AG112" i="1"/>
  <c r="AF112" i="1"/>
  <c r="AE112" i="1"/>
  <c r="AD112" i="1"/>
  <c r="AC112" i="1"/>
  <c r="AA112" i="1"/>
  <c r="Z112" i="1"/>
  <c r="U112" i="1"/>
  <c r="R112" i="1"/>
  <c r="Q112" i="1"/>
  <c r="P112" i="1"/>
  <c r="O112" i="1"/>
  <c r="N112" i="1"/>
  <c r="M112" i="1"/>
  <c r="L112" i="1"/>
  <c r="J112" i="1"/>
  <c r="I112" i="1"/>
  <c r="C112" i="1"/>
  <c r="AK111" i="1"/>
  <c r="AH111" i="1"/>
  <c r="AG111" i="1"/>
  <c r="AF111" i="1"/>
  <c r="AE111" i="1"/>
  <c r="AD111" i="1"/>
  <c r="AC111" i="1"/>
  <c r="U111" i="1"/>
  <c r="AK110" i="1"/>
  <c r="AJ110" i="1"/>
  <c r="AI110" i="1"/>
  <c r="AH110" i="1"/>
  <c r="AG110" i="1"/>
  <c r="AF110" i="1"/>
  <c r="AE110" i="1"/>
  <c r="AD110" i="1"/>
  <c r="AC110" i="1"/>
  <c r="AA110" i="1"/>
  <c r="Z110" i="1"/>
  <c r="U110" i="1"/>
  <c r="R110" i="1"/>
  <c r="Q110" i="1"/>
  <c r="P110" i="1"/>
  <c r="O110" i="1"/>
  <c r="N110" i="1"/>
  <c r="M110" i="1"/>
  <c r="L110" i="1"/>
  <c r="J110" i="1"/>
  <c r="I110" i="1"/>
  <c r="C110" i="1"/>
  <c r="AK109" i="1"/>
  <c r="AH109" i="1"/>
  <c r="AG109" i="1"/>
  <c r="AF109" i="1"/>
  <c r="AE109" i="1"/>
  <c r="AD109" i="1"/>
  <c r="AC109" i="1"/>
  <c r="U109" i="1"/>
  <c r="AK108" i="1"/>
  <c r="AJ108" i="1"/>
  <c r="AI108" i="1"/>
  <c r="AH108" i="1"/>
  <c r="AG108" i="1"/>
  <c r="AF108" i="1"/>
  <c r="AE108" i="1"/>
  <c r="AD108" i="1"/>
  <c r="AC108" i="1"/>
  <c r="AA108" i="1"/>
  <c r="Z108" i="1"/>
  <c r="U108" i="1"/>
  <c r="R108" i="1"/>
  <c r="Q108" i="1"/>
  <c r="P108" i="1"/>
  <c r="O108" i="1"/>
  <c r="N108" i="1"/>
  <c r="M108" i="1"/>
  <c r="L108" i="1"/>
  <c r="J108" i="1"/>
  <c r="I108" i="1"/>
  <c r="C108" i="1"/>
  <c r="AK107" i="1"/>
  <c r="AH107" i="1"/>
  <c r="AG107" i="1"/>
  <c r="AF107" i="1"/>
  <c r="AE107" i="1"/>
  <c r="AD107" i="1"/>
  <c r="AC107" i="1"/>
  <c r="U107" i="1"/>
  <c r="AK106" i="1"/>
  <c r="AJ106" i="1"/>
  <c r="AI106" i="1"/>
  <c r="AH106" i="1"/>
  <c r="AG106" i="1"/>
  <c r="AF106" i="1"/>
  <c r="AE106" i="1"/>
  <c r="AD106" i="1"/>
  <c r="AC106" i="1"/>
  <c r="AA106" i="1"/>
  <c r="Z106" i="1"/>
  <c r="U106" i="1"/>
  <c r="R106" i="1"/>
  <c r="Q106" i="1"/>
  <c r="P106" i="1"/>
  <c r="O106" i="1"/>
  <c r="N106" i="1"/>
  <c r="M106" i="1"/>
  <c r="L106" i="1"/>
  <c r="J106" i="1"/>
  <c r="I106" i="1"/>
  <c r="C106" i="1"/>
  <c r="AK105" i="1"/>
  <c r="AH105" i="1"/>
  <c r="AG105" i="1"/>
  <c r="AF105" i="1"/>
  <c r="AE105" i="1"/>
  <c r="AD105" i="1"/>
  <c r="AC105" i="1"/>
  <c r="U105" i="1"/>
  <c r="AK104" i="1"/>
  <c r="AJ104" i="1"/>
  <c r="AI104" i="1"/>
  <c r="AH104" i="1"/>
  <c r="AG104" i="1"/>
  <c r="AF104" i="1"/>
  <c r="AE104" i="1"/>
  <c r="AD104" i="1"/>
  <c r="AC104" i="1"/>
  <c r="AA104" i="1"/>
  <c r="Z104" i="1"/>
  <c r="U104" i="1"/>
  <c r="R104" i="1"/>
  <c r="Q104" i="1"/>
  <c r="P104" i="1"/>
  <c r="O104" i="1"/>
  <c r="N104" i="1"/>
  <c r="M104" i="1"/>
  <c r="L104" i="1"/>
  <c r="J104" i="1"/>
  <c r="I104" i="1"/>
  <c r="C104" i="1"/>
  <c r="AK103" i="1"/>
  <c r="AH103" i="1"/>
  <c r="AG103" i="1"/>
  <c r="AF103" i="1"/>
  <c r="AE103" i="1"/>
  <c r="AD103" i="1"/>
  <c r="AC103" i="1"/>
  <c r="U103" i="1"/>
  <c r="AK102" i="1"/>
  <c r="AJ102" i="1"/>
  <c r="AI102" i="1"/>
  <c r="AH102" i="1"/>
  <c r="AG102" i="1"/>
  <c r="AF102" i="1"/>
  <c r="AE102" i="1"/>
  <c r="AD102" i="1"/>
  <c r="AC102" i="1"/>
  <c r="AA102" i="1"/>
  <c r="Z102" i="1"/>
  <c r="U102" i="1"/>
  <c r="R102" i="1"/>
  <c r="Q102" i="1"/>
  <c r="P102" i="1"/>
  <c r="O102" i="1"/>
  <c r="N102" i="1"/>
  <c r="M102" i="1"/>
  <c r="L102" i="1"/>
  <c r="J102" i="1"/>
  <c r="I102" i="1"/>
  <c r="C102" i="1"/>
  <c r="AK101" i="1"/>
  <c r="AH101" i="1"/>
  <c r="AG101" i="1"/>
  <c r="AF101" i="1"/>
  <c r="AE101" i="1"/>
  <c r="AD101" i="1"/>
  <c r="AC101" i="1"/>
  <c r="U101" i="1"/>
  <c r="AK100" i="1"/>
  <c r="AJ100" i="1"/>
  <c r="AI100" i="1"/>
  <c r="AH100" i="1"/>
  <c r="AG100" i="1"/>
  <c r="AF100" i="1"/>
  <c r="AE100" i="1"/>
  <c r="AD100" i="1"/>
  <c r="AC100" i="1"/>
  <c r="AA100" i="1"/>
  <c r="Z100" i="1"/>
  <c r="U100" i="1"/>
  <c r="R100" i="1"/>
  <c r="Q100" i="1"/>
  <c r="P100" i="1"/>
  <c r="O100" i="1"/>
  <c r="N100" i="1"/>
  <c r="M100" i="1"/>
  <c r="L100" i="1"/>
  <c r="J100" i="1"/>
  <c r="I100" i="1"/>
  <c r="C100" i="1"/>
  <c r="AK99" i="1"/>
  <c r="AH99" i="1"/>
  <c r="AG99" i="1"/>
  <c r="AF99" i="1"/>
  <c r="AE99" i="1"/>
  <c r="AD99" i="1"/>
  <c r="AC99" i="1"/>
  <c r="U99" i="1"/>
  <c r="AK98" i="1"/>
  <c r="AJ98" i="1"/>
  <c r="AI98" i="1"/>
  <c r="AH98" i="1"/>
  <c r="AG98" i="1"/>
  <c r="AF98" i="1"/>
  <c r="AE98" i="1"/>
  <c r="AD98" i="1"/>
  <c r="AC98" i="1"/>
  <c r="AA98" i="1"/>
  <c r="Z98" i="1"/>
  <c r="U98" i="1"/>
  <c r="R98" i="1"/>
  <c r="Q98" i="1"/>
  <c r="P98" i="1"/>
  <c r="O98" i="1"/>
  <c r="N98" i="1"/>
  <c r="M98" i="1"/>
  <c r="L98" i="1"/>
  <c r="J98" i="1"/>
  <c r="I98" i="1"/>
  <c r="C98" i="1"/>
  <c r="AK97" i="1"/>
  <c r="AH97" i="1"/>
  <c r="AG97" i="1"/>
  <c r="AF97" i="1"/>
  <c r="AE97" i="1"/>
  <c r="AD97" i="1"/>
  <c r="AC97" i="1"/>
  <c r="U97" i="1"/>
  <c r="AK96" i="1"/>
  <c r="AJ96" i="1"/>
  <c r="AI96" i="1"/>
  <c r="AH96" i="1"/>
  <c r="AG96" i="1"/>
  <c r="AF96" i="1"/>
  <c r="AE96" i="1"/>
  <c r="AD96" i="1"/>
  <c r="AC96" i="1"/>
  <c r="AA96" i="1"/>
  <c r="Z96" i="1"/>
  <c r="U96" i="1"/>
  <c r="R96" i="1"/>
  <c r="Q96" i="1"/>
  <c r="P96" i="1"/>
  <c r="O96" i="1"/>
  <c r="N96" i="1"/>
  <c r="M96" i="1"/>
  <c r="L96" i="1"/>
  <c r="J96" i="1"/>
  <c r="I96" i="1"/>
  <c r="C96" i="1"/>
  <c r="AK95" i="1"/>
  <c r="AH95" i="1"/>
  <c r="AG95" i="1"/>
  <c r="AF95" i="1"/>
  <c r="AE95" i="1"/>
  <c r="AD95" i="1"/>
  <c r="AC95" i="1"/>
  <c r="U95" i="1"/>
  <c r="AK94" i="1"/>
  <c r="AJ94" i="1"/>
  <c r="AI94" i="1"/>
  <c r="AH94" i="1"/>
  <c r="AG94" i="1"/>
  <c r="AF94" i="1"/>
  <c r="AE94" i="1"/>
  <c r="AD94" i="1"/>
  <c r="AC94" i="1"/>
  <c r="AA94" i="1"/>
  <c r="Z94" i="1"/>
  <c r="U94" i="1"/>
  <c r="R94" i="1"/>
  <c r="Q94" i="1"/>
  <c r="P94" i="1"/>
  <c r="O94" i="1"/>
  <c r="N94" i="1"/>
  <c r="M94" i="1"/>
  <c r="L94" i="1"/>
  <c r="J94" i="1"/>
  <c r="I94" i="1"/>
  <c r="C94" i="1"/>
  <c r="AK93" i="1"/>
  <c r="AH93" i="1"/>
  <c r="AG93" i="1"/>
  <c r="AF93" i="1"/>
  <c r="AE93" i="1"/>
  <c r="AD93" i="1"/>
  <c r="AC93" i="1"/>
  <c r="U93" i="1"/>
  <c r="AK92" i="1"/>
  <c r="AJ92" i="1"/>
  <c r="AI92" i="1"/>
  <c r="AH92" i="1"/>
  <c r="AG92" i="1"/>
  <c r="AF92" i="1"/>
  <c r="AE92" i="1"/>
  <c r="AD92" i="1"/>
  <c r="AC92" i="1"/>
  <c r="AA92" i="1"/>
  <c r="Z92" i="1"/>
  <c r="U92" i="1"/>
  <c r="R92" i="1"/>
  <c r="Q92" i="1"/>
  <c r="P92" i="1"/>
  <c r="O92" i="1"/>
  <c r="N92" i="1"/>
  <c r="M92" i="1"/>
  <c r="L92" i="1"/>
  <c r="J92" i="1"/>
  <c r="I92" i="1"/>
  <c r="C92" i="1"/>
  <c r="AK91" i="1"/>
  <c r="AH91" i="1"/>
  <c r="AG91" i="1"/>
  <c r="AF91" i="1"/>
  <c r="AE91" i="1"/>
  <c r="AD91" i="1"/>
  <c r="AC91" i="1"/>
  <c r="U91" i="1"/>
  <c r="AK90" i="1"/>
  <c r="AJ90" i="1"/>
  <c r="AI90" i="1"/>
  <c r="AH90" i="1"/>
  <c r="AG90" i="1"/>
  <c r="AF90" i="1"/>
  <c r="AE90" i="1"/>
  <c r="AD90" i="1"/>
  <c r="AC90" i="1"/>
  <c r="AA90" i="1"/>
  <c r="Z90" i="1"/>
  <c r="U90" i="1"/>
  <c r="R90" i="1"/>
  <c r="Q90" i="1"/>
  <c r="P90" i="1"/>
  <c r="O90" i="1"/>
  <c r="N90" i="1"/>
  <c r="M90" i="1"/>
  <c r="L90" i="1"/>
  <c r="J90" i="1"/>
  <c r="I90" i="1"/>
  <c r="C90" i="1"/>
  <c r="AK89" i="1"/>
  <c r="AH89" i="1"/>
  <c r="AG89" i="1"/>
  <c r="AF89" i="1"/>
  <c r="AE89" i="1"/>
  <c r="AD89" i="1"/>
  <c r="AC89" i="1"/>
  <c r="U89" i="1"/>
  <c r="AK88" i="1"/>
  <c r="AJ88" i="1"/>
  <c r="AI88" i="1"/>
  <c r="AH88" i="1"/>
  <c r="AG88" i="1"/>
  <c r="AF88" i="1"/>
  <c r="AE88" i="1"/>
  <c r="AD88" i="1"/>
  <c r="AC88" i="1"/>
  <c r="AA88" i="1"/>
  <c r="Z88" i="1"/>
  <c r="U88" i="1"/>
  <c r="R88" i="1"/>
  <c r="Q88" i="1"/>
  <c r="P88" i="1"/>
  <c r="O88" i="1"/>
  <c r="N88" i="1"/>
  <c r="M88" i="1"/>
  <c r="L88" i="1"/>
  <c r="J88" i="1"/>
  <c r="I88" i="1"/>
  <c r="C88" i="1"/>
  <c r="AK87" i="1"/>
  <c r="AH87" i="1"/>
  <c r="AG87" i="1"/>
  <c r="AF87" i="1"/>
  <c r="AE87" i="1"/>
  <c r="AD87" i="1"/>
  <c r="AC87" i="1"/>
  <c r="U87" i="1"/>
  <c r="AK86" i="1"/>
  <c r="AJ86" i="1"/>
  <c r="AI86" i="1"/>
  <c r="AH86" i="1"/>
  <c r="AG86" i="1"/>
  <c r="AF86" i="1"/>
  <c r="AE86" i="1"/>
  <c r="AD86" i="1"/>
  <c r="AC86" i="1"/>
  <c r="AA86" i="1"/>
  <c r="Z86" i="1"/>
  <c r="U86" i="1"/>
  <c r="R86" i="1"/>
  <c r="Q86" i="1"/>
  <c r="P86" i="1"/>
  <c r="O86" i="1"/>
  <c r="N86" i="1"/>
  <c r="M86" i="1"/>
  <c r="L86" i="1"/>
  <c r="J86" i="1"/>
  <c r="I86" i="1"/>
  <c r="C86" i="1"/>
  <c r="AK85" i="1"/>
  <c r="AH85" i="1"/>
  <c r="AG85" i="1"/>
  <c r="AF85" i="1"/>
  <c r="AE85" i="1"/>
  <c r="AD85" i="1"/>
  <c r="AC85" i="1"/>
  <c r="U85" i="1"/>
  <c r="AK84" i="1"/>
  <c r="AJ84" i="1"/>
  <c r="AI84" i="1"/>
  <c r="AH84" i="1"/>
  <c r="AG84" i="1"/>
  <c r="AF84" i="1"/>
  <c r="AE84" i="1"/>
  <c r="AD84" i="1"/>
  <c r="AC84" i="1"/>
  <c r="AA84" i="1"/>
  <c r="Z84" i="1"/>
  <c r="U84" i="1"/>
  <c r="R84" i="1"/>
  <c r="Q84" i="1"/>
  <c r="P84" i="1"/>
  <c r="O84" i="1"/>
  <c r="N84" i="1"/>
  <c r="M84" i="1"/>
  <c r="L84" i="1"/>
  <c r="J84" i="1"/>
  <c r="I84" i="1"/>
  <c r="C84" i="1"/>
  <c r="AK83" i="1"/>
  <c r="AH83" i="1"/>
  <c r="AG83" i="1"/>
  <c r="AF83" i="1"/>
  <c r="AE83" i="1"/>
  <c r="AD83" i="1"/>
  <c r="AC83" i="1"/>
  <c r="U83" i="1"/>
  <c r="AK82" i="1"/>
  <c r="AJ82" i="1"/>
  <c r="AI82" i="1"/>
  <c r="AH82" i="1"/>
  <c r="AG82" i="1"/>
  <c r="AF82" i="1"/>
  <c r="AE82" i="1"/>
  <c r="AD82" i="1"/>
  <c r="AC82" i="1"/>
  <c r="AA82" i="1"/>
  <c r="Z82" i="1"/>
  <c r="U82" i="1"/>
  <c r="R82" i="1"/>
  <c r="Q82" i="1"/>
  <c r="P82" i="1"/>
  <c r="O82" i="1"/>
  <c r="N82" i="1"/>
  <c r="M82" i="1"/>
  <c r="L82" i="1"/>
  <c r="J82" i="1"/>
  <c r="I82" i="1"/>
  <c r="C82" i="1"/>
  <c r="AK81" i="1"/>
  <c r="AH81" i="1"/>
  <c r="AG81" i="1"/>
  <c r="AF81" i="1"/>
  <c r="AE81" i="1"/>
  <c r="AD81" i="1"/>
  <c r="AC81" i="1"/>
  <c r="U81" i="1"/>
  <c r="AK80" i="1"/>
  <c r="AJ80" i="1"/>
  <c r="AI80" i="1"/>
  <c r="AH80" i="1"/>
  <c r="AG80" i="1"/>
  <c r="AF80" i="1"/>
  <c r="AE80" i="1"/>
  <c r="AD80" i="1"/>
  <c r="AC80" i="1"/>
  <c r="AA80" i="1"/>
  <c r="Z80" i="1"/>
  <c r="U80" i="1"/>
  <c r="R80" i="1"/>
  <c r="Q80" i="1"/>
  <c r="P80" i="1"/>
  <c r="O80" i="1"/>
  <c r="N80" i="1"/>
  <c r="M80" i="1"/>
  <c r="L80" i="1"/>
  <c r="J80" i="1"/>
  <c r="I80" i="1"/>
  <c r="C80" i="1"/>
  <c r="AK79" i="1"/>
  <c r="AH79" i="1"/>
  <c r="AG79" i="1"/>
  <c r="AF79" i="1"/>
  <c r="AE79" i="1"/>
  <c r="AD79" i="1"/>
  <c r="AC79" i="1"/>
  <c r="U79" i="1"/>
  <c r="AK78" i="1"/>
  <c r="AJ78" i="1"/>
  <c r="AI78" i="1"/>
  <c r="AH78" i="1"/>
  <c r="AG78" i="1"/>
  <c r="AF78" i="1"/>
  <c r="AE78" i="1"/>
  <c r="AD78" i="1"/>
  <c r="AC78" i="1"/>
  <c r="AA78" i="1"/>
  <c r="Z78" i="1"/>
  <c r="U78" i="1"/>
  <c r="R78" i="1"/>
  <c r="Q78" i="1"/>
  <c r="P78" i="1"/>
  <c r="O78" i="1"/>
  <c r="N78" i="1"/>
  <c r="M78" i="1"/>
  <c r="L78" i="1"/>
  <c r="J78" i="1"/>
  <c r="I78" i="1"/>
  <c r="C78" i="1"/>
  <c r="AK77" i="1"/>
  <c r="AH77" i="1"/>
  <c r="AG77" i="1"/>
  <c r="AF77" i="1"/>
  <c r="AE77" i="1"/>
  <c r="AD77" i="1"/>
  <c r="AC77" i="1"/>
  <c r="U77" i="1"/>
  <c r="AK76" i="1"/>
  <c r="AJ76" i="1"/>
  <c r="AI76" i="1"/>
  <c r="AH76" i="1"/>
  <c r="AG76" i="1"/>
  <c r="AF76" i="1"/>
  <c r="AE76" i="1"/>
  <c r="AD76" i="1"/>
  <c r="AC76" i="1"/>
  <c r="AA76" i="1"/>
  <c r="Z76" i="1"/>
  <c r="U76" i="1"/>
  <c r="R76" i="1"/>
  <c r="Q76" i="1"/>
  <c r="P76" i="1"/>
  <c r="O76" i="1"/>
  <c r="N76" i="1"/>
  <c r="M76" i="1"/>
  <c r="L76" i="1"/>
  <c r="J76" i="1"/>
  <c r="I76" i="1"/>
  <c r="C76" i="1"/>
  <c r="AK75" i="1"/>
  <c r="AH75" i="1"/>
  <c r="AG75" i="1"/>
  <c r="AF75" i="1"/>
  <c r="AE75" i="1"/>
  <c r="AD75" i="1"/>
  <c r="AC75" i="1"/>
  <c r="U75" i="1"/>
  <c r="AK74" i="1"/>
  <c r="AJ74" i="1"/>
  <c r="AI74" i="1"/>
  <c r="AH74" i="1"/>
  <c r="AG74" i="1"/>
  <c r="AF74" i="1"/>
  <c r="AE74" i="1"/>
  <c r="AD74" i="1"/>
  <c r="AC74" i="1"/>
  <c r="AA74" i="1"/>
  <c r="Z74" i="1"/>
  <c r="U74" i="1"/>
  <c r="R74" i="1"/>
  <c r="Q74" i="1"/>
  <c r="P74" i="1"/>
  <c r="O74" i="1"/>
  <c r="N74" i="1"/>
  <c r="M74" i="1"/>
  <c r="L74" i="1"/>
  <c r="J74" i="1"/>
  <c r="I74" i="1"/>
  <c r="C74" i="1"/>
  <c r="AK73" i="1"/>
  <c r="AH73" i="1"/>
  <c r="AG73" i="1"/>
  <c r="AF73" i="1"/>
  <c r="AE73" i="1"/>
  <c r="AD73" i="1"/>
  <c r="AC73" i="1"/>
  <c r="U73" i="1"/>
  <c r="AK72" i="1"/>
  <c r="AJ72" i="1"/>
  <c r="AI72" i="1"/>
  <c r="AH72" i="1"/>
  <c r="AG72" i="1"/>
  <c r="AF72" i="1"/>
  <c r="AE72" i="1"/>
  <c r="AD72" i="1"/>
  <c r="AC72" i="1"/>
  <c r="AA72" i="1"/>
  <c r="Z72" i="1"/>
  <c r="U72" i="1"/>
  <c r="R72" i="1"/>
  <c r="Q72" i="1"/>
  <c r="P72" i="1"/>
  <c r="O72" i="1"/>
  <c r="N72" i="1"/>
  <c r="M72" i="1"/>
  <c r="L72" i="1"/>
  <c r="J72" i="1"/>
  <c r="I72" i="1"/>
  <c r="C72" i="1"/>
  <c r="AK71" i="1"/>
  <c r="AH71" i="1"/>
  <c r="AG71" i="1"/>
  <c r="AF71" i="1"/>
  <c r="AE71" i="1"/>
  <c r="AD71" i="1"/>
  <c r="AC71" i="1"/>
  <c r="U71" i="1"/>
  <c r="AK70" i="1"/>
  <c r="AJ70" i="1"/>
  <c r="AI70" i="1"/>
  <c r="AH70" i="1"/>
  <c r="AG70" i="1"/>
  <c r="AF70" i="1"/>
  <c r="AE70" i="1"/>
  <c r="AD70" i="1"/>
  <c r="AC70" i="1"/>
  <c r="AA70" i="1"/>
  <c r="Z70" i="1"/>
  <c r="U70" i="1"/>
  <c r="R70" i="1"/>
  <c r="Q70" i="1"/>
  <c r="P70" i="1"/>
  <c r="O70" i="1"/>
  <c r="N70" i="1"/>
  <c r="M70" i="1"/>
  <c r="L70" i="1"/>
  <c r="J70" i="1"/>
  <c r="I70" i="1"/>
  <c r="C70" i="1"/>
  <c r="AK69" i="1"/>
  <c r="AH69" i="1"/>
  <c r="AG69" i="1"/>
  <c r="AF69" i="1"/>
  <c r="AE69" i="1"/>
  <c r="AD69" i="1"/>
  <c r="AC69" i="1"/>
  <c r="U69" i="1"/>
  <c r="AK68" i="1"/>
  <c r="AJ68" i="1"/>
  <c r="AI68" i="1"/>
  <c r="AH68" i="1"/>
  <c r="AG68" i="1"/>
  <c r="AF68" i="1"/>
  <c r="AE68" i="1"/>
  <c r="AD68" i="1"/>
  <c r="AC68" i="1"/>
  <c r="AA68" i="1"/>
  <c r="Z68" i="1"/>
  <c r="U68" i="1"/>
  <c r="R68" i="1"/>
  <c r="Q68" i="1"/>
  <c r="P68" i="1"/>
  <c r="O68" i="1"/>
  <c r="N68" i="1"/>
  <c r="M68" i="1"/>
  <c r="L68" i="1"/>
  <c r="J68" i="1"/>
  <c r="I68" i="1"/>
  <c r="C68" i="1"/>
  <c r="AK67" i="1"/>
  <c r="AH67" i="1"/>
  <c r="AG67" i="1"/>
  <c r="AF67" i="1"/>
  <c r="AE67" i="1"/>
  <c r="AD67" i="1"/>
  <c r="AC67" i="1"/>
  <c r="U67" i="1"/>
  <c r="AK66" i="1"/>
  <c r="AJ66" i="1"/>
  <c r="AI66" i="1"/>
  <c r="AH66" i="1"/>
  <c r="AG66" i="1"/>
  <c r="AF66" i="1"/>
  <c r="AE66" i="1"/>
  <c r="AD66" i="1"/>
  <c r="AC66" i="1"/>
  <c r="AA66" i="1"/>
  <c r="Z66" i="1"/>
  <c r="U66" i="1"/>
  <c r="R66" i="1"/>
  <c r="Q66" i="1"/>
  <c r="P66" i="1"/>
  <c r="O66" i="1"/>
  <c r="N66" i="1"/>
  <c r="M66" i="1"/>
  <c r="L66" i="1"/>
  <c r="J66" i="1"/>
  <c r="I66" i="1"/>
  <c r="C66" i="1"/>
  <c r="AK65" i="1"/>
  <c r="AH65" i="1"/>
  <c r="AG65" i="1"/>
  <c r="AF65" i="1"/>
  <c r="AE65" i="1"/>
  <c r="AD65" i="1"/>
  <c r="AC65" i="1"/>
  <c r="U65" i="1"/>
  <c r="AK64" i="1"/>
  <c r="AJ64" i="1"/>
  <c r="AI64" i="1"/>
  <c r="AH64" i="1"/>
  <c r="AG64" i="1"/>
  <c r="AF64" i="1"/>
  <c r="AE64" i="1"/>
  <c r="AD64" i="1"/>
  <c r="AC64" i="1"/>
  <c r="AA64" i="1"/>
  <c r="Z64" i="1"/>
  <c r="U64" i="1"/>
  <c r="R64" i="1"/>
  <c r="Q64" i="1"/>
  <c r="P64" i="1"/>
  <c r="O64" i="1"/>
  <c r="N64" i="1"/>
  <c r="M64" i="1"/>
  <c r="L64" i="1"/>
  <c r="J64" i="1"/>
  <c r="I64" i="1"/>
  <c r="C64" i="1"/>
  <c r="AK63" i="1"/>
  <c r="AH63" i="1"/>
  <c r="AG63" i="1"/>
  <c r="AF63" i="1"/>
  <c r="AE63" i="1"/>
  <c r="AD63" i="1"/>
  <c r="AC63" i="1"/>
  <c r="U63" i="1"/>
  <c r="AK62" i="1"/>
  <c r="AJ62" i="1"/>
  <c r="AI62" i="1"/>
  <c r="AH62" i="1"/>
  <c r="AG62" i="1"/>
  <c r="AF62" i="1"/>
  <c r="AE62" i="1"/>
  <c r="AD62" i="1"/>
  <c r="AC62" i="1"/>
  <c r="AA62" i="1"/>
  <c r="Z62" i="1"/>
  <c r="U62" i="1"/>
  <c r="R62" i="1"/>
  <c r="Q62" i="1"/>
  <c r="P62" i="1"/>
  <c r="O62" i="1"/>
  <c r="N62" i="1"/>
  <c r="M62" i="1"/>
  <c r="L62" i="1"/>
  <c r="J62" i="1"/>
  <c r="I62" i="1"/>
  <c r="C62" i="1"/>
  <c r="AK61" i="1"/>
  <c r="AH61" i="1"/>
  <c r="AG61" i="1"/>
  <c r="AF61" i="1"/>
  <c r="AE61" i="1"/>
  <c r="AD61" i="1"/>
  <c r="AC61" i="1"/>
  <c r="U61" i="1"/>
  <c r="AK60" i="1"/>
  <c r="AJ60" i="1"/>
  <c r="AI60" i="1"/>
  <c r="AH60" i="1"/>
  <c r="AG60" i="1"/>
  <c r="AF60" i="1"/>
  <c r="AE60" i="1"/>
  <c r="AD60" i="1"/>
  <c r="AC60" i="1"/>
  <c r="AA60" i="1"/>
  <c r="Z60" i="1"/>
  <c r="U60" i="1"/>
  <c r="R60" i="1"/>
  <c r="Q60" i="1"/>
  <c r="P60" i="1"/>
  <c r="O60" i="1"/>
  <c r="N60" i="1"/>
  <c r="M60" i="1"/>
  <c r="L60" i="1"/>
  <c r="J60" i="1"/>
  <c r="I60" i="1"/>
  <c r="C60" i="1"/>
  <c r="AK59" i="1"/>
  <c r="AH59" i="1"/>
  <c r="AG59" i="1"/>
  <c r="AF59" i="1"/>
  <c r="AE59" i="1"/>
  <c r="AD59" i="1"/>
  <c r="AC59" i="1"/>
  <c r="U59" i="1"/>
  <c r="AK58" i="1"/>
  <c r="AJ58" i="1"/>
  <c r="AI58" i="1"/>
  <c r="AH58" i="1"/>
  <c r="AG58" i="1"/>
  <c r="AF58" i="1"/>
  <c r="AE58" i="1"/>
  <c r="AD58" i="1"/>
  <c r="AC58" i="1"/>
  <c r="AA58" i="1"/>
  <c r="Z58" i="1"/>
  <c r="U58" i="1"/>
  <c r="R58" i="1"/>
  <c r="Q58" i="1"/>
  <c r="P58" i="1"/>
  <c r="O58" i="1"/>
  <c r="N58" i="1"/>
  <c r="M58" i="1"/>
  <c r="L58" i="1"/>
  <c r="J58" i="1"/>
  <c r="I58" i="1"/>
  <c r="C58" i="1"/>
  <c r="AK57" i="1"/>
  <c r="AH57" i="1"/>
  <c r="AG57" i="1"/>
  <c r="AF57" i="1"/>
  <c r="AE57" i="1"/>
  <c r="AD57" i="1"/>
  <c r="AC57" i="1"/>
  <c r="U57" i="1"/>
  <c r="AK56" i="1"/>
  <c r="AJ56" i="1"/>
  <c r="AI56" i="1"/>
  <c r="AH56" i="1"/>
  <c r="AG56" i="1"/>
  <c r="AF56" i="1"/>
  <c r="AE56" i="1"/>
  <c r="AD56" i="1"/>
  <c r="AC56" i="1"/>
  <c r="AA56" i="1"/>
  <c r="U56" i="1"/>
  <c r="R56" i="1"/>
  <c r="Q56" i="1"/>
  <c r="P56" i="1"/>
  <c r="O56" i="1"/>
  <c r="N56" i="1"/>
  <c r="M56" i="1"/>
  <c r="L56" i="1"/>
  <c r="J56" i="1"/>
  <c r="I56" i="1"/>
  <c r="C56" i="1"/>
  <c r="AE55" i="1"/>
  <c r="AC55" i="1"/>
  <c r="AD55" i="1" s="1"/>
  <c r="AF55" i="1" s="1"/>
  <c r="AG55" i="1" s="1"/>
  <c r="U55" i="1"/>
  <c r="AK54" i="1"/>
  <c r="AH54" i="1"/>
  <c r="AG54" i="1"/>
  <c r="AF54" i="1"/>
  <c r="AE54" i="1"/>
  <c r="AD54" i="1"/>
  <c r="AC54" i="1"/>
  <c r="AA54" i="1"/>
  <c r="U54" i="1"/>
  <c r="L54" i="1"/>
  <c r="N54" i="1" s="1"/>
  <c r="J54" i="1"/>
  <c r="I54" i="1"/>
  <c r="Q54" i="1" s="1"/>
  <c r="C54" i="1"/>
  <c r="AF53" i="1"/>
  <c r="AG53" i="1" s="1"/>
  <c r="AE53" i="1"/>
  <c r="AD53" i="1"/>
  <c r="AC53" i="1"/>
  <c r="U53" i="1"/>
  <c r="AK52" i="1"/>
  <c r="AH52" i="1"/>
  <c r="AG52" i="1"/>
  <c r="AF52" i="1"/>
  <c r="AE52" i="1"/>
  <c r="AD52" i="1"/>
  <c r="AC52" i="1"/>
  <c r="AA52" i="1"/>
  <c r="U52" i="1"/>
  <c r="R52" i="1"/>
  <c r="Q52" i="1"/>
  <c r="P52" i="1"/>
  <c r="O52" i="1"/>
  <c r="N52" i="1"/>
  <c r="M52" i="1"/>
  <c r="L52" i="1"/>
  <c r="J52" i="1"/>
  <c r="I52" i="1"/>
  <c r="C52" i="1"/>
  <c r="AE51" i="1"/>
  <c r="AK51" i="1" s="1"/>
  <c r="AC51" i="1"/>
  <c r="AD51" i="1" s="1"/>
  <c r="AF51" i="1" s="1"/>
  <c r="AG51" i="1" s="1"/>
  <c r="U51" i="1"/>
  <c r="AK50" i="1"/>
  <c r="AH50" i="1"/>
  <c r="AG50" i="1"/>
  <c r="AF50" i="1"/>
  <c r="AE50" i="1"/>
  <c r="AD50" i="1"/>
  <c r="AC50" i="1"/>
  <c r="AA50" i="1"/>
  <c r="U50" i="1"/>
  <c r="L50" i="1"/>
  <c r="N50" i="1" s="1"/>
  <c r="J50" i="1"/>
  <c r="I50" i="1"/>
  <c r="Q50" i="1" s="1"/>
  <c r="C50" i="1"/>
  <c r="AF49" i="1"/>
  <c r="AG49" i="1" s="1"/>
  <c r="AE49" i="1"/>
  <c r="AD49" i="1"/>
  <c r="AC49" i="1"/>
  <c r="U49" i="1"/>
  <c r="AK48" i="1"/>
  <c r="AH48" i="1"/>
  <c r="AG48" i="1"/>
  <c r="AF48" i="1"/>
  <c r="AE48" i="1"/>
  <c r="AD48" i="1"/>
  <c r="AC48" i="1"/>
  <c r="AA48" i="1"/>
  <c r="U48" i="1"/>
  <c r="Q48" i="1"/>
  <c r="N48" i="1"/>
  <c r="M48" i="1"/>
  <c r="O48" i="1" s="1"/>
  <c r="P48" i="1" s="1"/>
  <c r="R48" i="1" s="1"/>
  <c r="L48" i="1"/>
  <c r="J48" i="1"/>
  <c r="I48" i="1"/>
  <c r="C48" i="1"/>
  <c r="AE47" i="1"/>
  <c r="AC47" i="1"/>
  <c r="AD47" i="1" s="1"/>
  <c r="AF47" i="1" s="1"/>
  <c r="AG47" i="1" s="1"/>
  <c r="U47" i="1"/>
  <c r="AK46" i="1"/>
  <c r="AH46" i="1"/>
  <c r="AG46" i="1"/>
  <c r="AF46" i="1"/>
  <c r="AE46" i="1"/>
  <c r="AD46" i="1"/>
  <c r="AC46" i="1"/>
  <c r="AA46" i="1"/>
  <c r="U46" i="1"/>
  <c r="L46" i="1"/>
  <c r="N46" i="1" s="1"/>
  <c r="J46" i="1"/>
  <c r="I46" i="1"/>
  <c r="C46" i="1"/>
  <c r="AF45" i="1"/>
  <c r="AG45" i="1" s="1"/>
  <c r="AE45" i="1"/>
  <c r="AD45" i="1"/>
  <c r="AC45" i="1"/>
  <c r="U45" i="1"/>
  <c r="AK44" i="1"/>
  <c r="AH44" i="1"/>
  <c r="AG44" i="1"/>
  <c r="AF44" i="1"/>
  <c r="AE44" i="1"/>
  <c r="AD44" i="1"/>
  <c r="AC44" i="1"/>
  <c r="AA44" i="1"/>
  <c r="U44" i="1"/>
  <c r="Q44" i="1"/>
  <c r="N44" i="1"/>
  <c r="M44" i="1"/>
  <c r="O44" i="1" s="1"/>
  <c r="P44" i="1" s="1"/>
  <c r="R44" i="1" s="1"/>
  <c r="L44" i="1"/>
  <c r="J44" i="1"/>
  <c r="I44" i="1"/>
  <c r="C44" i="1"/>
  <c r="AE43" i="1"/>
  <c r="AC43" i="1"/>
  <c r="AD43" i="1" s="1"/>
  <c r="AF43" i="1" s="1"/>
  <c r="AG43" i="1" s="1"/>
  <c r="U43" i="1"/>
  <c r="AK42" i="1"/>
  <c r="AH42" i="1"/>
  <c r="AG42" i="1"/>
  <c r="AF42" i="1"/>
  <c r="AE42" i="1"/>
  <c r="AD42" i="1"/>
  <c r="AC42" i="1"/>
  <c r="AA42" i="1"/>
  <c r="U42" i="1"/>
  <c r="L42" i="1"/>
  <c r="N42" i="1" s="1"/>
  <c r="J42" i="1"/>
  <c r="I42" i="1"/>
  <c r="Q42" i="1" s="1"/>
  <c r="C42" i="1"/>
  <c r="AF41" i="1"/>
  <c r="AG41" i="1" s="1"/>
  <c r="AE41" i="1"/>
  <c r="AD41" i="1"/>
  <c r="AC41" i="1"/>
  <c r="U41" i="1"/>
  <c r="AK40" i="1"/>
  <c r="AH40" i="1"/>
  <c r="AG40" i="1"/>
  <c r="AF40" i="1"/>
  <c r="AE40" i="1"/>
  <c r="AD40" i="1"/>
  <c r="AC40" i="1"/>
  <c r="AA40" i="1"/>
  <c r="U40" i="1"/>
  <c r="Q40" i="1"/>
  <c r="N40" i="1"/>
  <c r="M40" i="1"/>
  <c r="O40" i="1" s="1"/>
  <c r="P40" i="1" s="1"/>
  <c r="R40" i="1" s="1"/>
  <c r="L40" i="1"/>
  <c r="J40" i="1"/>
  <c r="I40" i="1"/>
  <c r="C40" i="1"/>
  <c r="AK39" i="1"/>
  <c r="AH39" i="1"/>
  <c r="AG39" i="1"/>
  <c r="AF39" i="1"/>
  <c r="AE39" i="1"/>
  <c r="AD39" i="1"/>
  <c r="AC39" i="1"/>
  <c r="U39" i="1"/>
  <c r="AK38" i="1"/>
  <c r="AJ38" i="1"/>
  <c r="AI38" i="1"/>
  <c r="AH38" i="1"/>
  <c r="AG38" i="1"/>
  <c r="AF38" i="1"/>
  <c r="AE38" i="1"/>
  <c r="AD38" i="1"/>
  <c r="AC38" i="1"/>
  <c r="AA38" i="1"/>
  <c r="Z38" i="1"/>
  <c r="U38" i="1"/>
  <c r="L38" i="1"/>
  <c r="N38" i="1" s="1"/>
  <c r="J38" i="1"/>
  <c r="I38" i="1"/>
  <c r="Q38" i="1" s="1"/>
  <c r="C38" i="1"/>
  <c r="AK37" i="1"/>
  <c r="AH37" i="1"/>
  <c r="AG37" i="1"/>
  <c r="AF37" i="1"/>
  <c r="AE37" i="1"/>
  <c r="AD37" i="1"/>
  <c r="AC37" i="1"/>
  <c r="U37" i="1"/>
  <c r="AK36" i="1"/>
  <c r="AJ36" i="1"/>
  <c r="AI36" i="1"/>
  <c r="AH36" i="1"/>
  <c r="AG36" i="1"/>
  <c r="AF36" i="1"/>
  <c r="AE36" i="1"/>
  <c r="AD36" i="1"/>
  <c r="AC36" i="1"/>
  <c r="AA36" i="1"/>
  <c r="Z36" i="1"/>
  <c r="U36" i="1"/>
  <c r="R36" i="1"/>
  <c r="Q36" i="1"/>
  <c r="P36" i="1"/>
  <c r="O36" i="1"/>
  <c r="N36" i="1"/>
  <c r="M36" i="1"/>
  <c r="L36" i="1"/>
  <c r="J36" i="1"/>
  <c r="I36" i="1"/>
  <c r="C36" i="1"/>
  <c r="AE35" i="1"/>
  <c r="AC35" i="1"/>
  <c r="AD35" i="1" s="1"/>
  <c r="AF35" i="1" s="1"/>
  <c r="AG35" i="1" s="1"/>
  <c r="U35" i="1"/>
  <c r="AK34" i="1"/>
  <c r="AH34" i="1"/>
  <c r="AG34" i="1"/>
  <c r="AF34" i="1"/>
  <c r="AE34" i="1"/>
  <c r="AD34" i="1"/>
  <c r="AC34" i="1"/>
  <c r="AA34" i="1"/>
  <c r="U34" i="1"/>
  <c r="L34" i="1"/>
  <c r="N34" i="1" s="1"/>
  <c r="J34" i="1"/>
  <c r="I34" i="1"/>
  <c r="Q34" i="1" s="1"/>
  <c r="C34" i="1"/>
  <c r="AK33" i="1"/>
  <c r="AF33" i="1"/>
  <c r="AG33" i="1" s="1"/>
  <c r="AE33" i="1"/>
  <c r="AD33" i="1"/>
  <c r="AC33" i="1"/>
  <c r="U33" i="1"/>
  <c r="AK32" i="1"/>
  <c r="AH32" i="1"/>
  <c r="AG32" i="1"/>
  <c r="AF32" i="1"/>
  <c r="AE32" i="1"/>
  <c r="AD32" i="1"/>
  <c r="AC32" i="1"/>
  <c r="AA32" i="1"/>
  <c r="U32" i="1"/>
  <c r="Q32" i="1"/>
  <c r="N32" i="1"/>
  <c r="M32" i="1"/>
  <c r="O32" i="1" s="1"/>
  <c r="P32" i="1" s="1"/>
  <c r="R32" i="1" s="1"/>
  <c r="L32" i="1"/>
  <c r="J32" i="1"/>
  <c r="I32" i="1"/>
  <c r="C32" i="1"/>
  <c r="AE31" i="1"/>
  <c r="AC31" i="1"/>
  <c r="AD31" i="1" s="1"/>
  <c r="AF31" i="1" s="1"/>
  <c r="AG31" i="1" s="1"/>
  <c r="U31" i="1"/>
  <c r="AK30" i="1"/>
  <c r="AH30" i="1"/>
  <c r="AG30" i="1"/>
  <c r="AF30" i="1"/>
  <c r="AE30" i="1"/>
  <c r="AD30" i="1"/>
  <c r="AC30" i="1"/>
  <c r="AA30" i="1"/>
  <c r="U30" i="1"/>
  <c r="L30" i="1"/>
  <c r="N30" i="1" s="1"/>
  <c r="J30" i="1"/>
  <c r="I30" i="1"/>
  <c r="Q30" i="1" s="1"/>
  <c r="C30" i="1"/>
  <c r="AF29" i="1"/>
  <c r="AG29" i="1" s="1"/>
  <c r="AE29" i="1"/>
  <c r="AD29" i="1"/>
  <c r="AC29" i="1"/>
  <c r="U29" i="1"/>
  <c r="AK28" i="1"/>
  <c r="AH28" i="1"/>
  <c r="AG28" i="1"/>
  <c r="AF28" i="1"/>
  <c r="AE28" i="1"/>
  <c r="AD28" i="1"/>
  <c r="AC28" i="1"/>
  <c r="AA28" i="1"/>
  <c r="U28" i="1"/>
  <c r="Q28" i="1"/>
  <c r="N28" i="1"/>
  <c r="M28" i="1"/>
  <c r="O28" i="1" s="1"/>
  <c r="P28" i="1" s="1"/>
  <c r="R28" i="1" s="1"/>
  <c r="L28" i="1"/>
  <c r="J28" i="1"/>
  <c r="I28" i="1"/>
  <c r="C28" i="1"/>
  <c r="AE27" i="1"/>
  <c r="AC27" i="1"/>
  <c r="AD27" i="1" s="1"/>
  <c r="AF27" i="1" s="1"/>
  <c r="AG27" i="1" s="1"/>
  <c r="U27" i="1"/>
  <c r="AK26" i="1"/>
  <c r="AH26" i="1"/>
  <c r="AG26" i="1"/>
  <c r="AF26" i="1"/>
  <c r="AE26" i="1"/>
  <c r="AD26" i="1"/>
  <c r="AC26" i="1"/>
  <c r="AA26" i="1"/>
  <c r="U26" i="1"/>
  <c r="L26" i="1"/>
  <c r="N26" i="1" s="1"/>
  <c r="J26" i="1"/>
  <c r="I26" i="1"/>
  <c r="C26" i="1"/>
  <c r="AF25" i="1"/>
  <c r="AG25" i="1" s="1"/>
  <c r="AE25" i="1"/>
  <c r="AD25" i="1"/>
  <c r="AC25" i="1"/>
  <c r="U25" i="1"/>
  <c r="AK24" i="1"/>
  <c r="AH24" i="1"/>
  <c r="AG24" i="1"/>
  <c r="AF24" i="1"/>
  <c r="AE24" i="1"/>
  <c r="AD24" i="1"/>
  <c r="AC24" i="1"/>
  <c r="AA24" i="1"/>
  <c r="U24" i="1"/>
  <c r="Q24" i="1"/>
  <c r="N24" i="1"/>
  <c r="M24" i="1"/>
  <c r="O24" i="1" s="1"/>
  <c r="P24" i="1" s="1"/>
  <c r="R24" i="1" s="1"/>
  <c r="L24" i="1"/>
  <c r="J24" i="1"/>
  <c r="I24" i="1"/>
  <c r="C24" i="1"/>
  <c r="AE23" i="1"/>
  <c r="AC23" i="1"/>
  <c r="AD23" i="1" s="1"/>
  <c r="AF23" i="1" s="1"/>
  <c r="AG23" i="1" s="1"/>
  <c r="U23" i="1"/>
  <c r="AK22" i="1"/>
  <c r="AH22" i="1"/>
  <c r="AG22" i="1"/>
  <c r="AF22" i="1"/>
  <c r="AE22" i="1"/>
  <c r="AD22" i="1"/>
  <c r="AC22" i="1"/>
  <c r="AA22" i="1"/>
  <c r="U22" i="1"/>
  <c r="L22" i="1"/>
  <c r="N22" i="1" s="1"/>
  <c r="J22" i="1"/>
  <c r="I22" i="1"/>
  <c r="C22" i="1"/>
  <c r="AF21" i="1"/>
  <c r="AG21" i="1" s="1"/>
  <c r="AE21" i="1"/>
  <c r="AD21" i="1"/>
  <c r="AC21" i="1"/>
  <c r="U21" i="1"/>
  <c r="AK20" i="1"/>
  <c r="AH20" i="1"/>
  <c r="AG20" i="1"/>
  <c r="AF20" i="1"/>
  <c r="AE20" i="1"/>
  <c r="AD20" i="1"/>
  <c r="AC20" i="1"/>
  <c r="AA20" i="1"/>
  <c r="U20" i="1"/>
  <c r="Q20" i="1"/>
  <c r="N20" i="1"/>
  <c r="M20" i="1"/>
  <c r="O20" i="1" s="1"/>
  <c r="P20" i="1" s="1"/>
  <c r="R20" i="1" s="1"/>
  <c r="L20" i="1"/>
  <c r="J20" i="1"/>
  <c r="I20" i="1"/>
  <c r="C20" i="1"/>
  <c r="AE19" i="1"/>
  <c r="AC19" i="1"/>
  <c r="AD19" i="1" s="1"/>
  <c r="AF19" i="1" s="1"/>
  <c r="AG19" i="1" s="1"/>
  <c r="U19" i="1"/>
  <c r="AK18" i="1"/>
  <c r="AH18" i="1"/>
  <c r="AG18" i="1"/>
  <c r="AF18" i="1"/>
  <c r="AE18" i="1"/>
  <c r="AD18" i="1"/>
  <c r="AC18" i="1"/>
  <c r="AA18" i="1"/>
  <c r="U18" i="1"/>
  <c r="L18" i="1"/>
  <c r="N18" i="1" s="1"/>
  <c r="J18" i="1"/>
  <c r="I18" i="1"/>
  <c r="C18" i="1"/>
  <c r="AF17" i="1"/>
  <c r="AG17" i="1" s="1"/>
  <c r="AE17" i="1"/>
  <c r="AD17" i="1"/>
  <c r="AC17" i="1"/>
  <c r="U17" i="1"/>
  <c r="AK16" i="1"/>
  <c r="AH16" i="1"/>
  <c r="AG16" i="1"/>
  <c r="AF16" i="1"/>
  <c r="AE16" i="1"/>
  <c r="AD16" i="1"/>
  <c r="AC16" i="1"/>
  <c r="AA16" i="1"/>
  <c r="U16" i="1"/>
  <c r="Q16" i="1"/>
  <c r="N16" i="1"/>
  <c r="M16" i="1"/>
  <c r="O16" i="1" s="1"/>
  <c r="P16" i="1" s="1"/>
  <c r="R16" i="1" s="1"/>
  <c r="L16" i="1"/>
  <c r="J16" i="1"/>
  <c r="I16" i="1"/>
  <c r="C16" i="1"/>
  <c r="AE15" i="1"/>
  <c r="AC15" i="1"/>
  <c r="AD15" i="1" s="1"/>
  <c r="AF15" i="1" s="1"/>
  <c r="AG15" i="1" s="1"/>
  <c r="U15" i="1"/>
  <c r="AK14" i="1"/>
  <c r="AH14" i="1"/>
  <c r="AG14" i="1"/>
  <c r="AF14" i="1"/>
  <c r="AE14" i="1"/>
  <c r="AD14" i="1"/>
  <c r="AC14" i="1"/>
  <c r="AA14" i="1"/>
  <c r="U14" i="1"/>
  <c r="L14" i="1"/>
  <c r="N14" i="1" s="1"/>
  <c r="J14" i="1"/>
  <c r="I14" i="1"/>
  <c r="C14" i="1"/>
  <c r="AF13" i="1"/>
  <c r="AG13" i="1" s="1"/>
  <c r="AE13" i="1"/>
  <c r="AD13" i="1"/>
  <c r="AC13" i="1"/>
  <c r="U13" i="1"/>
  <c r="AK12" i="1"/>
  <c r="AH12" i="1"/>
  <c r="AG12" i="1"/>
  <c r="AF12" i="1"/>
  <c r="AE12" i="1"/>
  <c r="AD12" i="1"/>
  <c r="AC12" i="1"/>
  <c r="AA12" i="1"/>
  <c r="U12" i="1"/>
  <c r="Q12" i="1"/>
  <c r="N12" i="1"/>
  <c r="M12" i="1"/>
  <c r="O12" i="1" s="1"/>
  <c r="P12" i="1" s="1"/>
  <c r="R12" i="1" s="1"/>
  <c r="L12" i="1"/>
  <c r="J12" i="1"/>
  <c r="I12" i="1"/>
  <c r="C12" i="1"/>
  <c r="AE11" i="1"/>
  <c r="AC11" i="1"/>
  <c r="AD11" i="1" s="1"/>
  <c r="AF11" i="1" s="1"/>
  <c r="AG11" i="1" s="1"/>
  <c r="U11" i="1"/>
  <c r="AK10" i="1"/>
  <c r="AH10" i="1"/>
  <c r="AG10" i="1"/>
  <c r="AF10" i="1"/>
  <c r="AE10" i="1"/>
  <c r="AD10" i="1"/>
  <c r="AC10" i="1"/>
  <c r="AA10" i="1"/>
  <c r="U10" i="1"/>
  <c r="L10" i="1"/>
  <c r="N10" i="1" s="1"/>
  <c r="J10" i="1"/>
  <c r="I10" i="1"/>
  <c r="Q10" i="1" s="1"/>
  <c r="C10" i="1"/>
  <c r="AK9" i="1"/>
  <c r="AH9" i="1"/>
  <c r="AG9" i="1"/>
  <c r="AF9" i="1"/>
  <c r="AE9" i="1"/>
  <c r="AD9" i="1"/>
  <c r="AC9" i="1"/>
  <c r="U9" i="1"/>
  <c r="AK8" i="1"/>
  <c r="AJ8" i="1"/>
  <c r="AI8" i="1"/>
  <c r="AH8" i="1"/>
  <c r="AG8" i="1"/>
  <c r="AF8" i="1"/>
  <c r="AE8" i="1"/>
  <c r="AD8" i="1"/>
  <c r="AC8" i="1"/>
  <c r="AA8" i="1"/>
  <c r="Z8" i="1"/>
  <c r="U8" i="1"/>
  <c r="Q8" i="1"/>
  <c r="N8" i="1"/>
  <c r="M8" i="1"/>
  <c r="O8" i="1" s="1"/>
  <c r="P8" i="1" s="1"/>
  <c r="R8" i="1" s="1"/>
  <c r="L8" i="1"/>
  <c r="J8" i="1"/>
  <c r="I8" i="1"/>
  <c r="C8" i="1"/>
  <c r="AA3" i="1"/>
  <c r="Z40" i="1" l="1"/>
  <c r="AI40" i="1" s="1"/>
  <c r="AJ40" i="1" s="1"/>
  <c r="Z10" i="1"/>
  <c r="AI10" i="1" s="1"/>
  <c r="AJ10" i="1" s="1"/>
  <c r="M10" i="1"/>
  <c r="O10" i="1" s="1"/>
  <c r="P10" i="1" s="1"/>
  <c r="R10" i="1" s="1"/>
  <c r="M18" i="1"/>
  <c r="O18" i="1" s="1"/>
  <c r="M26" i="1"/>
  <c r="O26" i="1" s="1"/>
  <c r="M46" i="1"/>
  <c r="O46" i="1" s="1"/>
  <c r="M54" i="1"/>
  <c r="O54" i="1" s="1"/>
  <c r="P54" i="1" s="1"/>
  <c r="R54" i="1" s="1"/>
  <c r="M14" i="1"/>
  <c r="O14" i="1" s="1"/>
  <c r="P14" i="1" s="1"/>
  <c r="R14" i="1" s="1"/>
  <c r="M22" i="1"/>
  <c r="O22" i="1" s="1"/>
  <c r="P22" i="1" s="1"/>
  <c r="R22" i="1" s="1"/>
  <c r="M30" i="1"/>
  <c r="O30" i="1" s="1"/>
  <c r="P30" i="1" s="1"/>
  <c r="R30" i="1" s="1"/>
  <c r="M34" i="1"/>
  <c r="O34" i="1" s="1"/>
  <c r="P34" i="1" s="1"/>
  <c r="R34" i="1" s="1"/>
  <c r="M38" i="1"/>
  <c r="O38" i="1" s="1"/>
  <c r="P38" i="1" s="1"/>
  <c r="R38" i="1" s="1"/>
  <c r="M42" i="1"/>
  <c r="O42" i="1" s="1"/>
  <c r="P42" i="1" s="1"/>
  <c r="R42" i="1" s="1"/>
  <c r="M50" i="1"/>
  <c r="O50" i="1" s="1"/>
  <c r="P50" i="1" s="1"/>
  <c r="R50" i="1" s="1"/>
  <c r="Q14" i="1"/>
  <c r="Q22" i="1"/>
  <c r="Q18" i="1"/>
  <c r="Q46" i="1"/>
  <c r="Q26" i="1"/>
  <c r="Z42" i="1" l="1"/>
  <c r="AI42" i="1" s="1"/>
  <c r="AJ42" i="1" s="1"/>
  <c r="AH11" i="1"/>
  <c r="AK11" i="1" s="1"/>
  <c r="AH41" i="1"/>
  <c r="AK41" i="1" s="1"/>
  <c r="Z44" i="1"/>
  <c r="P46" i="1"/>
  <c r="R46" i="1" s="1"/>
  <c r="P26" i="1"/>
  <c r="R26" i="1" s="1"/>
  <c r="P18" i="1"/>
  <c r="R18" i="1" s="1"/>
  <c r="Z12" i="1"/>
  <c r="AH43" i="1"/>
  <c r="AK43" i="1" s="1"/>
  <c r="AI12" i="1" l="1"/>
  <c r="Z14" i="1"/>
  <c r="AI44" i="1"/>
  <c r="Z46" i="1"/>
  <c r="AJ44" i="1" l="1"/>
  <c r="AH45" i="1"/>
  <c r="AK45" i="1" s="1"/>
  <c r="AI46" i="1"/>
  <c r="Z48" i="1"/>
  <c r="AI14" i="1"/>
  <c r="Z16" i="1"/>
  <c r="AJ12" i="1"/>
  <c r="AH13" i="1"/>
  <c r="AK13" i="1" s="1"/>
  <c r="AI16" i="1" l="1"/>
  <c r="Z18" i="1"/>
  <c r="AJ14" i="1"/>
  <c r="AH15" i="1"/>
  <c r="AK15" i="1" s="1"/>
  <c r="AI48" i="1"/>
  <c r="AJ46" i="1"/>
  <c r="AH47" i="1"/>
  <c r="AK47" i="1" s="1"/>
  <c r="AJ48" i="1" l="1"/>
  <c r="AH49" i="1"/>
  <c r="AK49" i="1" s="1"/>
  <c r="AI18" i="1"/>
  <c r="Z20" i="1"/>
  <c r="AI50" i="1"/>
  <c r="AJ16" i="1"/>
  <c r="AH17" i="1"/>
  <c r="AK17" i="1" s="1"/>
  <c r="AJ50" i="1" l="1"/>
  <c r="AH51" i="1"/>
  <c r="AJ18" i="1"/>
  <c r="AH19" i="1"/>
  <c r="AK19" i="1" s="1"/>
  <c r="AI20" i="1"/>
  <c r="Z22" i="1"/>
  <c r="AI22" i="1" l="1"/>
  <c r="Z24" i="1"/>
  <c r="AJ20" i="1"/>
  <c r="AH21" i="1"/>
  <c r="AK21" i="1" s="1"/>
  <c r="AI24" i="1" l="1"/>
  <c r="Z26" i="1"/>
  <c r="AJ22" i="1"/>
  <c r="AH23" i="1"/>
  <c r="AK23" i="1" s="1"/>
  <c r="AI26" i="1" l="1"/>
  <c r="Z28" i="1"/>
  <c r="AJ24" i="1"/>
  <c r="AH25" i="1"/>
  <c r="AK25" i="1" s="1"/>
  <c r="AI28" i="1" l="1"/>
  <c r="Z30" i="1"/>
  <c r="AJ26" i="1"/>
  <c r="AH27" i="1"/>
  <c r="AK27" i="1" s="1"/>
  <c r="AI30" i="1" l="1"/>
  <c r="Z32" i="1"/>
  <c r="AJ28" i="1"/>
  <c r="AH29" i="1"/>
  <c r="AK29" i="1" s="1"/>
  <c r="AI32" i="1" l="1"/>
  <c r="Z34" i="1"/>
  <c r="AJ30" i="1"/>
  <c r="AH31" i="1"/>
  <c r="AK31" i="1" s="1"/>
  <c r="AI34" i="1" l="1"/>
  <c r="AJ32" i="1"/>
  <c r="AH33" i="1"/>
  <c r="AI52" i="1" l="1"/>
  <c r="AI54" i="1"/>
  <c r="AJ34" i="1"/>
  <c r="AH35" i="1"/>
  <c r="AK35" i="1" s="1"/>
  <c r="AJ54" i="1" l="1"/>
  <c r="AH55" i="1"/>
  <c r="AK55" i="1" s="1"/>
  <c r="AJ52" i="1"/>
  <c r="AH53" i="1"/>
  <c r="AK53" i="1" s="1"/>
</calcChain>
</file>

<file path=xl/sharedStrings.xml><?xml version="1.0" encoding="utf-8"?>
<sst xmlns="http://schemas.openxmlformats.org/spreadsheetml/2006/main" count="64" uniqueCount="45">
  <si>
    <t>暗 渠 許 容 延 長 計 算 書</t>
    <rPh sb="0" eb="1">
      <t>アン</t>
    </rPh>
    <rPh sb="2" eb="3">
      <t>キョ</t>
    </rPh>
    <rPh sb="4" eb="5">
      <t>モト</t>
    </rPh>
    <rPh sb="6" eb="7">
      <t>カタチ</t>
    </rPh>
    <rPh sb="8" eb="9">
      <t>エン</t>
    </rPh>
    <rPh sb="10" eb="11">
      <t>チョウ</t>
    </rPh>
    <rPh sb="12" eb="13">
      <t>ケイ</t>
    </rPh>
    <rPh sb="14" eb="15">
      <t>ザン</t>
    </rPh>
    <rPh sb="16" eb="17">
      <t>ショ</t>
    </rPh>
    <phoneticPr fontId="4"/>
  </si>
  <si>
    <t>圃場番号：</t>
    <rPh sb="0" eb="2">
      <t>ホジョウ</t>
    </rPh>
    <rPh sb="2" eb="4">
      <t>バンゴウ</t>
    </rPh>
    <phoneticPr fontId="4"/>
  </si>
  <si>
    <t>受益者名：</t>
    <rPh sb="0" eb="3">
      <t>ジュエキシャ</t>
    </rPh>
    <rPh sb="3" eb="4">
      <t>ナ</t>
    </rPh>
    <phoneticPr fontId="4"/>
  </si>
  <si>
    <t>計画流量</t>
    <rPh sb="0" eb="2">
      <t>ケイカク</t>
    </rPh>
    <rPh sb="2" eb="4">
      <t>リュウリョウ</t>
    </rPh>
    <phoneticPr fontId="4"/>
  </si>
  <si>
    <t>mm/day</t>
    <phoneticPr fontId="4"/>
  </si>
  <si>
    <t>l/sec/ha</t>
    <phoneticPr fontId="4"/>
  </si>
  <si>
    <t>配線間隔</t>
    <rPh sb="0" eb="2">
      <t>ハイセン</t>
    </rPh>
    <rPh sb="2" eb="4">
      <t>カンカク</t>
    </rPh>
    <phoneticPr fontId="4"/>
  </si>
  <si>
    <t>：</t>
    <phoneticPr fontId="4"/>
  </si>
  <si>
    <t>ｍ</t>
    <phoneticPr fontId="4"/>
  </si>
  <si>
    <t>吸　　　水　　　渠</t>
    <rPh sb="0" eb="1">
      <t>キュウ</t>
    </rPh>
    <rPh sb="4" eb="5">
      <t>スイ</t>
    </rPh>
    <rPh sb="8" eb="9">
      <t>キョ</t>
    </rPh>
    <phoneticPr fontId="4"/>
  </si>
  <si>
    <t>集　　　水　　　渠</t>
    <rPh sb="0" eb="1">
      <t>シュウ</t>
    </rPh>
    <rPh sb="4" eb="5">
      <t>スイ</t>
    </rPh>
    <rPh sb="8" eb="9">
      <t>キョ</t>
    </rPh>
    <phoneticPr fontId="4"/>
  </si>
  <si>
    <t>吸水渠管種</t>
    <rPh sb="0" eb="2">
      <t>キュウスイ</t>
    </rPh>
    <rPh sb="2" eb="3">
      <t>キョ</t>
    </rPh>
    <rPh sb="3" eb="5">
      <t>カンシュ</t>
    </rPh>
    <phoneticPr fontId="4"/>
  </si>
  <si>
    <t>吸水渠管径</t>
    <rPh sb="0" eb="2">
      <t>キュウスイ</t>
    </rPh>
    <rPh sb="2" eb="3">
      <t>キョ</t>
    </rPh>
    <rPh sb="3" eb="5">
      <t>カンケイ</t>
    </rPh>
    <phoneticPr fontId="4"/>
  </si>
  <si>
    <t>集水渠管種</t>
    <rPh sb="0" eb="2">
      <t>シュウスイ</t>
    </rPh>
    <rPh sb="2" eb="3">
      <t>キョ</t>
    </rPh>
    <rPh sb="3" eb="5">
      <t>カンシュ</t>
    </rPh>
    <phoneticPr fontId="4"/>
  </si>
  <si>
    <t>No.</t>
    <phoneticPr fontId="4"/>
  </si>
  <si>
    <t>管  種</t>
    <rPh sb="0" eb="1">
      <t>カン</t>
    </rPh>
    <rPh sb="3" eb="4">
      <t>シュ</t>
    </rPh>
    <phoneticPr fontId="4"/>
  </si>
  <si>
    <t>管径</t>
    <rPh sb="0" eb="2">
      <t>カンケイ</t>
    </rPh>
    <phoneticPr fontId="4"/>
  </si>
  <si>
    <t>支 配 延 長   (m)</t>
    <rPh sb="0" eb="1">
      <t>ササ</t>
    </rPh>
    <rPh sb="2" eb="3">
      <t>クバ</t>
    </rPh>
    <rPh sb="4" eb="5">
      <t>エン</t>
    </rPh>
    <rPh sb="6" eb="7">
      <t>チョウ</t>
    </rPh>
    <phoneticPr fontId="4"/>
  </si>
  <si>
    <t>勾　配</t>
    <rPh sb="0" eb="1">
      <t>コウ</t>
    </rPh>
    <rPh sb="2" eb="3">
      <t>クバ</t>
    </rPh>
    <phoneticPr fontId="4"/>
  </si>
  <si>
    <t>粗度
係数</t>
    <rPh sb="0" eb="1">
      <t>ソ</t>
    </rPh>
    <rPh sb="1" eb="2">
      <t>ド</t>
    </rPh>
    <rPh sb="3" eb="5">
      <t>ケイスウ</t>
    </rPh>
    <phoneticPr fontId="4"/>
  </si>
  <si>
    <t>流量</t>
    <rPh sb="0" eb="1">
      <t>リュウ</t>
    </rPh>
    <rPh sb="1" eb="2">
      <t>リョウ</t>
    </rPh>
    <phoneticPr fontId="4"/>
  </si>
  <si>
    <t>流速</t>
    <rPh sb="0" eb="1">
      <t>リュウ</t>
    </rPh>
    <rPh sb="1" eb="2">
      <t>ソク</t>
    </rPh>
    <phoneticPr fontId="4"/>
  </si>
  <si>
    <t>許容
延長</t>
    <rPh sb="0" eb="2">
      <t>キョヨウ</t>
    </rPh>
    <rPh sb="3" eb="5">
      <t>エンチョウ</t>
    </rPh>
    <phoneticPr fontId="4"/>
  </si>
  <si>
    <t>＜</t>
    <phoneticPr fontId="4"/>
  </si>
  <si>
    <t>支配
延長</t>
    <rPh sb="0" eb="2">
      <t>シハイ</t>
    </rPh>
    <rPh sb="3" eb="5">
      <t>エンチョウ</t>
    </rPh>
    <phoneticPr fontId="4"/>
  </si>
  <si>
    <t>判
定</t>
    <rPh sb="0" eb="1">
      <t>ハン</t>
    </rPh>
    <rPh sb="2" eb="3">
      <t>サダム</t>
    </rPh>
    <phoneticPr fontId="4"/>
  </si>
  <si>
    <t>系
統</t>
    <rPh sb="0" eb="1">
      <t>ケイ</t>
    </rPh>
    <rPh sb="2" eb="3">
      <t>オサム</t>
    </rPh>
    <phoneticPr fontId="4"/>
  </si>
  <si>
    <t>支配延長 (m)</t>
    <phoneticPr fontId="4"/>
  </si>
  <si>
    <t>許容
面積</t>
    <rPh sb="0" eb="2">
      <t>キョヨウ</t>
    </rPh>
    <rPh sb="3" eb="5">
      <t>メンセキ</t>
    </rPh>
    <phoneticPr fontId="4"/>
  </si>
  <si>
    <t>支配
面積</t>
    <rPh sb="0" eb="2">
      <t>シハイ</t>
    </rPh>
    <rPh sb="3" eb="5">
      <t>メンセキ</t>
    </rPh>
    <phoneticPr fontId="4"/>
  </si>
  <si>
    <t>6</t>
  </si>
  <si>
    <t>(cm)</t>
    <phoneticPr fontId="4"/>
  </si>
  <si>
    <t>実
延長</t>
    <rPh sb="0" eb="1">
      <t>ジツ</t>
    </rPh>
    <rPh sb="2" eb="4">
      <t>エンチョウ</t>
    </rPh>
    <phoneticPr fontId="4"/>
  </si>
  <si>
    <t>接続
(－)</t>
    <rPh sb="0" eb="2">
      <t>セツゾク</t>
    </rPh>
    <phoneticPr fontId="4"/>
  </si>
  <si>
    <t>端部
(＋)</t>
    <rPh sb="0" eb="1">
      <t>タン</t>
    </rPh>
    <rPh sb="1" eb="2">
      <t>ブ</t>
    </rPh>
    <phoneticPr fontId="4"/>
  </si>
  <si>
    <t>合計</t>
    <rPh sb="0" eb="2">
      <t>ゴウケイ</t>
    </rPh>
    <phoneticPr fontId="4"/>
  </si>
  <si>
    <t>(l/s)</t>
    <phoneticPr fontId="4"/>
  </si>
  <si>
    <t>(m/s)</t>
    <phoneticPr fontId="4"/>
  </si>
  <si>
    <t>(m)</t>
    <phoneticPr fontId="4"/>
  </si>
  <si>
    <t>＞</t>
    <phoneticPr fontId="4"/>
  </si>
  <si>
    <t>番
号</t>
    <phoneticPr fontId="4"/>
  </si>
  <si>
    <t>補正</t>
    <rPh sb="0" eb="2">
      <t>ホセイ</t>
    </rPh>
    <phoneticPr fontId="4"/>
  </si>
  <si>
    <t>累加
距離</t>
    <rPh sb="0" eb="2">
      <t>ルイカ</t>
    </rPh>
    <rPh sb="3" eb="5">
      <t>キョリ</t>
    </rPh>
    <phoneticPr fontId="4"/>
  </si>
  <si>
    <t>(ha)</t>
    <phoneticPr fontId="4"/>
  </si>
  <si>
    <t>上記数値と違う部分は個別に手動で入力する</t>
    <rPh sb="0" eb="2">
      <t>ジョウキ</t>
    </rPh>
    <rPh sb="2" eb="4">
      <t>スウチ</t>
    </rPh>
    <rPh sb="5" eb="6">
      <t>チガ</t>
    </rPh>
    <rPh sb="7" eb="9">
      <t>ブブン</t>
    </rPh>
    <rPh sb="10" eb="12">
      <t>コベツ</t>
    </rPh>
    <rPh sb="13" eb="15">
      <t>シュドウ</t>
    </rPh>
    <rPh sb="16" eb="18">
      <t>ニュウリョク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</si>
</sst>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_ ;[Red]\-0.0\ "/>
    <numFmt numFmtId="177" formatCode=";;"/>
    <numFmt numFmtId="178" formatCode="0_ "/>
    <numFmt numFmtId="179" formatCode="0.0_ "/>
    <numFmt numFmtId="180" formatCode="0.000"/>
    <numFmt numFmtId="181" formatCode="0.000_ "/>
  </numFmts>
  <fonts count="16" x14ac:knownFonts="1">
    <font>
      <sz val="11"/>
      <color theme="1"/>
      <name val="游ゴシック"/>
      <family val="2"/>
      <charset val="128"/>
      <scheme val="minor"/>
    </font>
    <font>
      <sz val="11"/>
      <name val="ＭＳ Ｐ明朝"/>
      <family val="1"/>
      <charset val="128"/>
    </font>
    <font>
      <b/>
      <sz val="16"/>
      <name val="ＭＳ ゴシック"/>
      <family val="3"/>
      <charset val="128"/>
    </font>
    <font>
      <sz val="6"/>
      <name val="游ゴシック"/>
      <family val="2"/>
      <charset val="128"/>
      <scheme val="minor"/>
    </font>
    <font>
      <sz val="6"/>
      <name val="ＭＳ Ｐ明朝"/>
      <family val="1"/>
      <charset val="128"/>
    </font>
    <font>
      <sz val="14"/>
      <name val="ＭＳ ゴシック"/>
      <family val="3"/>
      <charset val="128"/>
    </font>
    <font>
      <sz val="8"/>
      <name val="ＭＳ Ｐゴシック"/>
      <family val="3"/>
      <charset val="128"/>
    </font>
    <font>
      <sz val="8"/>
      <name val="ＭＳ ゴシック"/>
      <family val="3"/>
      <charset val="128"/>
    </font>
    <font>
      <sz val="10"/>
      <name val="ＭＳ ゴシック"/>
      <family val="3"/>
      <charset val="128"/>
    </font>
    <font>
      <sz val="10"/>
      <name val="ＭＳ Ｐゴシック"/>
      <family val="3"/>
      <charset val="128"/>
    </font>
    <font>
      <sz val="9"/>
      <name val="ＭＳ ゴシック"/>
      <family val="3"/>
      <charset val="128"/>
    </font>
    <font>
      <sz val="9"/>
      <name val="ＭＳ Ｐ明朝"/>
      <family val="1"/>
      <charset val="128"/>
    </font>
    <font>
      <sz val="7"/>
      <name val="ＭＳ ゴシック"/>
      <family val="3"/>
      <charset val="128"/>
    </font>
    <font>
      <sz val="7"/>
      <name val="ＭＳ Ｐ明朝"/>
      <family val="1"/>
      <charset val="128"/>
    </font>
    <font>
      <sz val="8"/>
      <color theme="1"/>
      <name val="ＭＳ Ｐゴシック"/>
      <family val="3"/>
      <charset val="128"/>
    </font>
    <font>
      <sz val="7"/>
      <color indexed="10"/>
      <name val="ＭＳ ゴシック"/>
      <family val="3"/>
      <charset val="128"/>
    </font>
  </fonts>
  <fills count="3">
    <fill>
      <patternFill patternType="none"/>
    </fill>
    <fill>
      <patternFill patternType="gray125"/>
    </fill>
    <fill>
      <patternFill patternType="solid">
        <fgColor rgb="FFFFFF99"/>
        <bgColor indexed="64"/>
      </patternFill>
    </fill>
  </fills>
  <borders count="31">
    <border>
      <left/>
      <right/>
      <top/>
      <bottom/>
      <diagonal/>
    </border>
    <border>
      <left style="thin">
        <color indexed="64"/>
      </left>
      <right style="double">
        <color indexed="64"/>
      </right>
      <top style="thin">
        <color indexed="64"/>
      </top>
      <bottom/>
      <diagonal/>
    </border>
    <border>
      <left style="double">
        <color indexed="64"/>
      </left>
      <right style="double">
        <color indexed="64"/>
      </right>
      <top style="thin">
        <color indexed="64"/>
      </top>
      <bottom/>
      <diagonal/>
    </border>
    <border>
      <left style="double">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double">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double">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double">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auto="1"/>
      </bottom>
      <diagonal/>
    </border>
    <border>
      <left/>
      <right style="thin">
        <color indexed="64"/>
      </right>
      <top/>
      <bottom style="thin">
        <color indexed="64"/>
      </bottom>
      <diagonal/>
    </border>
    <border>
      <left style="thin">
        <color indexed="64"/>
      </left>
      <right style="double">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s>
  <cellStyleXfs count="2">
    <xf numFmtId="0" fontId="0" fillId="0" borderId="0">
      <alignment vertical="center"/>
    </xf>
    <xf numFmtId="0" fontId="1" fillId="0" borderId="0">
      <alignment vertical="center"/>
    </xf>
  </cellStyleXfs>
  <cellXfs count="106">
    <xf numFmtId="0" fontId="0" fillId="0" borderId="0" xfId="0">
      <alignment vertical="center"/>
    </xf>
    <xf numFmtId="0" fontId="2" fillId="0" borderId="0" xfId="1" applyFont="1" applyAlignment="1">
      <alignment horizontal="centerContinuous" vertical="center"/>
    </xf>
    <xf numFmtId="0" fontId="5" fillId="0" borderId="0" xfId="1" applyFont="1" applyAlignment="1">
      <alignment horizontal="centerContinuous" vertical="center"/>
    </xf>
    <xf numFmtId="0" fontId="6" fillId="0" borderId="0" xfId="1" applyFont="1" applyAlignment="1">
      <alignment horizontal="centerContinuous" vertical="center"/>
    </xf>
    <xf numFmtId="176" fontId="6" fillId="0" borderId="0" xfId="1" applyNumberFormat="1" applyFont="1" applyAlignment="1">
      <alignment horizontal="centerContinuous" vertical="center"/>
    </xf>
    <xf numFmtId="0" fontId="6" fillId="0" borderId="0" xfId="1" applyFont="1">
      <alignment vertical="center"/>
    </xf>
    <xf numFmtId="0" fontId="7" fillId="0" borderId="0" xfId="1" applyFont="1" applyAlignment="1">
      <alignment horizontal="center" vertical="center"/>
    </xf>
    <xf numFmtId="0" fontId="5" fillId="0" borderId="0" xfId="1" applyFont="1" applyAlignment="1">
      <alignment horizontal="center" vertical="center"/>
    </xf>
    <xf numFmtId="0" fontId="5" fillId="0" borderId="0" xfId="1" applyFont="1" applyAlignment="1">
      <alignment horizontal="distributed" vertical="center"/>
    </xf>
    <xf numFmtId="0" fontId="5" fillId="0" borderId="0" xfId="1" applyFont="1">
      <alignment vertical="center"/>
    </xf>
    <xf numFmtId="176" fontId="6" fillId="0" borderId="0" xfId="1" applyNumberFormat="1" applyFont="1">
      <alignment vertical="center"/>
    </xf>
    <xf numFmtId="0" fontId="6" fillId="0" borderId="0" xfId="1" applyFont="1" applyAlignment="1">
      <alignment horizontal="center" vertical="center"/>
    </xf>
    <xf numFmtId="0" fontId="1" fillId="0" borderId="0" xfId="1">
      <alignment vertical="center"/>
    </xf>
    <xf numFmtId="0" fontId="8" fillId="0" borderId="0" xfId="1" applyFont="1" applyAlignment="1">
      <alignment horizontal="right" vertical="center"/>
    </xf>
    <xf numFmtId="0" fontId="8" fillId="0" borderId="0" xfId="1" applyFont="1">
      <alignment vertical="center"/>
    </xf>
    <xf numFmtId="0" fontId="9" fillId="0" borderId="0" xfId="1" applyFont="1">
      <alignment vertical="center"/>
    </xf>
    <xf numFmtId="176" fontId="7" fillId="0" borderId="0" xfId="1" applyNumberFormat="1" applyFont="1" applyAlignment="1">
      <alignment horizontal="center" vertical="center"/>
    </xf>
    <xf numFmtId="0" fontId="7" fillId="0" borderId="0" xfId="1" applyFont="1">
      <alignment vertical="center"/>
    </xf>
    <xf numFmtId="0" fontId="6" fillId="0" borderId="4" xfId="1" applyFont="1" applyBorder="1" applyAlignment="1">
      <alignment horizontal="center" vertical="center"/>
    </xf>
    <xf numFmtId="0" fontId="12" fillId="0" borderId="4" xfId="1" applyFont="1" applyBorder="1" applyAlignment="1">
      <alignment horizontal="center" vertical="center"/>
    </xf>
    <xf numFmtId="0" fontId="12" fillId="0" borderId="5" xfId="1" applyFont="1" applyBorder="1" applyAlignment="1">
      <alignment horizontal="center" vertical="center"/>
    </xf>
    <xf numFmtId="0" fontId="12" fillId="0" borderId="4" xfId="1" applyFont="1" applyBorder="1" applyAlignment="1">
      <alignment horizontal="center" vertical="center" wrapText="1"/>
    </xf>
    <xf numFmtId="0" fontId="12" fillId="0" borderId="5" xfId="1" applyFont="1" applyBorder="1" applyAlignment="1">
      <alignment horizontal="center" vertical="center" wrapText="1"/>
    </xf>
    <xf numFmtId="0" fontId="12" fillId="0" borderId="3" xfId="1" applyFont="1" applyBorder="1" applyAlignment="1">
      <alignment horizontal="center" vertical="center" wrapText="1"/>
    </xf>
    <xf numFmtId="49" fontId="6" fillId="0" borderId="4" xfId="1" applyNumberFormat="1" applyFont="1" applyBorder="1" applyAlignment="1">
      <alignment horizontal="center" vertical="center"/>
    </xf>
    <xf numFmtId="0" fontId="12" fillId="0" borderId="10" xfId="1" applyFont="1" applyBorder="1" applyAlignment="1">
      <alignment horizontal="center" vertical="center"/>
    </xf>
    <xf numFmtId="0" fontId="12" fillId="0" borderId="11" xfId="1" applyFont="1" applyBorder="1" applyAlignment="1">
      <alignment horizontal="center" vertical="center" wrapText="1"/>
    </xf>
    <xf numFmtId="176" fontId="12" fillId="0" borderId="4" xfId="1" applyNumberFormat="1" applyFont="1" applyBorder="1" applyAlignment="1">
      <alignment horizontal="center" vertical="center" wrapText="1"/>
    </xf>
    <xf numFmtId="0" fontId="12" fillId="0" borderId="18" xfId="1" applyFont="1" applyBorder="1" applyAlignment="1">
      <alignment horizontal="center"/>
    </xf>
    <xf numFmtId="0" fontId="12" fillId="0" borderId="19" xfId="1" applyFont="1" applyBorder="1" applyAlignment="1">
      <alignment horizontal="center"/>
    </xf>
    <xf numFmtId="180" fontId="12" fillId="0" borderId="20" xfId="1" applyNumberFormat="1" applyFont="1" applyBorder="1" applyAlignment="1">
      <alignment horizontal="center"/>
    </xf>
    <xf numFmtId="181" fontId="12" fillId="0" borderId="20" xfId="1" applyNumberFormat="1" applyFont="1" applyBorder="1" applyAlignment="1"/>
    <xf numFmtId="178" fontId="12" fillId="0" borderId="20" xfId="1" applyNumberFormat="1" applyFont="1" applyBorder="1" applyAlignment="1"/>
    <xf numFmtId="0" fontId="12" fillId="0" borderId="20" xfId="1" applyFont="1" applyBorder="1" applyAlignment="1">
      <alignment horizontal="center"/>
    </xf>
    <xf numFmtId="0" fontId="12" fillId="0" borderId="28" xfId="1" applyFont="1" applyBorder="1" applyAlignment="1">
      <alignment horizontal="center"/>
    </xf>
    <xf numFmtId="0" fontId="12" fillId="0" borderId="29" xfId="1" applyFont="1" applyBorder="1" applyAlignment="1">
      <alignment horizontal="center"/>
    </xf>
    <xf numFmtId="180" fontId="12" fillId="0" borderId="30" xfId="1" applyNumberFormat="1" applyFont="1" applyBorder="1" applyAlignment="1">
      <alignment horizontal="center"/>
    </xf>
    <xf numFmtId="181" fontId="12" fillId="0" borderId="30" xfId="1" applyNumberFormat="1" applyFont="1" applyBorder="1" applyAlignment="1"/>
    <xf numFmtId="178" fontId="12" fillId="0" borderId="30" xfId="1" applyNumberFormat="1" applyFont="1" applyBorder="1" applyAlignment="1"/>
    <xf numFmtId="0" fontId="12" fillId="0" borderId="30" xfId="1" applyFont="1" applyBorder="1" applyAlignment="1">
      <alignment horizontal="center"/>
    </xf>
    <xf numFmtId="176" fontId="6" fillId="0" borderId="0" xfId="1" applyNumberFormat="1" applyFont="1" applyAlignment="1">
      <alignment horizontal="center" vertical="center"/>
    </xf>
    <xf numFmtId="178" fontId="12" fillId="0" borderId="5" xfId="1" applyNumberFormat="1" applyFont="1" applyBorder="1" applyAlignment="1"/>
    <xf numFmtId="178" fontId="12" fillId="0" borderId="10" xfId="1" applyNumberFormat="1" applyFont="1" applyBorder="1" applyAlignment="1"/>
    <xf numFmtId="181" fontId="12" fillId="0" borderId="5" xfId="1" applyNumberFormat="1" applyFont="1" applyBorder="1" applyAlignment="1"/>
    <xf numFmtId="181" fontId="12" fillId="0" borderId="10" xfId="1" applyNumberFormat="1" applyFont="1" applyBorder="1" applyAlignment="1"/>
    <xf numFmtId="0" fontId="12" fillId="0" borderId="21" xfId="1" applyFont="1" applyBorder="1" applyAlignment="1"/>
    <xf numFmtId="0" fontId="12" fillId="0" borderId="23" xfId="1" applyFont="1" applyBorder="1" applyAlignment="1"/>
    <xf numFmtId="181" fontId="12" fillId="0" borderId="13" xfId="1" applyNumberFormat="1" applyFont="1" applyBorder="1" applyAlignment="1"/>
    <xf numFmtId="178" fontId="12" fillId="0" borderId="13" xfId="1" applyNumberFormat="1" applyFont="1" applyBorder="1" applyAlignment="1"/>
    <xf numFmtId="0" fontId="12" fillId="0" borderId="13" xfId="1" applyFont="1" applyBorder="1" applyAlignment="1">
      <alignment horizontal="center"/>
    </xf>
    <xf numFmtId="0" fontId="12" fillId="0" borderId="10" xfId="1" applyFont="1" applyBorder="1" applyAlignment="1">
      <alignment horizontal="center"/>
    </xf>
    <xf numFmtId="0" fontId="12" fillId="0" borderId="16" xfId="1" applyFont="1" applyBorder="1" applyAlignment="1">
      <alignment horizontal="center"/>
    </xf>
    <xf numFmtId="0" fontId="12" fillId="0" borderId="26" xfId="1" applyFont="1" applyBorder="1" applyAlignment="1">
      <alignment horizontal="center"/>
    </xf>
    <xf numFmtId="179" fontId="12" fillId="0" borderId="13" xfId="1" applyNumberFormat="1" applyFont="1" applyBorder="1" applyAlignment="1"/>
    <xf numFmtId="179" fontId="12" fillId="0" borderId="10" xfId="1" applyNumberFormat="1" applyFont="1" applyBorder="1" applyAlignment="1"/>
    <xf numFmtId="0" fontId="12" fillId="0" borderId="14" xfId="1" applyFont="1" applyBorder="1" applyAlignment="1"/>
    <xf numFmtId="180" fontId="12" fillId="0" borderId="13" xfId="1" applyNumberFormat="1" applyFont="1" applyBorder="1" applyAlignment="1">
      <alignment horizontal="center"/>
    </xf>
    <xf numFmtId="180" fontId="12" fillId="0" borderId="10" xfId="1" applyNumberFormat="1" applyFont="1" applyBorder="1" applyAlignment="1">
      <alignment horizontal="center"/>
    </xf>
    <xf numFmtId="0" fontId="12" fillId="0" borderId="0" xfId="1" applyFont="1" applyAlignment="1">
      <alignment horizontal="center" wrapText="1"/>
    </xf>
    <xf numFmtId="0" fontId="12" fillId="0" borderId="24" xfId="1" applyFont="1" applyBorder="1" applyAlignment="1">
      <alignment horizontal="center" wrapText="1"/>
    </xf>
    <xf numFmtId="0" fontId="12" fillId="0" borderId="15" xfId="1" applyFont="1" applyBorder="1" applyAlignment="1"/>
    <xf numFmtId="0" fontId="12" fillId="0" borderId="25" xfId="1" applyFont="1" applyBorder="1" applyAlignment="1"/>
    <xf numFmtId="178" fontId="15" fillId="0" borderId="5" xfId="1" applyNumberFormat="1" applyFont="1" applyBorder="1" applyAlignment="1"/>
    <xf numFmtId="0" fontId="12" fillId="0" borderId="4" xfId="1" applyFont="1" applyBorder="1" applyAlignment="1">
      <alignment horizontal="center" vertical="center"/>
    </xf>
    <xf numFmtId="0" fontId="12" fillId="0" borderId="4" xfId="1" applyFont="1" applyBorder="1" applyAlignment="1">
      <alignment horizontal="center" vertical="center" wrapText="1"/>
    </xf>
    <xf numFmtId="0" fontId="14" fillId="0" borderId="12" xfId="1" applyFont="1" applyBorder="1">
      <alignment vertical="center"/>
    </xf>
    <xf numFmtId="0" fontId="10" fillId="0" borderId="1" xfId="1" applyFont="1" applyBorder="1" applyAlignment="1">
      <alignment horizontal="center" vertical="center"/>
    </xf>
    <xf numFmtId="0" fontId="11" fillId="0" borderId="2" xfId="1" applyFont="1" applyBorder="1" applyAlignment="1">
      <alignment horizontal="center" vertical="center"/>
    </xf>
    <xf numFmtId="0" fontId="10" fillId="0" borderId="2" xfId="1" applyFont="1" applyBorder="1" applyAlignment="1">
      <alignment horizontal="center" vertical="center"/>
    </xf>
    <xf numFmtId="0" fontId="10" fillId="0" borderId="3" xfId="1" applyFont="1" applyBorder="1" applyAlignment="1">
      <alignment horizontal="center" vertical="center"/>
    </xf>
    <xf numFmtId="0" fontId="13" fillId="0" borderId="4" xfId="1" applyFont="1" applyBorder="1" applyAlignment="1">
      <alignment horizontal="center" vertical="center"/>
    </xf>
    <xf numFmtId="0" fontId="12" fillId="0" borderId="6" xfId="1" applyFont="1" applyBorder="1" applyAlignment="1">
      <alignment horizontal="center" vertical="center" wrapText="1"/>
    </xf>
    <xf numFmtId="0" fontId="12" fillId="0" borderId="6" xfId="1" applyFont="1" applyBorder="1" applyAlignment="1">
      <alignment horizontal="center" vertical="center"/>
    </xf>
    <xf numFmtId="0" fontId="12" fillId="0" borderId="7" xfId="1" applyFont="1" applyBorder="1" applyAlignment="1">
      <alignment horizontal="center" vertical="center"/>
    </xf>
    <xf numFmtId="0" fontId="12" fillId="0" borderId="8" xfId="1" applyFont="1" applyBorder="1" applyAlignment="1">
      <alignment horizontal="center" vertical="center"/>
    </xf>
    <xf numFmtId="0" fontId="13" fillId="0" borderId="9" xfId="1" applyFont="1" applyBorder="1" applyAlignment="1">
      <alignment horizontal="center" vertical="center"/>
    </xf>
    <xf numFmtId="0" fontId="8" fillId="0" borderId="0" xfId="1" applyFont="1" applyAlignment="1">
      <alignment horizontal="center" vertical="center"/>
    </xf>
    <xf numFmtId="0" fontId="1" fillId="0" borderId="0" xfId="1" applyAlignment="1">
      <alignment horizontal="center" vertical="center"/>
    </xf>
    <xf numFmtId="0" fontId="1" fillId="0" borderId="0" xfId="1">
      <alignment vertical="center"/>
    </xf>
    <xf numFmtId="0" fontId="8" fillId="0" borderId="0" xfId="1" applyFont="1">
      <alignment vertical="center"/>
    </xf>
    <xf numFmtId="0" fontId="12" fillId="2" borderId="13" xfId="1" quotePrefix="1" applyFont="1" applyFill="1" applyBorder="1" applyAlignment="1">
      <alignment horizontal="center"/>
    </xf>
    <xf numFmtId="177" fontId="12" fillId="2" borderId="14" xfId="1" applyNumberFormat="1" applyFont="1" applyFill="1" applyBorder="1" applyAlignment="1">
      <alignment horizontal="center"/>
    </xf>
    <xf numFmtId="0" fontId="12" fillId="2" borderId="13" xfId="1" applyFont="1" applyFill="1" applyBorder="1" applyAlignment="1">
      <alignment horizontal="center"/>
    </xf>
    <xf numFmtId="178" fontId="12" fillId="2" borderId="13" xfId="1" applyNumberFormat="1" applyFont="1" applyFill="1" applyBorder="1" applyAlignment="1"/>
    <xf numFmtId="0" fontId="12" fillId="2" borderId="13" xfId="1" applyFont="1" applyFill="1" applyBorder="1" applyAlignment="1"/>
    <xf numFmtId="178" fontId="12" fillId="2" borderId="15" xfId="1" applyNumberFormat="1" applyFont="1" applyFill="1" applyBorder="1" applyAlignment="1"/>
    <xf numFmtId="0" fontId="12" fillId="2" borderId="3" xfId="1" applyFont="1" applyFill="1" applyBorder="1" applyAlignment="1">
      <alignment horizontal="center"/>
    </xf>
    <xf numFmtId="177" fontId="12" fillId="2" borderId="17" xfId="1" applyNumberFormat="1" applyFont="1" applyFill="1" applyBorder="1" applyAlignment="1">
      <alignment horizontal="center"/>
    </xf>
    <xf numFmtId="0" fontId="12" fillId="2" borderId="20" xfId="1" applyFont="1" applyFill="1" applyBorder="1" applyAlignment="1">
      <alignment horizontal="center"/>
    </xf>
    <xf numFmtId="176" fontId="12" fillId="2" borderId="5" xfId="1" applyNumberFormat="1" applyFont="1" applyFill="1" applyBorder="1" applyAlignment="1"/>
    <xf numFmtId="178" fontId="12" fillId="2" borderId="5" xfId="1" applyNumberFormat="1" applyFont="1" applyFill="1" applyBorder="1" applyAlignment="1"/>
    <xf numFmtId="178" fontId="12" fillId="2" borderId="22" xfId="1" applyNumberFormat="1" applyFont="1" applyFill="1" applyBorder="1" applyAlignment="1"/>
    <xf numFmtId="0" fontId="12" fillId="2" borderId="10" xfId="1" quotePrefix="1" applyFont="1" applyFill="1" applyBorder="1" applyAlignment="1">
      <alignment horizontal="center"/>
    </xf>
    <xf numFmtId="177" fontId="12" fillId="2" borderId="23" xfId="1" applyNumberFormat="1" applyFont="1" applyFill="1" applyBorder="1" applyAlignment="1">
      <alignment horizontal="center"/>
    </xf>
    <xf numFmtId="0" fontId="12" fillId="2" borderId="10" xfId="1" applyFont="1" applyFill="1" applyBorder="1" applyAlignment="1">
      <alignment horizontal="center"/>
    </xf>
    <xf numFmtId="178" fontId="12" fillId="2" borderId="10" xfId="1" applyNumberFormat="1" applyFont="1" applyFill="1" applyBorder="1" applyAlignment="1"/>
    <xf numFmtId="0" fontId="12" fillId="2" borderId="10" xfId="1" applyFont="1" applyFill="1" applyBorder="1" applyAlignment="1"/>
    <xf numFmtId="178" fontId="12" fillId="2" borderId="25" xfId="1" applyNumberFormat="1" applyFont="1" applyFill="1" applyBorder="1" applyAlignment="1"/>
    <xf numFmtId="0" fontId="12" fillId="2" borderId="11" xfId="1" applyFont="1" applyFill="1" applyBorder="1" applyAlignment="1">
      <alignment horizontal="center"/>
    </xf>
    <xf numFmtId="177" fontId="12" fillId="2" borderId="27" xfId="1" applyNumberFormat="1" applyFont="1" applyFill="1" applyBorder="1" applyAlignment="1">
      <alignment horizontal="center"/>
    </xf>
    <xf numFmtId="0" fontId="12" fillId="2" borderId="30" xfId="1" applyFont="1" applyFill="1" applyBorder="1" applyAlignment="1">
      <alignment horizontal="center"/>
    </xf>
    <xf numFmtId="176" fontId="12" fillId="2" borderId="10" xfId="1" applyNumberFormat="1" applyFont="1" applyFill="1" applyBorder="1" applyAlignment="1"/>
    <xf numFmtId="49" fontId="8" fillId="2" borderId="0" xfId="1" applyNumberFormat="1" applyFont="1" applyFill="1" applyAlignment="1">
      <alignment horizontal="center" vertical="center"/>
    </xf>
    <xf numFmtId="0" fontId="1" fillId="2" borderId="0" xfId="1" applyFill="1" applyAlignment="1">
      <alignment horizontal="center" vertical="center"/>
    </xf>
    <xf numFmtId="0" fontId="8" fillId="2" borderId="0" xfId="1" applyFont="1" applyFill="1" applyAlignment="1">
      <alignment horizontal="center" vertical="center"/>
    </xf>
    <xf numFmtId="0" fontId="8" fillId="2" borderId="0" xfId="1" applyFont="1" applyFill="1" applyAlignment="1">
      <alignment horizontal="center" vertical="center"/>
    </xf>
  </cellXfs>
  <cellStyles count="2">
    <cellStyle name="標準" xfId="0" builtinId="0"/>
    <cellStyle name="標準 2" xfId="1" xr:uid="{AE48DB50-371D-48D5-B319-8E5DD23C307A}"/>
  </cellStyles>
  <dxfs count="2">
    <dxf>
      <font>
        <strike val="0"/>
        <color rgb="FFFF0000"/>
      </font>
    </dxf>
    <dxf>
      <font>
        <color rgb="FFFF0000"/>
      </font>
    </dxf>
  </dxfs>
  <tableStyles count="0" defaultTableStyle="TableStyleMedium2" defaultPivotStyle="PivotStyleLight16"/>
  <colors>
    <mruColors>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calcChain" Target="calcChain.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theme" Target="theme/theme1.xml"/><Relationship Id="rId8" Type="http://schemas.openxmlformats.org/officeDocument/2006/relationships/externalLink" Target="externalLinks/externalLink7.xml"/><Relationship Id="rId3"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Documents%20and%20Settings\ASC2\data\&#29694;&#22580;\&#23500;&#33391;&#37326;\&#26448;&#26009;\&#25968;&#37327;&#35336;&#31639;&#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My%20Documents\&#20116;&#23798;&#35373;&#35336;\&#24314;&#35373;&#30465;&#23567;&#20986;&#24029;&#27211;&#65288;&#20116;&#23798;&#35373;&#35336;&#65289;\&#23567;&#20986;&#24029;&#2721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Documents%20and%20Settings\ASC2\My%20Documents\My%20Documents\&#22303;&#31309;&#65294;&#27861;&#38754;\&#22303;&#31309;&#35336;&#31639;&#65288;&#65313;&#65300;&#6528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A:\My%20Documents\&#20843;&#22580;&#12480;&#12512;&#22823;&#27810;&#27211;&#65288;&#24314;&#35373;&#29872;&#22659;&#65289;\&#22823;&#27810;&#27211;&#22303;&#2403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XV20(PC9821)\&#20304;&#34276;\&#36020;&#29983;&#20081;&#20837;\&#20837;&#33337;&#22496;&#38957;&#24185;&#32218;\&#35443;&#32048;&#35373;&#35336;\&#26032;&#31309;&#31639;\&#25913;&#24037;&#201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Katayama\&#31119;&#20303;&#22899;&#28288;&#21029;&#32218;\Documents%20and%20Settings\ASC2\My%20Documents\My%20Documents\&#22303;&#31309;&#65294;&#27861;&#38754;\&#22303;&#31309;&#35336;&#31639;&#65288;&#65313;&#65300;&#65289;.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21335;&#65297;&#65301;&#21495;\&#25968;&#37327;\My%20Documents\&#38283;&#30330;&#25968;&#37327;&#32207;&#25324;&#34920;&#12381;&#12398;&#20182;.xls"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Users/legal2/&#26377;&#38480;&#20250;&#31038;&#27178;&#23665;&#28204;&#37327;&#35373;&#35336;&#20107;&#21209;&#25152;%20Dropbox/&#26377;&#38480;&#20250;&#31038;&#27178;&#23665;&#28204;&#37327;&#35373;&#35336;&#20107;&#21209;&#25152;%20&#12481;&#12540;&#12512;%20&#12501;&#12457;&#12523;&#12480;/A_&#28204;&#37327;&#20107;&#26989;/&#9632;&#26263;&#28192;&#35336;&#31639;&#26360;/&#26089;&#27700;&#32068;_&#23567;&#28165;&#27700;&#22320;&#21306;/&#26263;&#28192;&#35336;&#31639;&#26360;250402_23-1.xlsm" TargetMode="External"/><Relationship Id="rId2" Type="http://schemas.openxmlformats.org/officeDocument/2006/relationships/externalLinkPath" Target="file:///C:\Users\legal2\&#26377;&#38480;&#20250;&#31038;&#27178;&#23665;&#28204;&#37327;&#35373;&#35336;&#20107;&#21209;&#25152;%20Dropbox\&#26377;&#38480;&#20250;&#31038;&#27178;&#23665;&#28204;&#37327;&#35373;&#35336;&#20107;&#21209;&#25152;%20&#12481;&#12540;&#12512;%20&#12501;&#12457;&#12523;&#12480;\A_&#28204;&#37327;&#20107;&#26989;\&#9632;&#26263;&#28192;&#35336;&#31639;&#26360;\&#26089;&#27700;&#32068;_&#23567;&#28165;&#27700;&#22320;&#21306;\&#26263;&#28192;&#35336;&#31639;&#26360;250402_23-1.xlsm" TargetMode="External"/><Relationship Id="rId1" Type="http://schemas.openxmlformats.org/officeDocument/2006/relationships/externalLinkPath" Target="/Users/legal2/&#26377;&#38480;&#20250;&#31038;&#27178;&#23665;&#28204;&#37327;&#35373;&#35336;&#20107;&#21209;&#25152;%20Dropbox/&#26377;&#38480;&#20250;&#31038;&#27178;&#23665;&#28204;&#37327;&#35373;&#35336;&#20107;&#21209;&#25152;%20&#12481;&#12540;&#12512;%20&#12501;&#12457;&#12523;&#12480;/A_&#28204;&#37327;&#20107;&#26989;/&#9632;&#26263;&#28192;&#35336;&#31639;&#26360;/&#26089;&#27700;&#32068;_&#23567;&#28165;&#27700;&#22320;&#21306;/&#26263;&#28192;&#35336;&#31639;&#26360;250402_23-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XV20(PC9821)\&#20304;&#34276;\&#36020;&#29983;&#20081;&#20837;\&#20837;&#33337;&#22496;&#38957;&#24185;&#32218;\&#35443;&#32048;&#35373;&#35336;\&#26032;&#31309;&#31639;\&#26087;&#26465;&#2021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Server\F\&#24179;&#25104;&#65297;&#65299;&#24180;&#24230;\21167%20&#26481;&#23665;&#23500;&#33391;&#37326;&#32218;\&#22259;&#38754;\&#40595;&#37111;&#22320;&#21306;\&#25968;&#37327;\00.&#32257;&#3070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23665;&#23822;\&#12362;&#20181;&#20107;\JSC\&#26377;&#24133;&#24615;&#3302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Katayama\&#31119;&#20303;&#22899;&#28288;&#21029;&#32218;\Documents%20and%20Settings\ASC2\data\&#29694;&#22580;\&#23500;&#33391;&#37326;\&#26448;&#26009;\&#25968;&#37327;&#35336;&#31639;&#2636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Mate\e\01.&#12489;&#65293;&#12467;&#12531;&#12288;&#26045;&#35373;&#37096;\2.&#27224;&#12288;&#27663;\&#25240;&#24029;\1.&#25104;&#26524;&#21697;\1.&#25968;&#37327;&#35336;&#31639;&#26360;\&#22303;&#31309;&#38598;&#35336;.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Katayama\&#31119;&#20303;&#22899;&#28288;&#21029;&#32218;\&#21335;&#65297;&#65301;&#21495;\&#25968;&#37327;\My%20Documents\&#38283;&#30330;&#25968;&#37327;&#32207;&#25324;&#34920;&#12381;&#12398;&#2018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V200\b\&#22303;&#31309;&#38598;&#353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ILESERVER1\&#24403;&#26399;&#26989;&#21209;&#65411;&#65438;&#65392;&#65408;\16&#26399;\&#26989;&#21209;&#26413;&#24140;\US1008&#26408;&#21476;&#20869;&#24029;\&#25968;&#37327;&#35336;&#31639;\&#25968;&#37327;&#35336;&#31639;\&#24029;&#34920;&#32764;&#22721;U&#22411;0-0-B..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20489;&#30693;\&#26485;&#33276;&#25968;&#37327;\WINDOWS\&#65411;&#65438;&#65405;&#65400;&#65412;&#65391;&#65420;&#65439;\&#20849;&#26377;&#12501;&#12449;&#12452;&#12523;\&#20849;&#26377;&#65297;\H13&#23721;&#19977;&#25104;&#26524;\&#26412;&#32218;&#25968;&#37327;(SP=7080&#65374;SP=7589&#65289;\001&#36947;&#36335;&#22303;&#24037;.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ate\e\03.&#12489;&#65293;&#12467;&#12531;&#12288;&#38450;&#23550;\&#30495;&#27583;&#12288;&#27663;\&#22303;&#31309;&#38598;&#3533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erver\F\&#24179;&#25104;&#65297;&#65299;&#24180;&#24230;\21167%20&#26481;&#23665;&#23500;&#33391;&#37326;&#32218;\&#25968;&#37327;&#35519;&#26360;\&#23665;&#37096;\08.&#27083;&#36896;&#29289;&#25764;&#21435;&#24037;\00.&#25490;&#27700;&#24037;.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ts-wxl311\&#26989;&#21209;&#12501;&#12449;&#12452;&#12523;\Excel\&#23567;&#27197;&#23450;&#23665;&#28179;&#32218;\&#36947;&#36335;&#25913;&#33391;\06&#38450;&#35703;&#26613;&#24037;\&#38450;&#27490;&#26613;&#24037;.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Server\&#26989;&#21209;&#12501;&#12449;&#12452;&#12523;\&#24179;&#25104;17&#24180;&#24230;&#26989;&#21209;05\05-11%20&#21271;&#35211;&#32622;&#25144;&#32218;&#31777;&#26131;&#35373;&#35336;\0511&#25991;&#26360;\&#26368;&#26032;&#29256;\&#26032;&#35215;Microsoft%20Excel%20&#12527;&#12540;&#12463;&#12471;&#12540;&#12488;.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Server\&#26989;&#21209;&#12501;&#12449;&#12452;&#12523;\&#24179;&#25104;13&#24180;&#24230;&#26989;&#21209;01\01-50&#22679;&#27611;&#35373;&#35336;\&#25991;&#26360;&#12487;&#12540;&#12479;&#12540;\&#26368;&#26032;&#29256;\Box.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Server\F\&#24179;&#25104;&#65297;&#65299;&#24180;&#24230;\22035%20&#23721;&#20869;&#27934;&#29242;&#32218;\&#25968;&#37327;&#35519;&#26360;\03.&#27861;&#38754;&#24037;\&#36947;&#36335;&#22303;&#24037;.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F:\&#12469;&#12531;&#12503;&#12523;\H14&#25913;&#33391;&#25968;&#37327;&#35519;&#2636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37096;&#38263;\&#20313;&#24066;&#36196;&#20117;&#24029;\&#25968;&#37327;&#20313;&#24066;\&#20313;&#24066;&#36196;&#20117;&#24029;&#32218;&#12288;&#26448;&#26009;H1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Tc001bs12\&#24773;&#22577;&#31649;&#29702;\My%20Documents\&#25968;&#37327;&#38598;&#35336;&#34920;\(03)&#27147;&#38272;&#12539;&#27147;&#3164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c001bs12\&#24773;&#22577;&#31649;&#29702;\My%20Documents\&#25968;&#37327;&#38598;&#35336;&#34920;\&#9315;-1_&#27700;&#36335;&#24037;&#2010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G6-266\d\&#26705;&#21407;\&#22633;&#35895;&#25968;&#37327;&#35519;&#26360;(&#28417;&#28207;&#21306;&#22495;).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ELL&#25216;&#34899;&#31532;&#19968;\C\My%20Documents\&#22633;&#35895;&#25968;&#37327;&#35519;&#26360;(&#28417;&#28207;&#21306;&#22495;)&#32244;&#32722;&#29992;.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ERVER\&#26989;&#21209;&#12501;&#12449;&#12452;&#12523;\&#24179;&#25104;13&#24180;&#24230;&#26989;&#21209;\01-44&#36960;&#36605;&#38596;&#27494;\&#25991;&#26360;&#12487;&#12540;&#12479;&#12540;\&#26087;&#29256;\&#25968;&#37327;0144-K1-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DELL&#25216;&#34899;&#31532;&#19968;\C\My%20Documents\&#22633;&#35895;&#22303;&#31309;&#25968;&#37327;.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c001bs12\&#24773;&#22577;&#31649;&#29702;\My%20Documents\&#25968;&#37327;&#38598;&#35336;&#34920;\(16)_&#36947;&#36335;&#25913;&#3339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Doboku2\&#12508;&#12522;&#12517;&#12540;&#12512;%20(f)\&#35373;&#35336;\&#12484;&#12540;&#12523;\&#32294;&#26045;&#24037;&#3964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数量集計表"/>
      <sheetName val="内訳"/>
      <sheetName val="精算"/>
      <sheetName val="土積計算書(全体)"/>
      <sheetName val="作業土工集計"/>
      <sheetName val="管土積計算"/>
      <sheetName val="路肩工"/>
      <sheetName val="法面集計表"/>
      <sheetName val="切土法面仕上"/>
      <sheetName val="切土法面仕上 (2)"/>
      <sheetName val="盛土法面仕上"/>
      <sheetName val="盛土法面仕上 (2)"/>
      <sheetName val="小段仕上"/>
      <sheetName val="すきとり集計"/>
      <sheetName val="盛すきとり"/>
      <sheetName val="切すきとり "/>
      <sheetName val="排水工"/>
      <sheetName val="管渠当"/>
      <sheetName val="300B延長"/>
      <sheetName val="V300延長"/>
      <sheetName val="側溝当"/>
      <sheetName val="縦断路床"/>
      <sheetName val="路肩排水"/>
      <sheetName val="桝当"/>
      <sheetName val="路盤集計"/>
      <sheetName val="本線路盤工"/>
      <sheetName val="終点摺付"/>
      <sheetName val="起点摺付"/>
      <sheetName val="凍抑下層L"/>
      <sheetName val="凍抑下層R"/>
      <sheetName val="路盤工ｍ当"/>
      <sheetName val="舗装工集計"/>
      <sheetName val="舗装工"/>
      <sheetName val="取付集計表"/>
      <sheetName val="取付"/>
      <sheetName val="取付略図"/>
      <sheetName val="付属施設集計"/>
      <sheetName val="区画線"/>
      <sheetName val="スノーポール"/>
      <sheetName val="標識"/>
      <sheetName val="撤去"/>
      <sheetName val="撤去延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ｺﾝｸﾘ-ﾄＡ-1"/>
      <sheetName val="踏掛版A-1"/>
      <sheetName val="ｺﾝｸﾘ-ﾄＡ-2"/>
      <sheetName val="踏掛版A-2"/>
      <sheetName val="ｺﾝｸﾘ-ﾄＡ-2こわし"/>
      <sheetName val="ｺﾝｸﾘ-ﾄＷ-1"/>
      <sheetName val="鉄筋工"/>
      <sheetName val="縦断管調書"/>
      <sheetName val="寸法入力"/>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計算"/>
      <sheetName val="土積集計"/>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工Ａ-1"/>
      <sheetName val="土工Ａ-2"/>
      <sheetName val="土工Ｐ1P"/>
      <sheetName val="土工Ｐ2P"/>
      <sheetName val="土工Ｗ1"/>
      <sheetName val="土工Ｗ2"/>
      <sheetName val="一般土工W12"/>
      <sheetName val="土工総括表"/>
      <sheetName val="ｺﾝｸﾘ-ﾄＡ-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単　価"/>
    </sheetNames>
    <sheetDataSet>
      <sheetData sheetId="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計算"/>
      <sheetName val="土積集計"/>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数量総括表"/>
      <sheetName val="集計表"/>
      <sheetName val="数量計算書"/>
      <sheetName val="当り数量調書"/>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手順書"/>
      <sheetName val="配線表"/>
      <sheetName val="座標データ"/>
      <sheetName val="杭打座標"/>
      <sheetName val="実測シート"/>
      <sheetName val="暗渠計算書"/>
      <sheetName val="水理計算書"/>
      <sheetName val="測定結果一覧表"/>
      <sheetName val="表紙印刷"/>
    </sheetNames>
    <sheetDataSet>
      <sheetData sheetId="0"/>
      <sheetData sheetId="1"/>
      <sheetData sheetId="2"/>
      <sheetData sheetId="3"/>
      <sheetData sheetId="4"/>
      <sheetData sheetId="5"/>
      <sheetData sheetId="6"/>
      <sheetData sheetId="7"/>
      <sheetData sheetId="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供用日数"/>
    </sheetNames>
    <sheetDataSet>
      <sheetData sheetId="0"/>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表紙"/>
      <sheetName val="2.調書"/>
      <sheetName val="3.延長調書"/>
    </sheetNames>
    <sheetDataSet>
      <sheetData sheetId="0" refreshError="1"/>
      <sheetData sheetId="1" refreshError="1"/>
      <sheetData sheetId="2">
        <row r="62">
          <cell r="B62">
            <v>264.73000000000047</v>
          </cell>
          <cell r="G62">
            <v>262.74000000000069</v>
          </cell>
        </row>
      </sheetData>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odule1"/>
      <sheetName val="有幅性能"/>
      <sheetName val="供用日数"/>
    </sheetNames>
    <definedNames>
      <definedName name="MENSEKI"/>
      <definedName name="NIJIM"/>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数量集計表"/>
      <sheetName val="内訳"/>
      <sheetName val="精算"/>
      <sheetName val="土積計算書(全体)"/>
      <sheetName val="作業土工集計"/>
      <sheetName val="管土積計算"/>
      <sheetName val="路肩工"/>
      <sheetName val="法面集計表"/>
      <sheetName val="切土法面仕上"/>
      <sheetName val="切土法面仕上 (2)"/>
      <sheetName val="盛土法面仕上"/>
      <sheetName val="盛土法面仕上 (2)"/>
      <sheetName val="小段仕上"/>
      <sheetName val="すきとり集計"/>
      <sheetName val="盛すきとり"/>
      <sheetName val="切すきとり "/>
      <sheetName val="排水工"/>
      <sheetName val="管渠当"/>
      <sheetName val="300B延長"/>
      <sheetName val="V300延長"/>
      <sheetName val="側溝当"/>
      <sheetName val="縦断路床"/>
      <sheetName val="路肩排水"/>
      <sheetName val="桝当"/>
      <sheetName val="路盤集計"/>
      <sheetName val="本線路盤工"/>
      <sheetName val="終点摺付"/>
      <sheetName val="起点摺付"/>
      <sheetName val="凍抑下層L"/>
      <sheetName val="凍抑下層R"/>
      <sheetName val="路盤工ｍ当"/>
      <sheetName val="舗装工集計"/>
      <sheetName val="舗装工"/>
      <sheetName val="取付集計表"/>
      <sheetName val="取付"/>
      <sheetName val="取付略図"/>
      <sheetName val="付属施設集計"/>
      <sheetName val="区画線"/>
      <sheetName val="スノーポール"/>
      <sheetName val="標識"/>
      <sheetName val="撤去"/>
      <sheetName val="撤去延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集計"/>
      <sheetName val="土積集計 (2)"/>
    </sheetNames>
    <sheetDataSet>
      <sheetData sheetId="0"/>
      <sheetData sheetId="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数量総括表"/>
      <sheetName val="集計表"/>
      <sheetName val="数量計算書"/>
      <sheetName val="当り数量調書"/>
      <sheetName val="Sheet5"/>
      <sheetName val="Sheet6"/>
      <sheetName val="Sheet7"/>
      <sheetName val="Sheet8"/>
      <sheetName val="Sheet9"/>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集計"/>
      <sheetName val="土積集計 (2)"/>
    </sheetNames>
    <sheetDataSet>
      <sheetData sheetId="0"/>
      <sheetData sheetId="1">
        <row r="1">
          <cell r="A1" t="str">
            <v>土　　　積　　　集　　　積　　　表</v>
          </cell>
        </row>
        <row r="2">
          <cell r="B2" t="str">
            <v>切　　　土</v>
          </cell>
          <cell r="E2" t="str">
            <v>盛　　　　　　　　　　　　　　　土</v>
          </cell>
          <cell r="S2" t="str">
            <v>運　　搬　　捨　　土</v>
          </cell>
        </row>
        <row r="3">
          <cell r="A3" t="str">
            <v>土　質</v>
          </cell>
          <cell r="E3" t="str">
            <v>総盛土</v>
          </cell>
          <cell r="F3" t="str">
            <v>横　断　流　用　土</v>
          </cell>
          <cell r="I3" t="str">
            <v>縦　 断　 流　 用　 土</v>
          </cell>
          <cell r="M3" t="str">
            <v>流　 用　 土</v>
          </cell>
          <cell r="Q3" t="str">
            <v>運搬盛土</v>
          </cell>
          <cell r="S3" t="str">
            <v>捨　　土</v>
          </cell>
          <cell r="U3" t="str">
            <v>盛　　土</v>
          </cell>
          <cell r="W3" t="str">
            <v>摘　要</v>
          </cell>
        </row>
        <row r="4">
          <cell r="B4" t="str">
            <v>実切土</v>
          </cell>
          <cell r="C4" t="str">
            <v>流用率</v>
          </cell>
          <cell r="D4" t="str">
            <v>補正土量</v>
          </cell>
          <cell r="F4" t="str">
            <v>土 量</v>
          </cell>
          <cell r="G4" t="str">
            <v>流用率</v>
          </cell>
          <cell r="H4" t="str">
            <v>実切土量</v>
          </cell>
          <cell r="I4" t="str">
            <v>距 離</v>
          </cell>
          <cell r="J4" t="str">
            <v>土 量</v>
          </cell>
          <cell r="K4" t="str">
            <v>流用率</v>
          </cell>
          <cell r="L4" t="str">
            <v>実切土量</v>
          </cell>
          <cell r="M4" t="str">
            <v>距 離</v>
          </cell>
          <cell r="N4" t="str">
            <v>土 量</v>
          </cell>
          <cell r="O4" t="str">
            <v>流用率</v>
          </cell>
          <cell r="P4" t="str">
            <v>実切土量</v>
          </cell>
          <cell r="Q4" t="str">
            <v>距 離</v>
          </cell>
          <cell r="R4" t="str">
            <v>土量</v>
          </cell>
          <cell r="S4" t="str">
            <v>距 離</v>
          </cell>
          <cell r="T4" t="str">
            <v>土 量</v>
          </cell>
          <cell r="U4" t="str">
            <v>流用率</v>
          </cell>
          <cell r="V4" t="str">
            <v>実切土量</v>
          </cell>
        </row>
        <row r="31">
          <cell r="A31" t="str">
            <v>土　　　積　　　精　　　算　　　表</v>
          </cell>
        </row>
        <row r="39">
          <cell r="A39" t="str">
            <v>精</v>
          </cell>
        </row>
        <row r="52">
          <cell r="A52" t="str">
            <v>算</v>
          </cell>
        </row>
      </sheetData>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U-0-0-Ｂ入力"/>
      <sheetName val="計算書"/>
      <sheetName val="数量内訳書"/>
    </sheetNames>
    <sheetDataSet>
      <sheetData sheetId="0" refreshError="1"/>
      <sheetData sheetId="1">
        <row r="7">
          <cell r="E7">
            <v>1</v>
          </cell>
        </row>
        <row r="9">
          <cell r="E9">
            <v>2</v>
          </cell>
          <cell r="L9" t="str">
            <v>鉄筋σck＝21N/mm^2</v>
          </cell>
        </row>
        <row r="10">
          <cell r="E10">
            <v>0.35</v>
          </cell>
        </row>
        <row r="11">
          <cell r="E11">
            <v>2.7</v>
          </cell>
        </row>
        <row r="13">
          <cell r="E13">
            <v>0.4</v>
          </cell>
        </row>
        <row r="16">
          <cell r="E16">
            <v>6.22</v>
          </cell>
        </row>
        <row r="17">
          <cell r="E17">
            <v>6.42</v>
          </cell>
        </row>
        <row r="19">
          <cell r="S19">
            <v>1.1180000000000001</v>
          </cell>
        </row>
        <row r="20">
          <cell r="E20">
            <v>3.21</v>
          </cell>
        </row>
        <row r="21">
          <cell r="E21">
            <v>0</v>
          </cell>
        </row>
        <row r="23">
          <cell r="E23">
            <v>0</v>
          </cell>
        </row>
        <row r="26">
          <cell r="E26">
            <v>0.3</v>
          </cell>
        </row>
      </sheetData>
      <sheetData sheetId="2" refreshError="1"/>
      <sheetData sheetId="3"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集計表"/>
      <sheetName val="土積集計表"/>
      <sheetName val="切盛土集計"/>
      <sheetName val="計算書"/>
      <sheetName val="土積"/>
      <sheetName val="2次施工土積"/>
      <sheetName val="土積 (盛土)"/>
      <sheetName val="内法（車）"/>
      <sheetName val="路床（車）"/>
      <sheetName val="路床（歩）"/>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土積集計"/>
      <sheetName val="土積集計 (2)"/>
    </sheetNames>
    <sheetDataSet>
      <sheetData sheetId="0"/>
      <sheetData sheetId="1">
        <row r="1">
          <cell r="A1" t="str">
            <v>土　　　積　　　集　　　積　　　表</v>
          </cell>
        </row>
        <row r="2">
          <cell r="B2" t="str">
            <v>切　　　土</v>
          </cell>
          <cell r="E2" t="str">
            <v>盛　　　　　　　　　　　　　　　土</v>
          </cell>
          <cell r="S2" t="str">
            <v>運　　搬　　捨　　土</v>
          </cell>
        </row>
        <row r="3">
          <cell r="A3" t="str">
            <v>土　質</v>
          </cell>
          <cell r="E3" t="str">
            <v>総盛土</v>
          </cell>
          <cell r="F3" t="str">
            <v>横　断　流　用　土</v>
          </cell>
          <cell r="I3" t="str">
            <v>縦　 断　 流　 用　 土</v>
          </cell>
          <cell r="M3" t="str">
            <v>流　 用　 土</v>
          </cell>
          <cell r="Q3" t="str">
            <v>運搬盛土</v>
          </cell>
          <cell r="S3" t="str">
            <v>捨　　土</v>
          </cell>
          <cell r="U3" t="str">
            <v>盛　　土</v>
          </cell>
          <cell r="W3" t="str">
            <v>摘　要</v>
          </cell>
        </row>
        <row r="4">
          <cell r="B4" t="str">
            <v>実切土</v>
          </cell>
          <cell r="C4" t="str">
            <v>流用率</v>
          </cell>
          <cell r="D4" t="str">
            <v>補正土量</v>
          </cell>
          <cell r="F4" t="str">
            <v>土 量</v>
          </cell>
          <cell r="G4" t="str">
            <v>流用率</v>
          </cell>
          <cell r="H4" t="str">
            <v>実切土量</v>
          </cell>
          <cell r="I4" t="str">
            <v>距 離</v>
          </cell>
          <cell r="J4" t="str">
            <v>土 量</v>
          </cell>
          <cell r="K4" t="str">
            <v>流用率</v>
          </cell>
          <cell r="L4" t="str">
            <v>実切土量</v>
          </cell>
          <cell r="M4" t="str">
            <v>距 離</v>
          </cell>
          <cell r="N4" t="str">
            <v>土 量</v>
          </cell>
          <cell r="O4" t="str">
            <v>流用率</v>
          </cell>
          <cell r="P4" t="str">
            <v>実切土量</v>
          </cell>
          <cell r="Q4" t="str">
            <v>距 離</v>
          </cell>
          <cell r="R4" t="str">
            <v>土量</v>
          </cell>
          <cell r="S4" t="str">
            <v>距 離</v>
          </cell>
          <cell r="T4" t="str">
            <v>土 量</v>
          </cell>
          <cell r="U4" t="str">
            <v>流用率</v>
          </cell>
          <cell r="V4" t="str">
            <v>実切土量</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表紙"/>
      <sheetName val="2.内訳数量"/>
      <sheetName val="Sheet1"/>
      <sheetName val="3.調書"/>
      <sheetName val="4.路排排水"/>
      <sheetName val="5.集水桝"/>
    </sheetNames>
    <sheetDataSet>
      <sheetData sheetId="0"/>
      <sheetData sheetId="1" refreshError="1"/>
      <sheetData sheetId="2"/>
      <sheetData sheetId="3" refreshError="1"/>
      <sheetData sheetId="4">
        <row r="36">
          <cell r="F36">
            <v>22</v>
          </cell>
          <cell r="G36">
            <v>11.700000000000003</v>
          </cell>
        </row>
      </sheetData>
      <sheetData sheetId="5">
        <row r="65">
          <cell r="F65">
            <v>26</v>
          </cell>
          <cell r="H65">
            <v>12.04</v>
          </cell>
        </row>
      </sheetData>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入力欄"/>
      <sheetName val="集計"/>
      <sheetName val="延長３"/>
      <sheetName val="補正延長Ｌ"/>
    </sheetNames>
    <sheetDataSet>
      <sheetData sheetId="0" refreshError="1"/>
      <sheetData sheetId="1" refreshError="1"/>
      <sheetData sheetId="2" refreshError="1"/>
      <sheetData sheetId="3">
        <row r="1">
          <cell r="D1" t="str">
            <v>歩　道　柵　Ｐ　種</v>
          </cell>
          <cell r="M1" t="str">
            <v>延長調書</v>
          </cell>
        </row>
        <row r="2">
          <cell r="A2" t="str">
            <v>左側</v>
          </cell>
          <cell r="M2" t="str">
            <v>右側</v>
          </cell>
        </row>
        <row r="3">
          <cell r="A3" t="str">
            <v>測　点</v>
          </cell>
          <cell r="B3" t="str">
            <v>延長</v>
          </cell>
          <cell r="E3" t="str">
            <v>配置間隔</v>
          </cell>
          <cell r="M3" t="str">
            <v>測　点</v>
          </cell>
          <cell r="N3" t="str">
            <v>延長</v>
          </cell>
          <cell r="O3">
            <v>0</v>
          </cell>
          <cell r="P3">
            <v>0</v>
          </cell>
          <cell r="Q3" t="str">
            <v>配置間隔</v>
          </cell>
        </row>
        <row r="5">
          <cell r="A5">
            <v>0</v>
          </cell>
          <cell r="F5">
            <v>0</v>
          </cell>
          <cell r="G5" t="str">
            <v/>
          </cell>
          <cell r="H5">
            <v>0</v>
          </cell>
          <cell r="I5" t="str">
            <v/>
          </cell>
          <cell r="J5">
            <v>0</v>
          </cell>
          <cell r="K5" t="str">
            <v/>
          </cell>
          <cell r="L5">
            <v>0</v>
          </cell>
          <cell r="M5">
            <v>200</v>
          </cell>
          <cell r="R5">
            <v>512</v>
          </cell>
          <cell r="S5" t="str">
            <v>@</v>
          </cell>
          <cell r="T5">
            <v>1.5</v>
          </cell>
          <cell r="U5" t="str">
            <v/>
          </cell>
          <cell r="V5">
            <v>0</v>
          </cell>
          <cell r="W5" t="str">
            <v/>
          </cell>
          <cell r="X5">
            <v>0</v>
          </cell>
        </row>
        <row r="6">
          <cell r="F6">
            <v>0</v>
          </cell>
          <cell r="G6" t="str">
            <v/>
          </cell>
          <cell r="H6">
            <v>0</v>
          </cell>
          <cell r="I6" t="str">
            <v/>
          </cell>
          <cell r="J6">
            <v>0</v>
          </cell>
          <cell r="K6" t="str">
            <v/>
          </cell>
          <cell r="L6">
            <v>0</v>
          </cell>
          <cell r="Q6" t="str">
            <v/>
          </cell>
          <cell r="R6">
            <v>0</v>
          </cell>
          <cell r="S6" t="str">
            <v/>
          </cell>
          <cell r="T6">
            <v>0</v>
          </cell>
          <cell r="U6" t="str">
            <v/>
          </cell>
          <cell r="V6">
            <v>0</v>
          </cell>
          <cell r="W6" t="str">
            <v/>
          </cell>
          <cell r="X6">
            <v>0</v>
          </cell>
        </row>
        <row r="7">
          <cell r="A7">
            <v>0</v>
          </cell>
          <cell r="B7">
            <v>0</v>
          </cell>
          <cell r="F7">
            <v>0</v>
          </cell>
          <cell r="G7" t="str">
            <v/>
          </cell>
          <cell r="H7">
            <v>0</v>
          </cell>
          <cell r="I7" t="str">
            <v/>
          </cell>
          <cell r="J7">
            <v>0</v>
          </cell>
          <cell r="K7" t="str">
            <v/>
          </cell>
          <cell r="L7">
            <v>0</v>
          </cell>
          <cell r="M7">
            <v>968</v>
          </cell>
          <cell r="N7">
            <v>768</v>
          </cell>
          <cell r="O7">
            <v>512</v>
          </cell>
          <cell r="Q7" t="str">
            <v/>
          </cell>
          <cell r="R7">
            <v>0</v>
          </cell>
          <cell r="S7" t="str">
            <v/>
          </cell>
          <cell r="T7">
            <v>0</v>
          </cell>
          <cell r="U7" t="str">
            <v/>
          </cell>
          <cell r="V7">
            <v>0</v>
          </cell>
          <cell r="W7" t="str">
            <v/>
          </cell>
          <cell r="X7">
            <v>0</v>
          </cell>
        </row>
        <row r="11">
          <cell r="A11">
            <v>0</v>
          </cell>
          <cell r="F11">
            <v>0</v>
          </cell>
          <cell r="G11" t="str">
            <v/>
          </cell>
          <cell r="H11">
            <v>0</v>
          </cell>
          <cell r="I11" t="str">
            <v/>
          </cell>
          <cell r="J11">
            <v>0</v>
          </cell>
          <cell r="K11" t="str">
            <v/>
          </cell>
          <cell r="L11">
            <v>0</v>
          </cell>
          <cell r="M11">
            <v>1130</v>
          </cell>
          <cell r="P11">
            <v>0</v>
          </cell>
          <cell r="R11">
            <v>26</v>
          </cell>
          <cell r="S11" t="str">
            <v>@</v>
          </cell>
          <cell r="T11">
            <v>1.5</v>
          </cell>
          <cell r="U11" t="str">
            <v/>
          </cell>
          <cell r="V11">
            <v>0</v>
          </cell>
          <cell r="W11" t="str">
            <v/>
          </cell>
          <cell r="X11">
            <v>0</v>
          </cell>
        </row>
        <row r="12">
          <cell r="F12">
            <v>0</v>
          </cell>
          <cell r="G12" t="str">
            <v/>
          </cell>
          <cell r="H12">
            <v>0</v>
          </cell>
          <cell r="I12" t="str">
            <v/>
          </cell>
          <cell r="J12">
            <v>0</v>
          </cell>
          <cell r="K12" t="str">
            <v/>
          </cell>
          <cell r="L12">
            <v>0</v>
          </cell>
          <cell r="R12">
            <v>1</v>
          </cell>
          <cell r="S12" t="str">
            <v>@</v>
          </cell>
          <cell r="T12">
            <v>1</v>
          </cell>
          <cell r="U12" t="str">
            <v/>
          </cell>
          <cell r="V12">
            <v>0</v>
          </cell>
          <cell r="W12" t="str">
            <v/>
          </cell>
          <cell r="X12">
            <v>0</v>
          </cell>
        </row>
        <row r="13">
          <cell r="A13">
            <v>0</v>
          </cell>
          <cell r="B13">
            <v>0</v>
          </cell>
          <cell r="F13">
            <v>0</v>
          </cell>
          <cell r="G13" t="str">
            <v/>
          </cell>
          <cell r="H13">
            <v>0</v>
          </cell>
          <cell r="I13" t="str">
            <v/>
          </cell>
          <cell r="J13">
            <v>0</v>
          </cell>
          <cell r="K13" t="str">
            <v/>
          </cell>
          <cell r="L13">
            <v>0</v>
          </cell>
          <cell r="M13">
            <v>1170</v>
          </cell>
          <cell r="N13">
            <v>40</v>
          </cell>
          <cell r="O13">
            <v>27</v>
          </cell>
          <cell r="Q13" t="str">
            <v/>
          </cell>
          <cell r="R13">
            <v>0</v>
          </cell>
          <cell r="S13" t="str">
            <v/>
          </cell>
          <cell r="T13">
            <v>0</v>
          </cell>
          <cell r="U13" t="str">
            <v/>
          </cell>
          <cell r="V13">
            <v>0</v>
          </cell>
          <cell r="W13" t="str">
            <v/>
          </cell>
          <cell r="X13">
            <v>0</v>
          </cell>
        </row>
        <row r="17">
          <cell r="A17">
            <v>0</v>
          </cell>
          <cell r="F17">
            <v>0</v>
          </cell>
          <cell r="G17" t="str">
            <v/>
          </cell>
          <cell r="H17">
            <v>0</v>
          </cell>
          <cell r="I17" t="str">
            <v/>
          </cell>
          <cell r="J17">
            <v>0</v>
          </cell>
          <cell r="K17" t="str">
            <v/>
          </cell>
          <cell r="L17">
            <v>0</v>
          </cell>
          <cell r="M17">
            <v>1185</v>
          </cell>
          <cell r="P17">
            <v>0</v>
          </cell>
          <cell r="R17">
            <v>76</v>
          </cell>
          <cell r="S17" t="str">
            <v>@</v>
          </cell>
          <cell r="T17">
            <v>1.5</v>
          </cell>
          <cell r="U17" t="str">
            <v/>
          </cell>
          <cell r="V17">
            <v>0</v>
          </cell>
          <cell r="W17" t="str">
            <v/>
          </cell>
          <cell r="X17">
            <v>0</v>
          </cell>
        </row>
        <row r="18">
          <cell r="F18">
            <v>0</v>
          </cell>
          <cell r="G18" t="str">
            <v/>
          </cell>
          <cell r="H18">
            <v>0</v>
          </cell>
          <cell r="I18" t="str">
            <v/>
          </cell>
          <cell r="J18">
            <v>0</v>
          </cell>
          <cell r="K18" t="str">
            <v/>
          </cell>
          <cell r="L18">
            <v>0</v>
          </cell>
          <cell r="R18">
            <v>1</v>
          </cell>
          <cell r="S18" t="str">
            <v>@</v>
          </cell>
          <cell r="T18">
            <v>1</v>
          </cell>
          <cell r="U18" t="str">
            <v/>
          </cell>
          <cell r="V18">
            <v>0</v>
          </cell>
          <cell r="W18" t="str">
            <v/>
          </cell>
          <cell r="X18">
            <v>0</v>
          </cell>
        </row>
        <row r="19">
          <cell r="A19">
            <v>0</v>
          </cell>
          <cell r="B19">
            <v>0</v>
          </cell>
          <cell r="F19">
            <v>0</v>
          </cell>
          <cell r="G19" t="str">
            <v/>
          </cell>
          <cell r="H19">
            <v>0</v>
          </cell>
          <cell r="I19" t="str">
            <v/>
          </cell>
          <cell r="J19">
            <v>0</v>
          </cell>
          <cell r="K19" t="str">
            <v/>
          </cell>
          <cell r="L19">
            <v>0</v>
          </cell>
          <cell r="M19">
            <v>1300</v>
          </cell>
          <cell r="N19">
            <v>115</v>
          </cell>
          <cell r="O19">
            <v>77</v>
          </cell>
          <cell r="Q19" t="str">
            <v/>
          </cell>
          <cell r="R19">
            <v>0</v>
          </cell>
          <cell r="S19" t="str">
            <v/>
          </cell>
          <cell r="T19">
            <v>0</v>
          </cell>
          <cell r="U19" t="str">
            <v/>
          </cell>
          <cell r="V19">
            <v>0</v>
          </cell>
          <cell r="W19" t="str">
            <v/>
          </cell>
          <cell r="X19">
            <v>0</v>
          </cell>
        </row>
        <row r="23">
          <cell r="A23">
            <v>0</v>
          </cell>
          <cell r="D23">
            <v>0</v>
          </cell>
          <cell r="F23">
            <v>0</v>
          </cell>
          <cell r="G23" t="str">
            <v/>
          </cell>
          <cell r="H23">
            <v>0</v>
          </cell>
          <cell r="I23" t="str">
            <v/>
          </cell>
          <cell r="J23">
            <v>0</v>
          </cell>
          <cell r="K23" t="str">
            <v/>
          </cell>
          <cell r="L23">
            <v>0</v>
          </cell>
          <cell r="M23">
            <v>0</v>
          </cell>
          <cell r="P23">
            <v>0</v>
          </cell>
          <cell r="R23">
            <v>0</v>
          </cell>
          <cell r="S23" t="str">
            <v/>
          </cell>
          <cell r="T23">
            <v>0</v>
          </cell>
          <cell r="U23" t="str">
            <v/>
          </cell>
          <cell r="V23">
            <v>0</v>
          </cell>
          <cell r="W23" t="str">
            <v/>
          </cell>
          <cell r="X23">
            <v>0</v>
          </cell>
        </row>
        <row r="24">
          <cell r="F24">
            <v>0</v>
          </cell>
          <cell r="G24" t="str">
            <v/>
          </cell>
          <cell r="H24">
            <v>0</v>
          </cell>
          <cell r="I24" t="str">
            <v/>
          </cell>
          <cell r="J24">
            <v>0</v>
          </cell>
          <cell r="K24" t="str">
            <v/>
          </cell>
          <cell r="L24">
            <v>0</v>
          </cell>
          <cell r="Q24" t="str">
            <v/>
          </cell>
          <cell r="R24">
            <v>0</v>
          </cell>
          <cell r="S24" t="str">
            <v/>
          </cell>
          <cell r="T24">
            <v>0</v>
          </cell>
          <cell r="U24" t="str">
            <v/>
          </cell>
          <cell r="V24">
            <v>0</v>
          </cell>
          <cell r="W24" t="str">
            <v/>
          </cell>
          <cell r="X24">
            <v>0</v>
          </cell>
        </row>
        <row r="25">
          <cell r="A25">
            <v>0</v>
          </cell>
          <cell r="B25">
            <v>0</v>
          </cell>
          <cell r="C25" t="str">
            <v/>
          </cell>
          <cell r="D25">
            <v>0</v>
          </cell>
          <cell r="F25">
            <v>0</v>
          </cell>
          <cell r="G25" t="str">
            <v/>
          </cell>
          <cell r="H25">
            <v>0</v>
          </cell>
          <cell r="I25" t="str">
            <v/>
          </cell>
          <cell r="J25">
            <v>0</v>
          </cell>
          <cell r="K25" t="str">
            <v/>
          </cell>
          <cell r="L25">
            <v>0</v>
          </cell>
          <cell r="M25">
            <v>0</v>
          </cell>
          <cell r="N25">
            <v>0</v>
          </cell>
          <cell r="O25" t="str">
            <v/>
          </cell>
          <cell r="P25" t="str">
            <v/>
          </cell>
          <cell r="Q25" t="str">
            <v/>
          </cell>
          <cell r="R25">
            <v>0</v>
          </cell>
          <cell r="S25" t="str">
            <v/>
          </cell>
          <cell r="T25">
            <v>0</v>
          </cell>
          <cell r="U25" t="str">
            <v/>
          </cell>
          <cell r="V25">
            <v>0</v>
          </cell>
          <cell r="W25" t="str">
            <v/>
          </cell>
          <cell r="X25">
            <v>0</v>
          </cell>
        </row>
        <row r="29">
          <cell r="A29">
            <v>0</v>
          </cell>
          <cell r="D29">
            <v>0</v>
          </cell>
          <cell r="F29">
            <v>0</v>
          </cell>
          <cell r="G29" t="str">
            <v/>
          </cell>
          <cell r="H29">
            <v>0</v>
          </cell>
          <cell r="I29" t="str">
            <v/>
          </cell>
          <cell r="J29">
            <v>0</v>
          </cell>
          <cell r="K29" t="str">
            <v/>
          </cell>
          <cell r="L29">
            <v>0</v>
          </cell>
          <cell r="M29">
            <v>0</v>
          </cell>
          <cell r="P29">
            <v>0</v>
          </cell>
          <cell r="R29">
            <v>0</v>
          </cell>
          <cell r="S29" t="str">
            <v/>
          </cell>
          <cell r="T29">
            <v>0</v>
          </cell>
          <cell r="U29" t="str">
            <v/>
          </cell>
          <cell r="V29">
            <v>0</v>
          </cell>
          <cell r="W29" t="str">
            <v/>
          </cell>
          <cell r="X29">
            <v>0</v>
          </cell>
        </row>
        <row r="30">
          <cell r="F30">
            <v>0</v>
          </cell>
          <cell r="G30" t="str">
            <v/>
          </cell>
          <cell r="H30">
            <v>0</v>
          </cell>
          <cell r="I30" t="str">
            <v/>
          </cell>
          <cell r="J30">
            <v>0</v>
          </cell>
          <cell r="K30" t="str">
            <v/>
          </cell>
          <cell r="L30">
            <v>0</v>
          </cell>
          <cell r="Q30" t="str">
            <v/>
          </cell>
          <cell r="R30">
            <v>0</v>
          </cell>
          <cell r="S30" t="str">
            <v/>
          </cell>
          <cell r="T30">
            <v>0</v>
          </cell>
          <cell r="U30" t="str">
            <v/>
          </cell>
          <cell r="V30">
            <v>0</v>
          </cell>
          <cell r="W30" t="str">
            <v/>
          </cell>
          <cell r="X30">
            <v>0</v>
          </cell>
        </row>
        <row r="31">
          <cell r="A31">
            <v>0</v>
          </cell>
          <cell r="B31">
            <v>0</v>
          </cell>
          <cell r="C31" t="str">
            <v/>
          </cell>
          <cell r="D31">
            <v>0</v>
          </cell>
          <cell r="F31">
            <v>0</v>
          </cell>
          <cell r="G31" t="str">
            <v/>
          </cell>
          <cell r="H31">
            <v>0</v>
          </cell>
          <cell r="I31" t="str">
            <v/>
          </cell>
          <cell r="J31">
            <v>0</v>
          </cell>
          <cell r="K31" t="str">
            <v/>
          </cell>
          <cell r="L31">
            <v>0</v>
          </cell>
          <cell r="M31">
            <v>0</v>
          </cell>
          <cell r="N31">
            <v>0</v>
          </cell>
          <cell r="O31" t="str">
            <v/>
          </cell>
          <cell r="P31" t="str">
            <v/>
          </cell>
          <cell r="Q31" t="str">
            <v/>
          </cell>
          <cell r="R31">
            <v>0</v>
          </cell>
          <cell r="S31" t="str">
            <v/>
          </cell>
          <cell r="T31">
            <v>0</v>
          </cell>
          <cell r="U31" t="str">
            <v/>
          </cell>
          <cell r="V31">
            <v>0</v>
          </cell>
          <cell r="W31" t="str">
            <v/>
          </cell>
          <cell r="X31">
            <v>0</v>
          </cell>
        </row>
        <row r="35">
          <cell r="D35">
            <v>0</v>
          </cell>
          <cell r="E35" t="str">
            <v/>
          </cell>
          <cell r="P35">
            <v>0</v>
          </cell>
          <cell r="Q35" t="str">
            <v/>
          </cell>
        </row>
        <row r="36">
          <cell r="A36" t="str">
            <v>小　　計</v>
          </cell>
          <cell r="B36">
            <v>0</v>
          </cell>
          <cell r="C36">
            <v>0</v>
          </cell>
          <cell r="D36">
            <v>0</v>
          </cell>
          <cell r="E36" t="str">
            <v/>
          </cell>
          <cell r="M36" t="str">
            <v>小　　計</v>
          </cell>
          <cell r="N36">
            <v>923</v>
          </cell>
          <cell r="O36">
            <v>616</v>
          </cell>
        </row>
        <row r="41">
          <cell r="A41" t="str">
            <v>左側</v>
          </cell>
          <cell r="M41" t="str">
            <v>右側</v>
          </cell>
        </row>
        <row r="42">
          <cell r="A42" t="str">
            <v>測　点</v>
          </cell>
          <cell r="B42" t="str">
            <v>延長</v>
          </cell>
          <cell r="E42" t="str">
            <v>配置間隔</v>
          </cell>
          <cell r="M42" t="str">
            <v>測　点</v>
          </cell>
          <cell r="N42" t="str">
            <v>延長</v>
          </cell>
          <cell r="O42">
            <v>0</v>
          </cell>
          <cell r="P42">
            <v>0</v>
          </cell>
          <cell r="Q42" t="str">
            <v>配置間隔</v>
          </cell>
        </row>
        <row r="44">
          <cell r="A44">
            <v>0</v>
          </cell>
          <cell r="D44">
            <v>0</v>
          </cell>
          <cell r="F44">
            <v>0</v>
          </cell>
          <cell r="G44" t="str">
            <v/>
          </cell>
          <cell r="H44">
            <v>0</v>
          </cell>
          <cell r="I44" t="str">
            <v/>
          </cell>
          <cell r="J44">
            <v>0</v>
          </cell>
          <cell r="K44" t="str">
            <v/>
          </cell>
          <cell r="L44">
            <v>0</v>
          </cell>
          <cell r="M44">
            <v>0</v>
          </cell>
          <cell r="P44">
            <v>0</v>
          </cell>
          <cell r="R44">
            <v>0</v>
          </cell>
          <cell r="S44" t="str">
            <v/>
          </cell>
          <cell r="T44">
            <v>0</v>
          </cell>
          <cell r="U44" t="str">
            <v/>
          </cell>
          <cell r="V44">
            <v>0</v>
          </cell>
          <cell r="W44" t="str">
            <v/>
          </cell>
          <cell r="X44">
            <v>0</v>
          </cell>
        </row>
        <row r="45">
          <cell r="F45">
            <v>0</v>
          </cell>
          <cell r="G45" t="str">
            <v/>
          </cell>
          <cell r="H45">
            <v>0</v>
          </cell>
          <cell r="I45" t="str">
            <v/>
          </cell>
          <cell r="J45">
            <v>0</v>
          </cell>
          <cell r="K45" t="str">
            <v/>
          </cell>
          <cell r="L45">
            <v>0</v>
          </cell>
          <cell r="Q45" t="str">
            <v/>
          </cell>
          <cell r="R45">
            <v>0</v>
          </cell>
          <cell r="S45" t="str">
            <v/>
          </cell>
          <cell r="T45">
            <v>0</v>
          </cell>
          <cell r="U45" t="str">
            <v/>
          </cell>
          <cell r="V45">
            <v>0</v>
          </cell>
          <cell r="W45" t="str">
            <v/>
          </cell>
          <cell r="X45">
            <v>0</v>
          </cell>
        </row>
        <row r="46">
          <cell r="A46">
            <v>0</v>
          </cell>
          <cell r="B46">
            <v>0</v>
          </cell>
          <cell r="C46" t="str">
            <v/>
          </cell>
          <cell r="D46">
            <v>0</v>
          </cell>
          <cell r="F46">
            <v>0</v>
          </cell>
          <cell r="G46" t="str">
            <v/>
          </cell>
          <cell r="H46">
            <v>0</v>
          </cell>
          <cell r="I46" t="str">
            <v/>
          </cell>
          <cell r="J46">
            <v>0</v>
          </cell>
          <cell r="K46" t="str">
            <v/>
          </cell>
          <cell r="L46">
            <v>0</v>
          </cell>
          <cell r="M46">
            <v>0</v>
          </cell>
          <cell r="N46">
            <v>0</v>
          </cell>
          <cell r="O46" t="str">
            <v/>
          </cell>
          <cell r="P46">
            <v>0</v>
          </cell>
          <cell r="Q46" t="str">
            <v/>
          </cell>
          <cell r="R46">
            <v>0</v>
          </cell>
          <cell r="S46" t="str">
            <v/>
          </cell>
          <cell r="T46">
            <v>0</v>
          </cell>
          <cell r="U46" t="str">
            <v/>
          </cell>
          <cell r="V46">
            <v>0</v>
          </cell>
          <cell r="W46" t="str">
            <v/>
          </cell>
          <cell r="X46">
            <v>0</v>
          </cell>
        </row>
        <row r="50">
          <cell r="A50">
            <v>0</v>
          </cell>
          <cell r="D50">
            <v>0</v>
          </cell>
          <cell r="F50">
            <v>0</v>
          </cell>
          <cell r="G50" t="str">
            <v/>
          </cell>
          <cell r="H50">
            <v>0</v>
          </cell>
          <cell r="I50" t="str">
            <v/>
          </cell>
          <cell r="J50">
            <v>0</v>
          </cell>
          <cell r="K50" t="str">
            <v/>
          </cell>
          <cell r="L50">
            <v>0</v>
          </cell>
          <cell r="M50">
            <v>0</v>
          </cell>
          <cell r="P50">
            <v>0</v>
          </cell>
          <cell r="R50">
            <v>0</v>
          </cell>
          <cell r="S50" t="str">
            <v/>
          </cell>
          <cell r="T50">
            <v>0</v>
          </cell>
          <cell r="U50" t="str">
            <v/>
          </cell>
          <cell r="V50">
            <v>0</v>
          </cell>
          <cell r="W50" t="str">
            <v/>
          </cell>
          <cell r="X50">
            <v>0</v>
          </cell>
        </row>
        <row r="51">
          <cell r="F51">
            <v>0</v>
          </cell>
          <cell r="G51" t="str">
            <v/>
          </cell>
          <cell r="H51">
            <v>0</v>
          </cell>
          <cell r="I51" t="str">
            <v/>
          </cell>
          <cell r="J51">
            <v>0</v>
          </cell>
          <cell r="K51" t="str">
            <v/>
          </cell>
          <cell r="L51">
            <v>0</v>
          </cell>
          <cell r="Q51" t="str">
            <v/>
          </cell>
          <cell r="R51">
            <v>0</v>
          </cell>
          <cell r="S51" t="str">
            <v/>
          </cell>
          <cell r="T51">
            <v>0</v>
          </cell>
          <cell r="U51" t="str">
            <v/>
          </cell>
          <cell r="V51">
            <v>0</v>
          </cell>
          <cell r="W51" t="str">
            <v/>
          </cell>
          <cell r="X51">
            <v>0</v>
          </cell>
        </row>
        <row r="52">
          <cell r="A52">
            <v>0</v>
          </cell>
          <cell r="B52">
            <v>0</v>
          </cell>
          <cell r="C52" t="str">
            <v/>
          </cell>
          <cell r="D52">
            <v>0</v>
          </cell>
          <cell r="F52">
            <v>0</v>
          </cell>
          <cell r="G52" t="str">
            <v/>
          </cell>
          <cell r="H52">
            <v>0</v>
          </cell>
          <cell r="I52" t="str">
            <v/>
          </cell>
          <cell r="J52">
            <v>0</v>
          </cell>
          <cell r="K52" t="str">
            <v/>
          </cell>
          <cell r="L52">
            <v>0</v>
          </cell>
          <cell r="M52">
            <v>0</v>
          </cell>
          <cell r="N52">
            <v>0</v>
          </cell>
          <cell r="O52" t="str">
            <v/>
          </cell>
          <cell r="P52">
            <v>0</v>
          </cell>
          <cell r="Q52" t="str">
            <v/>
          </cell>
          <cell r="R52">
            <v>0</v>
          </cell>
          <cell r="S52" t="str">
            <v/>
          </cell>
          <cell r="T52">
            <v>0</v>
          </cell>
          <cell r="U52" t="str">
            <v/>
          </cell>
          <cell r="V52">
            <v>0</v>
          </cell>
          <cell r="W52" t="str">
            <v/>
          </cell>
          <cell r="X52">
            <v>0</v>
          </cell>
        </row>
        <row r="56">
          <cell r="A56">
            <v>0</v>
          </cell>
          <cell r="D56">
            <v>0</v>
          </cell>
          <cell r="F56">
            <v>0</v>
          </cell>
          <cell r="G56" t="str">
            <v/>
          </cell>
          <cell r="H56">
            <v>0</v>
          </cell>
          <cell r="I56" t="str">
            <v/>
          </cell>
          <cell r="J56">
            <v>0</v>
          </cell>
          <cell r="K56" t="str">
            <v/>
          </cell>
          <cell r="L56">
            <v>0</v>
          </cell>
          <cell r="M56">
            <v>0</v>
          </cell>
          <cell r="P56">
            <v>0</v>
          </cell>
          <cell r="R56">
            <v>0</v>
          </cell>
          <cell r="S56" t="str">
            <v/>
          </cell>
          <cell r="T56">
            <v>0</v>
          </cell>
          <cell r="U56" t="str">
            <v/>
          </cell>
          <cell r="V56">
            <v>0</v>
          </cell>
          <cell r="W56" t="str">
            <v/>
          </cell>
          <cell r="X56">
            <v>0</v>
          </cell>
        </row>
        <row r="57">
          <cell r="F57">
            <v>0</v>
          </cell>
          <cell r="G57" t="str">
            <v/>
          </cell>
          <cell r="H57">
            <v>0</v>
          </cell>
          <cell r="I57" t="str">
            <v/>
          </cell>
          <cell r="J57">
            <v>0</v>
          </cell>
          <cell r="K57" t="str">
            <v/>
          </cell>
          <cell r="L57">
            <v>0</v>
          </cell>
          <cell r="Q57" t="str">
            <v/>
          </cell>
          <cell r="R57">
            <v>0</v>
          </cell>
          <cell r="S57" t="str">
            <v/>
          </cell>
          <cell r="T57">
            <v>0</v>
          </cell>
          <cell r="U57" t="str">
            <v/>
          </cell>
          <cell r="V57">
            <v>0</v>
          </cell>
          <cell r="W57" t="str">
            <v/>
          </cell>
          <cell r="X57">
            <v>0</v>
          </cell>
        </row>
        <row r="58">
          <cell r="A58">
            <v>0</v>
          </cell>
          <cell r="B58">
            <v>0</v>
          </cell>
          <cell r="C58" t="str">
            <v/>
          </cell>
          <cell r="D58">
            <v>0</v>
          </cell>
          <cell r="F58">
            <v>0</v>
          </cell>
          <cell r="G58" t="str">
            <v/>
          </cell>
          <cell r="H58">
            <v>0</v>
          </cell>
          <cell r="I58" t="str">
            <v/>
          </cell>
          <cell r="J58">
            <v>0</v>
          </cell>
          <cell r="K58" t="str">
            <v/>
          </cell>
          <cell r="L58">
            <v>0</v>
          </cell>
          <cell r="M58">
            <v>0</v>
          </cell>
          <cell r="N58">
            <v>0</v>
          </cell>
          <cell r="O58" t="str">
            <v/>
          </cell>
          <cell r="P58">
            <v>0</v>
          </cell>
          <cell r="Q58" t="str">
            <v/>
          </cell>
          <cell r="R58">
            <v>0</v>
          </cell>
          <cell r="S58" t="str">
            <v/>
          </cell>
          <cell r="T58">
            <v>0</v>
          </cell>
          <cell r="U58" t="str">
            <v/>
          </cell>
          <cell r="V58">
            <v>0</v>
          </cell>
          <cell r="W58" t="str">
            <v/>
          </cell>
          <cell r="X58">
            <v>0</v>
          </cell>
        </row>
        <row r="62">
          <cell r="A62">
            <v>0</v>
          </cell>
          <cell r="D62">
            <v>0</v>
          </cell>
          <cell r="F62">
            <v>0</v>
          </cell>
          <cell r="G62" t="str">
            <v/>
          </cell>
          <cell r="H62">
            <v>0</v>
          </cell>
          <cell r="I62" t="str">
            <v/>
          </cell>
          <cell r="J62">
            <v>0</v>
          </cell>
          <cell r="K62" t="str">
            <v/>
          </cell>
          <cell r="L62">
            <v>0</v>
          </cell>
          <cell r="M62">
            <v>0</v>
          </cell>
          <cell r="P62">
            <v>0</v>
          </cell>
          <cell r="R62">
            <v>0</v>
          </cell>
          <cell r="S62" t="str">
            <v/>
          </cell>
          <cell r="T62">
            <v>0</v>
          </cell>
          <cell r="U62" t="str">
            <v/>
          </cell>
          <cell r="V62">
            <v>0</v>
          </cell>
          <cell r="W62" t="str">
            <v/>
          </cell>
          <cell r="X62">
            <v>0</v>
          </cell>
        </row>
        <row r="63">
          <cell r="F63">
            <v>0</v>
          </cell>
          <cell r="G63" t="str">
            <v/>
          </cell>
          <cell r="H63">
            <v>0</v>
          </cell>
          <cell r="I63" t="str">
            <v/>
          </cell>
          <cell r="J63">
            <v>0</v>
          </cell>
          <cell r="K63" t="str">
            <v/>
          </cell>
          <cell r="L63">
            <v>0</v>
          </cell>
          <cell r="Q63" t="str">
            <v/>
          </cell>
          <cell r="R63">
            <v>0</v>
          </cell>
          <cell r="S63" t="str">
            <v/>
          </cell>
          <cell r="T63">
            <v>0</v>
          </cell>
          <cell r="U63" t="str">
            <v/>
          </cell>
          <cell r="V63">
            <v>0</v>
          </cell>
          <cell r="W63" t="str">
            <v/>
          </cell>
          <cell r="X63">
            <v>0</v>
          </cell>
        </row>
        <row r="64">
          <cell r="A64">
            <v>0</v>
          </cell>
          <cell r="B64">
            <v>0</v>
          </cell>
          <cell r="C64" t="str">
            <v/>
          </cell>
          <cell r="D64">
            <v>0</v>
          </cell>
          <cell r="F64">
            <v>0</v>
          </cell>
          <cell r="G64" t="str">
            <v/>
          </cell>
          <cell r="H64">
            <v>0</v>
          </cell>
          <cell r="I64" t="str">
            <v/>
          </cell>
          <cell r="J64">
            <v>0</v>
          </cell>
          <cell r="K64" t="str">
            <v/>
          </cell>
          <cell r="L64">
            <v>0</v>
          </cell>
          <cell r="M64">
            <v>0</v>
          </cell>
          <cell r="N64">
            <v>0</v>
          </cell>
          <cell r="O64" t="str">
            <v/>
          </cell>
          <cell r="P64">
            <v>0</v>
          </cell>
          <cell r="Q64" t="str">
            <v/>
          </cell>
          <cell r="R64">
            <v>0</v>
          </cell>
          <cell r="S64" t="str">
            <v/>
          </cell>
          <cell r="T64">
            <v>0</v>
          </cell>
          <cell r="U64" t="str">
            <v/>
          </cell>
          <cell r="V64">
            <v>0</v>
          </cell>
          <cell r="W64" t="str">
            <v/>
          </cell>
          <cell r="X64">
            <v>0</v>
          </cell>
        </row>
        <row r="68">
          <cell r="D68">
            <v>0</v>
          </cell>
          <cell r="E68" t="str">
            <v/>
          </cell>
          <cell r="P68">
            <v>0</v>
          </cell>
          <cell r="Q68" t="str">
            <v/>
          </cell>
        </row>
        <row r="69">
          <cell r="A69" t="str">
            <v>小　　計</v>
          </cell>
          <cell r="B69">
            <v>0</v>
          </cell>
          <cell r="C69">
            <v>0</v>
          </cell>
          <cell r="D69">
            <v>0</v>
          </cell>
          <cell r="E69" t="str">
            <v/>
          </cell>
          <cell r="M69" t="str">
            <v>小　　計</v>
          </cell>
          <cell r="N69">
            <v>0</v>
          </cell>
          <cell r="O69">
            <v>0</v>
          </cell>
          <cell r="P69">
            <v>0</v>
          </cell>
          <cell r="Q69" t="str">
            <v/>
          </cell>
        </row>
        <row r="72">
          <cell r="D72">
            <v>0</v>
          </cell>
          <cell r="E72" t="str">
            <v/>
          </cell>
          <cell r="P72">
            <v>0</v>
          </cell>
          <cell r="Q72" t="str">
            <v/>
          </cell>
        </row>
        <row r="73">
          <cell r="A73" t="str">
            <v>合　　計</v>
          </cell>
          <cell r="B73">
            <v>0</v>
          </cell>
          <cell r="C73">
            <v>0</v>
          </cell>
          <cell r="D73">
            <v>0</v>
          </cell>
          <cell r="E73" t="str">
            <v/>
          </cell>
          <cell r="M73" t="str">
            <v>合　　計</v>
          </cell>
          <cell r="N73">
            <v>923</v>
          </cell>
          <cell r="O73">
            <v>616</v>
          </cell>
          <cell r="P73">
            <v>0</v>
          </cell>
          <cell r="Q73" t="str">
            <v/>
          </cell>
        </row>
        <row r="76">
          <cell r="D76">
            <v>0</v>
          </cell>
          <cell r="E76" t="str">
            <v/>
          </cell>
        </row>
        <row r="77">
          <cell r="A77" t="str">
            <v>左右合計</v>
          </cell>
          <cell r="B77">
            <v>923</v>
          </cell>
          <cell r="C77">
            <v>616</v>
          </cell>
          <cell r="D77">
            <v>0</v>
          </cell>
          <cell r="E77" t="str">
            <v/>
          </cell>
        </row>
        <row r="79">
          <cell r="X79" t="str">
            <v/>
          </cell>
        </row>
      </sheetData>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新規Microsoft Excel ワークシート"/>
      <sheetName val="表紙"/>
      <sheetName val="総括表"/>
      <sheetName val="内訳数量表"/>
      <sheetName val="土工計算書"/>
      <sheetName val="A1本管土　土留"/>
      <sheetName val="A1本管掘削断面"/>
      <sheetName val="A1本管　土留計算書"/>
      <sheetName val="A1汚水取付土工集"/>
      <sheetName val="A1汚水取付土工算出基礎"/>
      <sheetName val="取付管基礎断面"/>
      <sheetName val="1号マン数量"/>
      <sheetName val="簡易マンホール"/>
      <sheetName val="取壊し復旧集計"/>
      <sheetName val="本管・取付管取壊し調書"/>
      <sheetName val="本管・取付管舗装復旧調書"/>
      <sheetName val="縁石復旧調書"/>
      <sheetName val="○土積精算"/>
      <sheetName val="○土積表"/>
      <sheetName val="○作業残土"/>
      <sheetName val="○整形集計"/>
      <sheetName val="○盛土法面仕上げ"/>
      <sheetName val="○内法仕上げバス停区間"/>
      <sheetName val="○不陸整正バス停区間"/>
      <sheetName val="○法面工"/>
      <sheetName val="○擁璧工 "/>
      <sheetName val="○擁璧工作業土工"/>
      <sheetName val="○排水工"/>
      <sheetName val="○側溝工"/>
      <sheetName val="○桝工"/>
      <sheetName val="○桝個所調書"/>
      <sheetName val="○路盤工"/>
      <sheetName val="○バス停区間車道路盤工"/>
      <sheetName val="○歩道路盤工"/>
      <sheetName val="○舗装工"/>
      <sheetName val="○バス停区間車道舗装工"/>
      <sheetName val="○歩道舗装工"/>
      <sheetName val="○付属施設工"/>
      <sheetName val="○縁石"/>
      <sheetName val="○縁石当"/>
      <sheetName val="○転落防止"/>
      <sheetName val="○転落防止柵箇所調書"/>
      <sheetName val="○撤去工"/>
      <sheetName val="数量計算調書見出し"/>
      <sheetName val="土積精算"/>
      <sheetName val="作業残土，流用距離"/>
      <sheetName val="○切り土法面仕上げ"/>
      <sheetName val="小段仕上"/>
      <sheetName val="不陸整正 (歩道)"/>
      <sheetName val="側溝延長調書"/>
      <sheetName val="曲補（排水）"/>
      <sheetName val="×側当"/>
      <sheetName val="×桝当"/>
      <sheetName val="標識工"/>
      <sheetName val="標識個所調書"/>
      <sheetName val="曲補（縁石）"/>
      <sheetName val="附帯作工箇所調書"/>
      <sheetName val="準備工"/>
      <sheetName val="伐開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定規図"/>
      <sheetName val="総括表"/>
      <sheetName val="土積精算"/>
      <sheetName val="土積表"/>
      <sheetName val="整形集計"/>
      <sheetName val="法面仕上げ"/>
      <sheetName val="内法仕上げ"/>
      <sheetName val="小段仕上げ"/>
      <sheetName val="不陸整正工"/>
      <sheetName val="作業残土処理工"/>
      <sheetName val="横断管渠工"/>
      <sheetName val="横断管当"/>
      <sheetName val="排水工"/>
      <sheetName val="縦断管渠工"/>
      <sheetName val="縦断管延長調書"/>
      <sheetName val="縦断管当"/>
      <sheetName val="桝工"/>
      <sheetName val="桝個所調書"/>
      <sheetName val="桝当"/>
      <sheetName val="路盤工"/>
      <sheetName val="車道路盤工（L）"/>
      <sheetName val="車道路盤工（R)"/>
      <sheetName val="舗装工"/>
      <sheetName val="舗装工（L)"/>
      <sheetName val="舗装工（R)"/>
      <sheetName val="付属施設工"/>
      <sheetName val="縁石"/>
      <sheetName val="縁石当"/>
      <sheetName val="撤去工"/>
      <sheetName val="起点工"/>
      <sheetName val="終点工"/>
      <sheetName val="表紙２"/>
      <sheetName val="工事数量総括表"/>
      <sheetName val="体系化集計"/>
      <sheetName val="体系化集計 (2)"/>
      <sheetName val="土量配分表"/>
      <sheetName val="平均距離"/>
      <sheetName val="土積計算"/>
      <sheetName val="作業土工集計"/>
      <sheetName val="法面工"/>
      <sheetName val="不陸整正"/>
      <sheetName val="切土法面"/>
      <sheetName val="盛土法面"/>
      <sheetName val="ステップ"/>
      <sheetName val="舗装・路盤集"/>
      <sheetName val="舗装工延長調書"/>
      <sheetName val="路盤工延長調書"/>
      <sheetName val="積ブロック集"/>
      <sheetName val="積ブロック"/>
      <sheetName val="ブロック土積"/>
      <sheetName val="横断管渠"/>
      <sheetName val="桝工集"/>
      <sheetName val="雨水桝箇所"/>
      <sheetName val="Uトラ集 "/>
      <sheetName val="縦排水"/>
      <sheetName val="水路BOX"/>
      <sheetName val="V水路計"/>
      <sheetName val="V水路延長"/>
      <sheetName val="V曲線補正"/>
      <sheetName val="遮断式暗渠"/>
      <sheetName val="暗渠延長"/>
      <sheetName val="暗渠曲線補正"/>
      <sheetName val="旧水路処理"/>
      <sheetName val="旧水路処理延長"/>
      <sheetName val="水路処理土量"/>
      <sheetName val="防護柵集"/>
      <sheetName val="防護柵延長"/>
      <sheetName val="防曲線補正"/>
      <sheetName val="切断延長"/>
      <sheetName val="舗装取壊し面積"/>
      <sheetName val="伐開集"/>
      <sheetName val="切土伐開"/>
      <sheetName val="盛土伐開"/>
      <sheetName val="横断管集"/>
      <sheetName val="土積集計"/>
      <sheetName val="BOX"/>
      <sheetName val="BOX桝"/>
      <sheetName val="取付集計表"/>
      <sheetName val="町道内訳"/>
      <sheetName val="縁石集 "/>
      <sheetName val="縁石延長"/>
      <sheetName val="縁石補正"/>
      <sheetName val="Uトラ計"/>
      <sheetName val="Uトラフ延長"/>
      <sheetName val="U曲線補正"/>
    </sheetNames>
    <sheetDataSet>
      <sheetData sheetId="0">
        <row r="2">
          <cell r="B2" t="str">
            <v>平　成　16　年　度　　　　　　　　　　　　　　　　　　　　　　　　　　　東 幸 町 線　道 路 整 備 実 測 線 調 査 業 務</v>
          </cell>
        </row>
        <row r="3">
          <cell r="B3" t="str">
            <v>区間　SP=268.59～SP=343.89　　　延長　L=75.30m</v>
          </cell>
        </row>
        <row r="5">
          <cell r="B5" t="str">
            <v>レベル　1　名称　：　道 路 改 良</v>
          </cell>
        </row>
        <row r="7">
          <cell r="B7" t="str">
            <v>数　量　計　算　書</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表紙"/>
      <sheetName val="2.調書"/>
      <sheetName val="3.土積集"/>
      <sheetName val="4.土積計"/>
      <sheetName val="B"/>
    </sheetNames>
    <sheetDataSet>
      <sheetData sheetId="0" refreshError="1"/>
      <sheetData sheetId="1" refreshError="1"/>
      <sheetData sheetId="2" refreshError="1"/>
      <sheetData sheetId="3"/>
      <sheetData sheetId="4">
        <row r="1">
          <cell r="A1" t="str">
            <v>a</v>
          </cell>
          <cell r="B1" t="str">
            <v>b</v>
          </cell>
          <cell r="C1" t="str">
            <v>c</v>
          </cell>
          <cell r="D1" t="str">
            <v>d</v>
          </cell>
          <cell r="E1" t="str">
            <v>e</v>
          </cell>
          <cell r="F1" t="str">
            <v>f</v>
          </cell>
          <cell r="G1" t="str">
            <v>g</v>
          </cell>
          <cell r="H1" t="str">
            <v>h</v>
          </cell>
          <cell r="I1" t="str">
            <v>I</v>
          </cell>
        </row>
        <row r="2">
          <cell r="A2" t="str">
            <v>ｺｰﾄﾞ</v>
          </cell>
          <cell r="B2" t="str">
            <v>側点</v>
          </cell>
          <cell r="C2" t="str">
            <v>GH</v>
          </cell>
          <cell r="D2" t="str">
            <v>FH</v>
          </cell>
          <cell r="E2" t="str">
            <v>BH/CH</v>
          </cell>
          <cell r="F2" t="str">
            <v>BA</v>
          </cell>
          <cell r="G2" t="str">
            <v>CA</v>
          </cell>
          <cell r="H2" t="str">
            <v>MCA</v>
          </cell>
          <cell r="I2" t="str">
            <v>MBA</v>
          </cell>
        </row>
        <row r="3">
          <cell r="A3">
            <v>1</v>
          </cell>
          <cell r="B3">
            <v>682.93</v>
          </cell>
          <cell r="C3">
            <v>271.99</v>
          </cell>
          <cell r="D3">
            <v>271.83</v>
          </cell>
          <cell r="E3">
            <v>0.16000000000002501</v>
          </cell>
          <cell r="F3">
            <v>7.7</v>
          </cell>
          <cell r="G3">
            <v>0.1</v>
          </cell>
          <cell r="H3">
            <v>7.65</v>
          </cell>
          <cell r="I3">
            <v>0.1</v>
          </cell>
        </row>
        <row r="4">
          <cell r="A4">
            <v>2</v>
          </cell>
          <cell r="B4">
            <v>700</v>
          </cell>
          <cell r="C4">
            <v>273.39999999999998</v>
          </cell>
          <cell r="D4">
            <v>273.3</v>
          </cell>
          <cell r="E4">
            <v>9.9999999999965894E-2</v>
          </cell>
          <cell r="F4">
            <v>7.6</v>
          </cell>
          <cell r="G4">
            <v>0.1</v>
          </cell>
          <cell r="H4">
            <v>7.1</v>
          </cell>
          <cell r="I4">
            <v>0.3</v>
          </cell>
        </row>
        <row r="5">
          <cell r="A5">
            <v>3</v>
          </cell>
          <cell r="B5">
            <v>720</v>
          </cell>
          <cell r="C5">
            <v>274.89999999999998</v>
          </cell>
          <cell r="D5">
            <v>274.86</v>
          </cell>
          <cell r="E5">
            <v>3.999999999996362E-2</v>
          </cell>
          <cell r="F5">
            <v>6.6</v>
          </cell>
          <cell r="G5">
            <v>0.5</v>
          </cell>
          <cell r="H5">
            <v>6.45</v>
          </cell>
          <cell r="I5">
            <v>0.45</v>
          </cell>
        </row>
        <row r="6">
          <cell r="A6">
            <v>4</v>
          </cell>
          <cell r="B6">
            <v>740</v>
          </cell>
          <cell r="C6">
            <v>276.25</v>
          </cell>
          <cell r="D6">
            <v>276.25</v>
          </cell>
          <cell r="E6">
            <v>0</v>
          </cell>
          <cell r="F6">
            <v>6.3</v>
          </cell>
          <cell r="G6">
            <v>0.4</v>
          </cell>
          <cell r="H6">
            <v>6.35</v>
          </cell>
          <cell r="I6">
            <v>0.35</v>
          </cell>
        </row>
        <row r="7">
          <cell r="A7">
            <v>5</v>
          </cell>
          <cell r="B7">
            <v>760</v>
          </cell>
          <cell r="C7">
            <v>277.58</v>
          </cell>
          <cell r="D7">
            <v>277.62</v>
          </cell>
          <cell r="E7">
            <v>4.0000000000020464E-2</v>
          </cell>
          <cell r="F7">
            <v>6.4</v>
          </cell>
          <cell r="G7">
            <v>0.3</v>
          </cell>
          <cell r="H7">
            <v>6.45</v>
          </cell>
          <cell r="I7">
            <v>0.25</v>
          </cell>
        </row>
        <row r="8">
          <cell r="A8">
            <v>6</v>
          </cell>
          <cell r="B8">
            <v>780</v>
          </cell>
          <cell r="C8">
            <v>278.97000000000003</v>
          </cell>
          <cell r="D8">
            <v>278.99</v>
          </cell>
          <cell r="E8">
            <v>1.999999999998181E-2</v>
          </cell>
          <cell r="F8">
            <v>6.5</v>
          </cell>
          <cell r="G8">
            <v>0.2</v>
          </cell>
          <cell r="H8">
            <v>6.8</v>
          </cell>
          <cell r="I8">
            <v>0.1</v>
          </cell>
        </row>
        <row r="9">
          <cell r="A9">
            <v>7</v>
          </cell>
          <cell r="B9">
            <v>800</v>
          </cell>
          <cell r="C9">
            <v>280.39999999999998</v>
          </cell>
          <cell r="D9">
            <v>280.36</v>
          </cell>
          <cell r="E9">
            <v>3.999999999996362E-2</v>
          </cell>
          <cell r="F9">
            <v>7.1</v>
          </cell>
          <cell r="G9">
            <v>0</v>
          </cell>
          <cell r="H9">
            <v>6.95</v>
          </cell>
          <cell r="I9">
            <v>0.3</v>
          </cell>
        </row>
        <row r="10">
          <cell r="A10">
            <v>8</v>
          </cell>
          <cell r="B10">
            <v>820</v>
          </cell>
          <cell r="C10">
            <v>281.79000000000002</v>
          </cell>
          <cell r="D10">
            <v>281.73</v>
          </cell>
          <cell r="E10">
            <v>6.0000000000002274E-2</v>
          </cell>
          <cell r="F10">
            <v>6.8</v>
          </cell>
          <cell r="G10">
            <v>0.6</v>
          </cell>
          <cell r="H10">
            <v>6.9</v>
          </cell>
          <cell r="I10">
            <v>0.5</v>
          </cell>
        </row>
        <row r="11">
          <cell r="A11">
            <v>9</v>
          </cell>
          <cell r="B11">
            <v>840</v>
          </cell>
          <cell r="C11">
            <v>283.13</v>
          </cell>
          <cell r="D11">
            <v>283.08999999999997</v>
          </cell>
          <cell r="E11">
            <v>4.0000000000020464E-2</v>
          </cell>
          <cell r="F11">
            <v>7</v>
          </cell>
          <cell r="G11">
            <v>0.4</v>
          </cell>
          <cell r="H11">
            <v>6.75</v>
          </cell>
          <cell r="I11">
            <v>1.05</v>
          </cell>
        </row>
        <row r="12">
          <cell r="A12">
            <v>10</v>
          </cell>
          <cell r="B12">
            <v>860</v>
          </cell>
          <cell r="C12">
            <v>284.5</v>
          </cell>
          <cell r="D12">
            <v>284.45999999999998</v>
          </cell>
          <cell r="E12">
            <v>4.0000000000020464E-2</v>
          </cell>
          <cell r="F12">
            <v>6.5</v>
          </cell>
          <cell r="G12">
            <v>1.7</v>
          </cell>
          <cell r="H12">
            <v>6.55</v>
          </cell>
          <cell r="I12">
            <v>1.3</v>
          </cell>
        </row>
        <row r="13">
          <cell r="A13">
            <v>11</v>
          </cell>
          <cell r="B13">
            <v>880</v>
          </cell>
          <cell r="C13">
            <v>285.83999999999997</v>
          </cell>
          <cell r="D13">
            <v>285.83</v>
          </cell>
          <cell r="E13">
            <v>9.9999999999909051E-3</v>
          </cell>
          <cell r="F13">
            <v>6.6</v>
          </cell>
          <cell r="G13">
            <v>0.9</v>
          </cell>
          <cell r="H13">
            <v>6.7</v>
          </cell>
          <cell r="I13">
            <v>0.65</v>
          </cell>
        </row>
        <row r="14">
          <cell r="A14">
            <v>12</v>
          </cell>
          <cell r="B14">
            <v>900</v>
          </cell>
          <cell r="C14">
            <v>287.22000000000003</v>
          </cell>
          <cell r="D14">
            <v>287.2</v>
          </cell>
          <cell r="E14">
            <v>2.0000000000038654E-2</v>
          </cell>
          <cell r="F14">
            <v>6.8</v>
          </cell>
          <cell r="G14">
            <v>0.4</v>
          </cell>
          <cell r="H14">
            <v>7</v>
          </cell>
          <cell r="I14">
            <v>0.85</v>
          </cell>
        </row>
        <row r="15">
          <cell r="A15">
            <v>13</v>
          </cell>
          <cell r="B15">
            <v>920</v>
          </cell>
          <cell r="C15">
            <v>288.68</v>
          </cell>
          <cell r="D15">
            <v>288.57</v>
          </cell>
          <cell r="E15">
            <v>0.11000000000001364</v>
          </cell>
          <cell r="F15">
            <v>7.2</v>
          </cell>
          <cell r="G15">
            <v>1.3</v>
          </cell>
          <cell r="H15">
            <v>7.95</v>
          </cell>
          <cell r="I15">
            <v>0.85</v>
          </cell>
        </row>
        <row r="16">
          <cell r="A16">
            <v>14</v>
          </cell>
          <cell r="B16">
            <v>940</v>
          </cell>
          <cell r="C16">
            <v>290.17</v>
          </cell>
          <cell r="D16">
            <v>289.94</v>
          </cell>
          <cell r="E16">
            <v>0.23000000000001819</v>
          </cell>
          <cell r="F16">
            <v>8.6999999999999993</v>
          </cell>
          <cell r="G16">
            <v>0.4</v>
          </cell>
          <cell r="H16">
            <v>9</v>
          </cell>
          <cell r="I16">
            <v>0.4</v>
          </cell>
        </row>
        <row r="17">
          <cell r="A17">
            <v>15</v>
          </cell>
          <cell r="B17">
            <v>960</v>
          </cell>
          <cell r="C17">
            <v>291.66000000000003</v>
          </cell>
          <cell r="D17">
            <v>291.31</v>
          </cell>
          <cell r="E17">
            <v>0.35000000000002274</v>
          </cell>
          <cell r="F17">
            <v>9.3000000000000007</v>
          </cell>
          <cell r="G17">
            <v>0.4</v>
          </cell>
          <cell r="H17">
            <v>10</v>
          </cell>
          <cell r="I17">
            <v>0.3</v>
          </cell>
        </row>
        <row r="18">
          <cell r="A18">
            <v>16</v>
          </cell>
          <cell r="B18">
            <v>980</v>
          </cell>
          <cell r="C18">
            <v>293.11</v>
          </cell>
          <cell r="D18">
            <v>292.68</v>
          </cell>
          <cell r="E18">
            <v>0.43000000000000682</v>
          </cell>
          <cell r="F18">
            <v>10.7</v>
          </cell>
          <cell r="G18">
            <v>0.2</v>
          </cell>
          <cell r="H18">
            <v>10.75</v>
          </cell>
          <cell r="I18">
            <v>0.2</v>
          </cell>
        </row>
        <row r="19">
          <cell r="A19">
            <v>17</v>
          </cell>
          <cell r="B19">
            <v>1000</v>
          </cell>
          <cell r="C19">
            <v>294.49</v>
          </cell>
          <cell r="D19">
            <v>294.05</v>
          </cell>
          <cell r="E19">
            <v>0.43999999999999773</v>
          </cell>
          <cell r="F19">
            <v>10.8</v>
          </cell>
          <cell r="G19">
            <v>0.2</v>
          </cell>
          <cell r="H19">
            <v>10.7</v>
          </cell>
          <cell r="I19">
            <v>0.2</v>
          </cell>
        </row>
        <row r="20">
          <cell r="A20">
            <v>18</v>
          </cell>
          <cell r="B20">
            <v>1020</v>
          </cell>
          <cell r="C20">
            <v>295.83999999999997</v>
          </cell>
          <cell r="D20">
            <v>295.42</v>
          </cell>
          <cell r="E20">
            <v>0.41999999999995907</v>
          </cell>
          <cell r="F20">
            <v>10.6</v>
          </cell>
          <cell r="G20">
            <v>0.2</v>
          </cell>
          <cell r="H20">
            <v>10.5</v>
          </cell>
          <cell r="I20">
            <v>0.2</v>
          </cell>
        </row>
        <row r="21">
          <cell r="A21">
            <v>19</v>
          </cell>
          <cell r="B21">
            <v>1040</v>
          </cell>
          <cell r="C21">
            <v>297.2</v>
          </cell>
          <cell r="D21">
            <v>296.77999999999997</v>
          </cell>
          <cell r="E21">
            <v>0.42000000000001592</v>
          </cell>
          <cell r="F21">
            <v>10.4</v>
          </cell>
          <cell r="G21">
            <v>0.2</v>
          </cell>
          <cell r="H21">
            <v>10.050000000000001</v>
          </cell>
          <cell r="I21">
            <v>0.2</v>
          </cell>
        </row>
        <row r="22">
          <cell r="A22">
            <v>20</v>
          </cell>
          <cell r="B22">
            <v>1060</v>
          </cell>
          <cell r="C22">
            <v>298.49</v>
          </cell>
          <cell r="D22">
            <v>298.14999999999998</v>
          </cell>
          <cell r="E22">
            <v>0.34000000000003183</v>
          </cell>
          <cell r="F22">
            <v>9.6999999999999993</v>
          </cell>
          <cell r="G22">
            <v>0.2</v>
          </cell>
          <cell r="H22">
            <v>9.25</v>
          </cell>
          <cell r="I22">
            <v>0.25</v>
          </cell>
        </row>
        <row r="23">
          <cell r="A23">
            <v>21</v>
          </cell>
          <cell r="B23">
            <v>1080</v>
          </cell>
          <cell r="C23">
            <v>299.76</v>
          </cell>
          <cell r="D23">
            <v>299.52</v>
          </cell>
          <cell r="E23">
            <v>0.24000000000000909</v>
          </cell>
          <cell r="F23">
            <v>8.8000000000000007</v>
          </cell>
          <cell r="G23">
            <v>0.3</v>
          </cell>
          <cell r="H23">
            <v>8.25</v>
          </cell>
          <cell r="I23">
            <v>0.5</v>
          </cell>
        </row>
        <row r="24">
          <cell r="A24">
            <v>22</v>
          </cell>
          <cell r="B24">
            <v>1100</v>
          </cell>
          <cell r="C24">
            <v>301</v>
          </cell>
          <cell r="D24">
            <v>300.89</v>
          </cell>
          <cell r="E24">
            <v>0.11000000000001364</v>
          </cell>
          <cell r="F24">
            <v>7.7</v>
          </cell>
          <cell r="G24">
            <v>0.7</v>
          </cell>
          <cell r="H24">
            <v>6.9</v>
          </cell>
          <cell r="I24">
            <v>0.95</v>
          </cell>
        </row>
        <row r="25">
          <cell r="A25">
            <v>23</v>
          </cell>
          <cell r="B25">
            <v>1120</v>
          </cell>
          <cell r="C25">
            <v>302.20999999999998</v>
          </cell>
          <cell r="D25">
            <v>302.26</v>
          </cell>
          <cell r="E25">
            <v>5.0000000000011369E-2</v>
          </cell>
          <cell r="F25">
            <v>6.1</v>
          </cell>
          <cell r="G25">
            <v>1.2</v>
          </cell>
          <cell r="H25">
            <v>6.5</v>
          </cell>
          <cell r="I25">
            <v>0.85</v>
          </cell>
        </row>
        <row r="26">
          <cell r="A26">
            <v>24</v>
          </cell>
          <cell r="B26">
            <v>1140</v>
          </cell>
          <cell r="C26">
            <v>303.69</v>
          </cell>
          <cell r="D26">
            <v>303.64</v>
          </cell>
          <cell r="E26">
            <v>5.0000000000011369E-2</v>
          </cell>
          <cell r="F26">
            <v>6.9</v>
          </cell>
          <cell r="G26">
            <v>0.5</v>
          </cell>
          <cell r="H26">
            <v>7.6</v>
          </cell>
          <cell r="I26">
            <v>0.65</v>
          </cell>
        </row>
        <row r="27">
          <cell r="A27">
            <v>25</v>
          </cell>
          <cell r="B27">
            <v>1160</v>
          </cell>
          <cell r="C27">
            <v>305.27</v>
          </cell>
          <cell r="D27">
            <v>305.08999999999997</v>
          </cell>
          <cell r="E27">
            <v>0.18000000000000682</v>
          </cell>
          <cell r="F27">
            <v>8.3000000000000007</v>
          </cell>
          <cell r="G27">
            <v>0.8</v>
          </cell>
          <cell r="H27">
            <v>8.75</v>
          </cell>
          <cell r="I27">
            <v>0.65</v>
          </cell>
        </row>
        <row r="28">
          <cell r="A28">
            <v>26</v>
          </cell>
          <cell r="B28">
            <v>1180</v>
          </cell>
          <cell r="C28">
            <v>306.92</v>
          </cell>
          <cell r="D28">
            <v>306.62</v>
          </cell>
          <cell r="E28">
            <v>0.30000000000001137</v>
          </cell>
          <cell r="F28">
            <v>9.1999999999999993</v>
          </cell>
          <cell r="G28">
            <v>0.5</v>
          </cell>
          <cell r="H28">
            <v>9.85</v>
          </cell>
          <cell r="I28">
            <v>0.35</v>
          </cell>
        </row>
        <row r="29">
          <cell r="A29">
            <v>27</v>
          </cell>
          <cell r="B29">
            <v>1200</v>
          </cell>
          <cell r="C29">
            <v>308.61</v>
          </cell>
          <cell r="D29">
            <v>308.25</v>
          </cell>
          <cell r="E29">
            <v>0.36000000000001364</v>
          </cell>
          <cell r="F29">
            <v>10.5</v>
          </cell>
          <cell r="G29">
            <v>0.2</v>
          </cell>
          <cell r="H29">
            <v>10</v>
          </cell>
          <cell r="I29">
            <v>0.3</v>
          </cell>
        </row>
        <row r="30">
          <cell r="A30">
            <v>28</v>
          </cell>
          <cell r="B30">
            <v>1220</v>
          </cell>
          <cell r="C30">
            <v>310.27999999999997</v>
          </cell>
          <cell r="D30">
            <v>309.95</v>
          </cell>
          <cell r="E30">
            <v>0.32999999999998408</v>
          </cell>
          <cell r="F30">
            <v>9.5</v>
          </cell>
          <cell r="G30">
            <v>0.4</v>
          </cell>
          <cell r="H30">
            <v>9.15</v>
          </cell>
          <cell r="I30">
            <v>0.3</v>
          </cell>
        </row>
        <row r="31">
          <cell r="A31">
            <v>29</v>
          </cell>
          <cell r="B31">
            <v>1240</v>
          </cell>
          <cell r="C31">
            <v>311.92</v>
          </cell>
          <cell r="D31">
            <v>311.64999999999998</v>
          </cell>
          <cell r="E31">
            <v>0.27000000000003865</v>
          </cell>
          <cell r="F31">
            <v>8.8000000000000007</v>
          </cell>
          <cell r="G31">
            <v>0.2</v>
          </cell>
          <cell r="H31">
            <v>8.6</v>
          </cell>
          <cell r="I31">
            <v>0.2</v>
          </cell>
        </row>
        <row r="32">
          <cell r="A32">
            <v>30</v>
          </cell>
          <cell r="B32">
            <v>1260</v>
          </cell>
          <cell r="C32">
            <v>313.54000000000002</v>
          </cell>
          <cell r="D32">
            <v>313.36</v>
          </cell>
          <cell r="E32">
            <v>0.18000000000000682</v>
          </cell>
          <cell r="F32">
            <v>8.4</v>
          </cell>
          <cell r="G32">
            <v>0.2</v>
          </cell>
          <cell r="H32">
            <v>8.6</v>
          </cell>
          <cell r="I32">
            <v>0.25</v>
          </cell>
        </row>
        <row r="33">
          <cell r="A33">
            <v>31</v>
          </cell>
          <cell r="B33">
            <v>1279.999</v>
          </cell>
          <cell r="C33">
            <v>315.24</v>
          </cell>
          <cell r="D33">
            <v>315.07</v>
          </cell>
          <cell r="E33">
            <v>0.17000000000001592</v>
          </cell>
          <cell r="F33">
            <v>8.8000000000000007</v>
          </cell>
          <cell r="G33">
            <v>0.3</v>
          </cell>
          <cell r="H33">
            <v>8.0500000000000007</v>
          </cell>
          <cell r="I33">
            <v>0.3</v>
          </cell>
        </row>
        <row r="34">
          <cell r="A34">
            <v>32</v>
          </cell>
          <cell r="B34">
            <v>1299.999</v>
          </cell>
          <cell r="C34">
            <v>316.89</v>
          </cell>
          <cell r="D34">
            <v>316.77</v>
          </cell>
          <cell r="E34">
            <v>0.12000000000000455</v>
          </cell>
          <cell r="F34">
            <v>7.3</v>
          </cell>
          <cell r="G34">
            <v>0.3</v>
          </cell>
          <cell r="H34">
            <v>7.15</v>
          </cell>
          <cell r="I34">
            <v>0.35</v>
          </cell>
        </row>
        <row r="35">
          <cell r="A35">
            <v>33</v>
          </cell>
          <cell r="B35">
            <v>1319.999</v>
          </cell>
          <cell r="C35">
            <v>318.54000000000002</v>
          </cell>
          <cell r="D35">
            <v>318.47000000000003</v>
          </cell>
          <cell r="E35">
            <v>6.9999999999993179E-2</v>
          </cell>
          <cell r="F35">
            <v>7</v>
          </cell>
          <cell r="G35">
            <v>0.4</v>
          </cell>
          <cell r="H35">
            <v>6.55</v>
          </cell>
          <cell r="I35">
            <v>0.3</v>
          </cell>
        </row>
        <row r="36">
          <cell r="A36">
            <v>34</v>
          </cell>
          <cell r="B36">
            <v>1339.999</v>
          </cell>
          <cell r="C36">
            <v>320.16000000000003</v>
          </cell>
          <cell r="D36">
            <v>320.18</v>
          </cell>
          <cell r="E36">
            <v>1.999999999998181E-2</v>
          </cell>
          <cell r="F36">
            <v>6.1</v>
          </cell>
          <cell r="G36">
            <v>0.2</v>
          </cell>
          <cell r="H36">
            <v>5.9</v>
          </cell>
          <cell r="I36">
            <v>0.4</v>
          </cell>
        </row>
        <row r="37">
          <cell r="A37">
            <v>35</v>
          </cell>
          <cell r="B37">
            <v>1359.999</v>
          </cell>
          <cell r="C37">
            <v>321.83</v>
          </cell>
          <cell r="D37">
            <v>321.89</v>
          </cell>
          <cell r="E37">
            <v>6.0000000000002274E-2</v>
          </cell>
          <cell r="F37">
            <v>5.7</v>
          </cell>
          <cell r="G37">
            <v>0.6</v>
          </cell>
          <cell r="H37">
            <v>5.4</v>
          </cell>
          <cell r="I37">
            <v>0.6</v>
          </cell>
        </row>
        <row r="38">
          <cell r="A38">
            <v>36</v>
          </cell>
          <cell r="B38">
            <v>1379.999</v>
          </cell>
          <cell r="C38">
            <v>323.45999999999998</v>
          </cell>
          <cell r="D38">
            <v>323.58999999999997</v>
          </cell>
          <cell r="E38">
            <v>0.12999999999999545</v>
          </cell>
          <cell r="F38">
            <v>5.0999999999999996</v>
          </cell>
          <cell r="G38">
            <v>0.6</v>
          </cell>
          <cell r="H38">
            <v>5</v>
          </cell>
          <cell r="I38">
            <v>0.55000000000000004</v>
          </cell>
        </row>
        <row r="39">
          <cell r="A39">
            <v>37</v>
          </cell>
          <cell r="B39">
            <v>1399.999</v>
          </cell>
          <cell r="C39">
            <v>325.11</v>
          </cell>
          <cell r="D39">
            <v>325.3</v>
          </cell>
          <cell r="E39">
            <v>0.18999999999999773</v>
          </cell>
          <cell r="F39">
            <v>4.9000000000000004</v>
          </cell>
          <cell r="G39">
            <v>0.5</v>
          </cell>
          <cell r="H39">
            <v>4.6500000000000004</v>
          </cell>
          <cell r="I39">
            <v>0.6</v>
          </cell>
        </row>
        <row r="40">
          <cell r="A40">
            <v>38</v>
          </cell>
          <cell r="B40">
            <v>1419.999</v>
          </cell>
          <cell r="C40">
            <v>326.77</v>
          </cell>
          <cell r="D40">
            <v>327.01</v>
          </cell>
          <cell r="E40">
            <v>0.24000000000000909</v>
          </cell>
          <cell r="F40">
            <v>4.4000000000000004</v>
          </cell>
          <cell r="G40">
            <v>0.7</v>
          </cell>
          <cell r="H40">
            <v>4.7</v>
          </cell>
          <cell r="I40">
            <v>0.75</v>
          </cell>
        </row>
        <row r="41">
          <cell r="A41">
            <v>39</v>
          </cell>
          <cell r="B41">
            <v>1440.0450000000001</v>
          </cell>
          <cell r="C41">
            <v>328.46</v>
          </cell>
          <cell r="D41">
            <v>328.68</v>
          </cell>
          <cell r="E41">
            <v>0.22000000000002728</v>
          </cell>
          <cell r="F41">
            <v>5</v>
          </cell>
          <cell r="G41">
            <v>0.8</v>
          </cell>
          <cell r="H41">
            <v>6.8</v>
          </cell>
          <cell r="I41">
            <v>0.8</v>
          </cell>
        </row>
        <row r="42">
          <cell r="A42">
            <v>40</v>
          </cell>
          <cell r="B42">
            <v>1460.3409999999999</v>
          </cell>
          <cell r="C42">
            <v>330.11</v>
          </cell>
          <cell r="D42">
            <v>330.05</v>
          </cell>
          <cell r="E42">
            <v>6.0000000000002274E-2</v>
          </cell>
          <cell r="F42">
            <v>8.6</v>
          </cell>
          <cell r="G42">
            <v>0.8</v>
          </cell>
          <cell r="H42">
            <v>9.35</v>
          </cell>
          <cell r="I42">
            <v>1.05</v>
          </cell>
        </row>
        <row r="43">
          <cell r="A43">
            <v>41</v>
          </cell>
          <cell r="B43">
            <v>1480.857</v>
          </cell>
          <cell r="C43">
            <v>331.35</v>
          </cell>
          <cell r="D43">
            <v>331.07</v>
          </cell>
          <cell r="E43">
            <v>0.28000000000002956</v>
          </cell>
          <cell r="F43">
            <v>10.1</v>
          </cell>
          <cell r="G43">
            <v>1.3</v>
          </cell>
          <cell r="H43">
            <v>10.1</v>
          </cell>
          <cell r="I43">
            <v>0.65</v>
          </cell>
        </row>
        <row r="44">
          <cell r="A44">
            <v>42</v>
          </cell>
          <cell r="B44">
            <v>1501.1479999999999</v>
          </cell>
          <cell r="C44">
            <v>331.9</v>
          </cell>
          <cell r="D44">
            <v>331.74</v>
          </cell>
          <cell r="E44">
            <v>0.15999999999996817</v>
          </cell>
          <cell r="F44">
            <v>10.1</v>
          </cell>
          <cell r="G44">
            <v>0</v>
          </cell>
          <cell r="H44">
            <v>9.4499999999999993</v>
          </cell>
          <cell r="I44">
            <v>0</v>
          </cell>
        </row>
        <row r="45">
          <cell r="A45">
            <v>43</v>
          </cell>
          <cell r="B45">
            <v>1521.146</v>
          </cell>
          <cell r="C45">
            <v>332.15</v>
          </cell>
          <cell r="D45">
            <v>332.09</v>
          </cell>
          <cell r="E45">
            <v>6.0000000000002274E-2</v>
          </cell>
          <cell r="F45">
            <v>8.8000000000000007</v>
          </cell>
          <cell r="G45">
            <v>0</v>
          </cell>
          <cell r="H45">
            <v>7.8</v>
          </cell>
          <cell r="I45">
            <v>0.15</v>
          </cell>
        </row>
        <row r="46">
          <cell r="A46">
            <v>44</v>
          </cell>
          <cell r="B46">
            <v>1541.1410000000001</v>
          </cell>
          <cell r="C46">
            <v>332.43</v>
          </cell>
          <cell r="D46">
            <v>332.41</v>
          </cell>
          <cell r="E46">
            <v>1.999999999998181E-2</v>
          </cell>
          <cell r="F46">
            <v>6.8</v>
          </cell>
          <cell r="G46">
            <v>0.3</v>
          </cell>
          <cell r="H46">
            <v>6.45</v>
          </cell>
          <cell r="I46">
            <v>0.6</v>
          </cell>
        </row>
        <row r="47">
          <cell r="A47">
            <v>45</v>
          </cell>
          <cell r="B47">
            <v>1561.1410000000001</v>
          </cell>
          <cell r="C47">
            <v>332.72</v>
          </cell>
          <cell r="D47">
            <v>332.73</v>
          </cell>
          <cell r="E47">
            <v>9.9999999999909051E-3</v>
          </cell>
          <cell r="F47">
            <v>6.1</v>
          </cell>
          <cell r="G47">
            <v>0.9</v>
          </cell>
          <cell r="H47">
            <v>6.35</v>
          </cell>
          <cell r="I47">
            <v>1</v>
          </cell>
        </row>
        <row r="48">
          <cell r="A48">
            <v>46</v>
          </cell>
          <cell r="B48">
            <v>1581.14</v>
          </cell>
          <cell r="C48">
            <v>333.06</v>
          </cell>
          <cell r="D48">
            <v>333.07</v>
          </cell>
          <cell r="E48">
            <v>9.9999999999909051E-3</v>
          </cell>
          <cell r="F48">
            <v>6.6</v>
          </cell>
          <cell r="G48">
            <v>1.1000000000000001</v>
          </cell>
          <cell r="H48">
            <v>5.7</v>
          </cell>
          <cell r="I48">
            <v>1.9</v>
          </cell>
        </row>
        <row r="49">
          <cell r="A49">
            <v>47</v>
          </cell>
          <cell r="B49">
            <v>1601.14</v>
          </cell>
          <cell r="C49">
            <v>333.39</v>
          </cell>
          <cell r="D49">
            <v>333.58</v>
          </cell>
          <cell r="E49">
            <v>0.18999999999999773</v>
          </cell>
          <cell r="F49">
            <v>4.8</v>
          </cell>
          <cell r="G49">
            <v>2.7</v>
          </cell>
          <cell r="H49">
            <v>3.65</v>
          </cell>
          <cell r="I49">
            <v>2.7</v>
          </cell>
        </row>
        <row r="50">
          <cell r="A50">
            <v>48</v>
          </cell>
          <cell r="B50">
            <v>1621.14</v>
          </cell>
          <cell r="C50">
            <v>333.72</v>
          </cell>
          <cell r="D50">
            <v>334.2</v>
          </cell>
          <cell r="E50">
            <v>0.47999999999996135</v>
          </cell>
          <cell r="F50">
            <v>2.5</v>
          </cell>
          <cell r="G50">
            <v>2.7</v>
          </cell>
          <cell r="H50">
            <v>4.1500000000000004</v>
          </cell>
          <cell r="I50">
            <v>1.8</v>
          </cell>
        </row>
        <row r="51">
          <cell r="A51">
            <v>49</v>
          </cell>
          <cell r="B51">
            <v>1641.14</v>
          </cell>
          <cell r="C51">
            <v>334.59</v>
          </cell>
          <cell r="D51">
            <v>334.69</v>
          </cell>
          <cell r="E51">
            <v>0.10000000000002274</v>
          </cell>
          <cell r="F51">
            <v>5.8</v>
          </cell>
          <cell r="G51">
            <v>0.9</v>
          </cell>
          <cell r="H51">
            <v>6.4</v>
          </cell>
          <cell r="I51">
            <v>0.55000000000000004</v>
          </cell>
        </row>
        <row r="52">
          <cell r="A52">
            <v>50</v>
          </cell>
          <cell r="B52">
            <v>1645.1189999999999</v>
          </cell>
          <cell r="C52">
            <v>334.77</v>
          </cell>
          <cell r="D52">
            <v>334.77</v>
          </cell>
          <cell r="E52">
            <v>0</v>
          </cell>
          <cell r="F52">
            <v>7</v>
          </cell>
          <cell r="G52">
            <v>0.2</v>
          </cell>
          <cell r="H52">
            <v>7</v>
          </cell>
          <cell r="I52">
            <v>0.2</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基本項目"/>
      <sheetName val="表紙"/>
      <sheetName val="集計表(1)"/>
      <sheetName val="精算"/>
      <sheetName val="配分表"/>
      <sheetName val="距離表"/>
      <sheetName val="作業土工集計"/>
      <sheetName val="土積"/>
      <sheetName val="整形集計"/>
      <sheetName val="車道不陸"/>
      <sheetName val="車道不陸面積"/>
      <sheetName val="歩道不陸"/>
      <sheetName val="歩道不陸面積"/>
      <sheetName val="切"/>
      <sheetName val="切土面積調書"/>
      <sheetName val="盛"/>
      <sheetName val="盛土面積調書"/>
      <sheetName val="小段"/>
      <sheetName val="小段面積調書"/>
      <sheetName val="小段仕上"/>
      <sheetName val="法面工集計"/>
      <sheetName val="当り調書"/>
      <sheetName val="カルバート集計"/>
      <sheetName val="カルバートル数量"/>
      <sheetName val="排水集計"/>
      <sheetName val="300B延長 "/>
      <sheetName val="300B入力R"/>
      <sheetName val="300B印刷R"/>
      <sheetName val="縦断管数量"/>
      <sheetName val="縦断管個所"/>
      <sheetName val="水抜桝個所調書"/>
      <sheetName val="路盤集計"/>
      <sheetName val="路盤延長"/>
      <sheetName val="歩道路盤延長"/>
      <sheetName val="路盤工数量"/>
      <sheetName val="取付集計表"/>
      <sheetName val="取付路盤工"/>
      <sheetName val="防護柵集計"/>
      <sheetName val="防護柵延長"/>
      <sheetName val="防護柵入力L"/>
      <sheetName val="防護柵印刷L"/>
      <sheetName val="縁石集計"/>
      <sheetName val="縁石延長"/>
      <sheetName val="縁石入力R"/>
      <sheetName val="縁石印刷R"/>
      <sheetName val="誘導縁石延長"/>
      <sheetName val="縁石入力R (2)"/>
      <sheetName val="縁石印刷R (2)"/>
      <sheetName val="縁石入力L (3)"/>
      <sheetName val="縁石印刷L (3)"/>
      <sheetName val="集計表(2)"/>
      <sheetName val="集計表(3)"/>
      <sheetName val="内訳数量"/>
      <sheetName val="ブロック調書"/>
      <sheetName val="図心位置"/>
      <sheetName val="体積"/>
      <sheetName val="体積 SP48.0 20t"/>
      <sheetName val="面積"/>
      <sheetName val="計算書"/>
    </sheetNames>
    <sheetDataSet>
      <sheetData sheetId="0">
        <row r="31">
          <cell r="K31" t="str">
            <v>事業課</v>
          </cell>
          <cell r="L31" t="str">
            <v>事業課</v>
          </cell>
          <cell r="M31" t="str">
            <v>事業課</v>
          </cell>
          <cell r="N31" t="str">
            <v>苫小牧出張所</v>
          </cell>
          <cell r="O31" t="str">
            <v>事業課</v>
          </cell>
          <cell r="P31" t="str">
            <v>事業課</v>
          </cell>
          <cell r="Q31" t="str">
            <v>事業課</v>
          </cell>
          <cell r="R31" t="str">
            <v>事業課</v>
          </cell>
          <cell r="S31" t="str">
            <v>事業課</v>
          </cell>
          <cell r="T31" t="str">
            <v>事業課</v>
          </cell>
        </row>
        <row r="32">
          <cell r="K32" t="str">
            <v>岩見沢出張所</v>
          </cell>
          <cell r="L32" t="str">
            <v>蘭越出張所</v>
          </cell>
          <cell r="M32" t="str">
            <v>松前出張所</v>
          </cell>
          <cell r="N32" t="str">
            <v>洞爺出張所</v>
          </cell>
          <cell r="O32" t="str">
            <v>士別出張所</v>
          </cell>
          <cell r="P32" t="str">
            <v>羽幌出張所</v>
          </cell>
          <cell r="Q32" t="str">
            <v>歌登出張所</v>
          </cell>
          <cell r="R32" t="str">
            <v>北見出張所</v>
          </cell>
          <cell r="S32" t="str">
            <v>鹿追出張所</v>
          </cell>
          <cell r="T32" t="str">
            <v>根室出張所</v>
          </cell>
        </row>
        <row r="33">
          <cell r="K33" t="str">
            <v>滝川出張所</v>
          </cell>
          <cell r="L33" t="str">
            <v>余市出張所</v>
          </cell>
          <cell r="M33" t="str">
            <v>八雲出張所</v>
          </cell>
          <cell r="N33" t="str">
            <v>登別出張所</v>
          </cell>
          <cell r="O33" t="str">
            <v>富良野出張所</v>
          </cell>
          <cell r="P33" t="str">
            <v>遠別出張所</v>
          </cell>
          <cell r="Q33" t="str">
            <v>利尻出張所</v>
          </cell>
          <cell r="R33" t="str">
            <v>紋別出張所</v>
          </cell>
          <cell r="S33" t="str">
            <v>大樹出張所</v>
          </cell>
          <cell r="T33" t="str">
            <v>弟子屈出張所</v>
          </cell>
        </row>
        <row r="34">
          <cell r="K34" t="str">
            <v>深川出張所</v>
          </cell>
          <cell r="L34" t="str">
            <v>共和出張所</v>
          </cell>
          <cell r="M34" t="str">
            <v>江差出張所</v>
          </cell>
          <cell r="N34" t="str">
            <v>門別出張所</v>
          </cell>
          <cell r="O34" t="str">
            <v>美深出張所</v>
          </cell>
          <cell r="Q34" t="str">
            <v>礼文出張所</v>
          </cell>
          <cell r="R34" t="str">
            <v>斜里出張所</v>
          </cell>
          <cell r="S34" t="str">
            <v>足寄出張所</v>
          </cell>
          <cell r="T34" t="str">
            <v>中標津出張所</v>
          </cell>
        </row>
        <row r="35">
          <cell r="K35" t="str">
            <v>当別出張所</v>
          </cell>
          <cell r="L35" t="str">
            <v>真狩出張所</v>
          </cell>
          <cell r="M35" t="str">
            <v>今金出張所</v>
          </cell>
          <cell r="N35" t="str">
            <v>浦河出張所</v>
          </cell>
          <cell r="Q35" t="str">
            <v>頓別事業所</v>
          </cell>
          <cell r="R35" t="str">
            <v>遠軽出張所</v>
          </cell>
          <cell r="S35" t="str">
            <v>浦幌出張所</v>
          </cell>
          <cell r="T35" t="str">
            <v>厚岸出張所</v>
          </cell>
        </row>
        <row r="36">
          <cell r="K36" t="str">
            <v>長沼出張所</v>
          </cell>
          <cell r="L36" t="str">
            <v>黒松内事業所</v>
          </cell>
          <cell r="M36" t="str">
            <v>奥尻出張所</v>
          </cell>
          <cell r="R36" t="str">
            <v>興部出張所</v>
          </cell>
        </row>
        <row r="37">
          <cell r="K37" t="str">
            <v>千歳出張所</v>
          </cell>
          <cell r="M37" t="str">
            <v>知内出張所</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定規図"/>
      <sheetName val="総括表"/>
      <sheetName val="土積精算"/>
      <sheetName val="土積表"/>
      <sheetName val="整形集計"/>
      <sheetName val="法面仕上げ"/>
      <sheetName val="内法仕上げ"/>
      <sheetName val="小段仕上げ"/>
      <sheetName val="不陸整正工"/>
      <sheetName val="作業残土処理工"/>
      <sheetName val="横断管渠工"/>
      <sheetName val="横断管当"/>
      <sheetName val="排水工"/>
      <sheetName val="縦断管渠工"/>
      <sheetName val="縦断管延長調書"/>
      <sheetName val="縦断管当"/>
      <sheetName val="桝工"/>
      <sheetName val="桝個所調書"/>
      <sheetName val="桝当"/>
      <sheetName val="路盤工"/>
      <sheetName val="車道路盤工（L）"/>
      <sheetName val="車道路盤工（R)"/>
      <sheetName val="舗装工"/>
      <sheetName val="舗装工（L)"/>
      <sheetName val="舗装工（R)"/>
      <sheetName val="付属施設工"/>
      <sheetName val="縁石"/>
      <sheetName val="縁石当"/>
      <sheetName val="撤去工"/>
      <sheetName val="起点工"/>
      <sheetName val="終点工"/>
      <sheetName val="表紙２"/>
      <sheetName val="工事数量総括路盤"/>
      <sheetName val="数量総括表"/>
      <sheetName val="土積精算書"/>
      <sheetName val="土積集計"/>
      <sheetName val="土積計算"/>
      <sheetName val="CA´"/>
      <sheetName val="法面・残土"/>
      <sheetName val="切土法面"/>
      <sheetName val="U300集"/>
      <sheetName val="U300補正"/>
      <sheetName val="取壊書"/>
      <sheetName val="取壊面"/>
      <sheetName val="取付集計H15"/>
      <sheetName val="NO,10内訳"/>
      <sheetName val="NO,10取壊し"/>
      <sheetName val="NO,10土積"/>
      <sheetName val="NO,10切土"/>
      <sheetName val="NO,10盛土"/>
      <sheetName val="NO,10トラフ"/>
      <sheetName val="NO,10導水水抜桝"/>
      <sheetName val="NO,10子取付集計"/>
      <sheetName val="NO,10子取付"/>
      <sheetName val="仮設道路内"/>
      <sheetName val="切土すき取"/>
      <sheetName val="仮設面積"/>
      <sheetName val="仮設切土法"/>
      <sheetName val="支障物件"/>
    </sheetNames>
    <sheetDataSet>
      <sheetData sheetId="0" refreshError="1">
        <row r="2">
          <cell r="B2" t="str">
            <v>平　成　16　年　度　　　　　　　　　　　　　　　　　　　　　　　　　　　東 幸 町 線　道 路 整 備 実 測 線 調 査 業 務</v>
          </cell>
        </row>
        <row r="3">
          <cell r="B3" t="str">
            <v>区間　SP=268.59～SP=343.89　　　延長　L=75.30m</v>
          </cell>
        </row>
        <row r="5">
          <cell r="B5" t="str">
            <v>レベル　1　名称　：　道 路 改 良</v>
          </cell>
        </row>
        <row r="7">
          <cell r="B7" t="str">
            <v>数　量　計　算　書</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河川土工"/>
      <sheetName val="軽量盛土工"/>
      <sheetName val="地盤改良工"/>
      <sheetName val="樋門・樋管本体工"/>
      <sheetName val="護床工"/>
      <sheetName val="水路工"/>
      <sheetName val="付属物設置工"/>
      <sheetName val="構造物撤去工"/>
      <sheetName val="内訳数量表1"/>
      <sheetName val="内訳数量表2"/>
      <sheetName val="別紙-1"/>
      <sheetName val="別紙-2"/>
      <sheetName val="別紙-3"/>
      <sheetName val="別紙-4"/>
      <sheetName val="別紙-5"/>
      <sheetName val="別紙-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① 土工"/>
      <sheetName val="②法面工"/>
      <sheetName val="③水路工"/>
      <sheetName val="④カルバート工"/>
      <sheetName val="⑤サイホン工"/>
      <sheetName val="⑥分水工"/>
      <sheetName val="⑦落差工"/>
      <sheetName val="⑧放水工"/>
      <sheetName val="⑨流入工"/>
      <sheetName val="⑩安全施設工"/>
      <sheetName val="⑪構造物撤去工"/>
      <sheetName val="内訳数量表1"/>
      <sheetName val="内訳数量表2"/>
      <sheetName val="内訳数量表3"/>
      <sheetName val="別紙-1"/>
      <sheetName val="別紙-2"/>
      <sheetName val="別紙-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表紙ﾏｸﾛ"/>
      <sheetName val="入　力"/>
      <sheetName val="体積調書"/>
      <sheetName val="個人用"/>
      <sheetName val="土工"/>
      <sheetName val="法面工"/>
      <sheetName val="土・法集計"/>
      <sheetName val="側溝工"/>
      <sheetName val="管・函渠工"/>
      <sheetName val="桝工"/>
      <sheetName val="暗渠工"/>
      <sheetName val="縁石工"/>
      <sheetName val="歩道工"/>
      <sheetName val="路盤工"/>
      <sheetName val="舗装工"/>
      <sheetName val="防護柵工"/>
      <sheetName val="取付道路工"/>
      <sheetName val="視線誘導標"/>
      <sheetName val="擁壁"/>
      <sheetName val="表　題"/>
      <sheetName val="集計表・調書"/>
      <sheetName val="その他"/>
      <sheetName val="印刷ﾏｸﾛ"/>
      <sheetName val="表題印刷"/>
      <sheetName val="参照ﾏｸﾛ"/>
    </sheetNames>
    <sheetDataSet>
      <sheetData sheetId="0"/>
      <sheetData sheetId="1" refreshError="1"/>
      <sheetData sheetId="2"/>
      <sheetData sheetId="3"/>
      <sheetData sheetId="4"/>
      <sheetData sheetId="5"/>
      <sheetData sheetId="6"/>
      <sheetData sheetId="7"/>
      <sheetData sheetId="8" refreshError="1">
        <row r="2">
          <cell r="L2" t="str">
            <v>アングル付Ｕ 型 ト ラ フ 延 長 調 書 (U-300B)</v>
          </cell>
          <cell r="V2" t="str">
            <v>法 面 縦 排 水 工 集 計 表</v>
          </cell>
        </row>
        <row r="4">
          <cell r="L4" t="str">
            <v>測　点(L)</v>
          </cell>
          <cell r="M4" t="str">
            <v>延　長</v>
          </cell>
          <cell r="N4" t="str">
            <v>ｺﾝｸﾘｰﾄ蓋</v>
          </cell>
          <cell r="O4" t="str">
            <v>摘　要</v>
          </cell>
          <cell r="P4" t="str">
            <v>測　点(R)</v>
          </cell>
          <cell r="Q4" t="str">
            <v>延　長</v>
          </cell>
          <cell r="R4" t="str">
            <v>ｺﾝｸﾘｰﾄ蓋</v>
          </cell>
          <cell r="S4" t="str">
            <v>摘　要</v>
          </cell>
          <cell r="V4" t="str">
            <v>測　点</v>
          </cell>
          <cell r="W4" t="str">
            <v>L/R</v>
          </cell>
          <cell r="X4" t="str">
            <v>U-240</v>
          </cell>
          <cell r="Y4" t="str">
            <v>ｺﾝｸﾘｰﾄ蓋</v>
          </cell>
          <cell r="Z4" t="str">
            <v>集水桝650型</v>
          </cell>
          <cell r="AA4" t="str">
            <v>集水桝Ⅰ型</v>
          </cell>
          <cell r="AC4" t="str">
            <v>摘　要</v>
          </cell>
        </row>
        <row r="34">
          <cell r="L34" t="str">
            <v>計　</v>
          </cell>
          <cell r="P34" t="str">
            <v>計　</v>
          </cell>
          <cell r="V34" t="str">
            <v>計　</v>
          </cell>
        </row>
        <row r="38">
          <cell r="AF38" t="str">
            <v>法 面 縦 排 水 工 集 計 表</v>
          </cell>
        </row>
        <row r="40">
          <cell r="AF40" t="str">
            <v>名　称</v>
          </cell>
          <cell r="AG40" t="str">
            <v>規　格</v>
          </cell>
          <cell r="AH40" t="str">
            <v>数　量</v>
          </cell>
          <cell r="AI40" t="str">
            <v>単位</v>
          </cell>
          <cell r="AJ40" t="str">
            <v>摘　要</v>
          </cell>
        </row>
        <row r="41">
          <cell r="AG41" t="str">
            <v>U-240(ｿｹｯﾄ付)</v>
          </cell>
          <cell r="AI41" t="str">
            <v>m</v>
          </cell>
        </row>
        <row r="42">
          <cell r="AF42" t="str">
            <v>Ｕ型トラフ</v>
          </cell>
        </row>
        <row r="43">
          <cell r="AG43" t="str">
            <v>U-240用</v>
          </cell>
          <cell r="AI43" t="str">
            <v>〃</v>
          </cell>
        </row>
        <row r="44">
          <cell r="AF44" t="str">
            <v>同コンクリート蓋</v>
          </cell>
        </row>
        <row r="45">
          <cell r="AG45" t="str">
            <v>下部桝 (H=0.65m)</v>
          </cell>
          <cell r="AI45" t="str">
            <v>基</v>
          </cell>
        </row>
        <row r="46">
          <cell r="AF46" t="str">
            <v>集水桝650型</v>
          </cell>
        </row>
        <row r="47">
          <cell r="AG47" t="str">
            <v>550×550×50</v>
          </cell>
          <cell r="AI47" t="str">
            <v>枚</v>
          </cell>
        </row>
        <row r="48">
          <cell r="AF48" t="str">
            <v>同コンクリート蓋</v>
          </cell>
        </row>
        <row r="49">
          <cell r="AG49" t="str">
            <v>下部桝 (H=1.00m)</v>
          </cell>
          <cell r="AI49" t="str">
            <v>基</v>
          </cell>
        </row>
        <row r="50">
          <cell r="AF50" t="str">
            <v>集水桝Ⅰ型</v>
          </cell>
        </row>
        <row r="51">
          <cell r="AG51" t="str">
            <v>710×710×50(3枚割)</v>
          </cell>
          <cell r="AI51" t="str">
            <v>組</v>
          </cell>
        </row>
        <row r="52">
          <cell r="AF52" t="str">
            <v>同コンクリート蓋</v>
          </cell>
        </row>
        <row r="53">
          <cell r="AG53" t="str">
            <v>下部桝 (H=1.20m)</v>
          </cell>
          <cell r="AI53" t="str">
            <v>基</v>
          </cell>
        </row>
        <row r="54">
          <cell r="AF54" t="str">
            <v>集水桝Ⅱ型</v>
          </cell>
        </row>
        <row r="55">
          <cell r="AG55" t="str">
            <v>920×920×50(2枚割)</v>
          </cell>
          <cell r="AI55" t="str">
            <v>組</v>
          </cell>
        </row>
        <row r="56">
          <cell r="AF56" t="str">
            <v>同コンクリート蓋</v>
          </cell>
        </row>
        <row r="57">
          <cell r="AI57" t="str">
            <v>m3</v>
          </cell>
        </row>
        <row r="58">
          <cell r="AF58" t="str">
            <v>掘　削　土</v>
          </cell>
        </row>
        <row r="59">
          <cell r="AI59" t="str">
            <v>〃</v>
          </cell>
        </row>
        <row r="60">
          <cell r="AF60" t="str">
            <v>埋　戻　土</v>
          </cell>
        </row>
        <row r="61">
          <cell r="AI61" t="str">
            <v>〃</v>
          </cell>
        </row>
        <row r="62">
          <cell r="AF62" t="str">
            <v>残　　　土</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表紙ﾏｸﾛ"/>
      <sheetName val="入　力"/>
      <sheetName val="体積調書"/>
      <sheetName val="個人用"/>
      <sheetName val="土工"/>
      <sheetName val="法面工"/>
      <sheetName val="土・法集計"/>
      <sheetName val="側溝工"/>
      <sheetName val="管・函渠工"/>
      <sheetName val="桝工"/>
      <sheetName val="暗渠工"/>
      <sheetName val="縁石工"/>
      <sheetName val="歩道工"/>
      <sheetName val="路盤工"/>
      <sheetName val="舗装工"/>
      <sheetName val="防護柵工"/>
      <sheetName val="取付道路工"/>
      <sheetName val="視線誘導標"/>
      <sheetName val="擁壁"/>
      <sheetName val="表　題"/>
      <sheetName val="集計表・調書"/>
      <sheetName val="その他"/>
      <sheetName val="印刷ﾏｸﾛ"/>
      <sheetName val="表題印刷"/>
      <sheetName val="参照ﾏｸﾛ"/>
    </sheetNames>
    <sheetDataSet>
      <sheetData sheetId="0" refreshError="1"/>
      <sheetData sheetId="1" refreshError="1"/>
      <sheetData sheetId="2" refreshError="1"/>
      <sheetData sheetId="3" refreshError="1"/>
      <sheetData sheetId="4" refreshError="1"/>
      <sheetData sheetId="5"/>
      <sheetData sheetId="6"/>
      <sheetData sheetId="7"/>
      <sheetData sheetId="8" refreshError="1">
        <row r="2">
          <cell r="V2" t="str">
            <v>法 面 縦 排 水 工 集 計 表</v>
          </cell>
        </row>
        <row r="4">
          <cell r="V4" t="str">
            <v>測　点</v>
          </cell>
          <cell r="W4" t="str">
            <v>L/R</v>
          </cell>
          <cell r="X4" t="str">
            <v>U-240</v>
          </cell>
          <cell r="Y4" t="str">
            <v>ｺﾝｸﾘｰﾄ蓋</v>
          </cell>
          <cell r="Z4" t="str">
            <v>集水桝650型</v>
          </cell>
          <cell r="AA4" t="str">
            <v>集水桝Ⅰ型</v>
          </cell>
          <cell r="AC4" t="str">
            <v>摘　要</v>
          </cell>
        </row>
        <row r="34">
          <cell r="V34" t="str">
            <v>計　</v>
          </cell>
        </row>
      </sheetData>
      <sheetData sheetId="9"/>
      <sheetData sheetId="10"/>
      <sheetData sheetId="11"/>
      <sheetData sheetId="12"/>
      <sheetData sheetId="13"/>
      <sheetData sheetId="14"/>
      <sheetData sheetId="15"/>
      <sheetData sheetId="16" refreshError="1"/>
      <sheetData sheetId="17"/>
      <sheetData sheetId="18"/>
      <sheetData sheetId="19" refreshError="1"/>
      <sheetData sheetId="20" refreshError="1"/>
      <sheetData sheetId="21"/>
      <sheetData sheetId="22"/>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定規図"/>
      <sheetName val="総括表"/>
      <sheetName val="土積精算"/>
      <sheetName val="土積表"/>
      <sheetName val="整形集計"/>
      <sheetName val="法面仕上げ"/>
      <sheetName val="内法仕上げ"/>
      <sheetName val="小段仕上げ"/>
      <sheetName val="不陸整正工"/>
      <sheetName val="作業残土処理工"/>
      <sheetName val="横断管渠工"/>
      <sheetName val="横断管当"/>
      <sheetName val="排水工"/>
      <sheetName val="縦断管渠工"/>
      <sheetName val="縦断管延長調書"/>
      <sheetName val="縦断管当"/>
      <sheetName val="桝工"/>
      <sheetName val="桝個所調書"/>
      <sheetName val="桝当"/>
      <sheetName val="路盤工"/>
      <sheetName val="車道路盤工（L）"/>
      <sheetName val="車道路盤工（R)"/>
      <sheetName val="舗装工"/>
      <sheetName val="舗装工（L)"/>
      <sheetName val="舗装工（R)"/>
      <sheetName val="付属施設工"/>
      <sheetName val="縁石"/>
      <sheetName val="縁石当"/>
      <sheetName val="撤去工"/>
      <sheetName val="起点工"/>
      <sheetName val="終点工"/>
      <sheetName val="表紙２"/>
      <sheetName val="工事数量総括表"/>
      <sheetName val="体系化集計"/>
      <sheetName val="体系化集計 (2)"/>
      <sheetName val="作業土工集計"/>
      <sheetName val="平均距離算出"/>
      <sheetName val="土量配分表"/>
      <sheetName val="土積計L側"/>
      <sheetName val="土積計R側"/>
      <sheetName val="法面工"/>
      <sheetName val="不陸整正L側"/>
      <sheetName val="不陸整正R側"/>
      <sheetName val="切土法L側"/>
      <sheetName val="盛土法L側 "/>
      <sheetName val="切土法R側"/>
      <sheetName val="盛土法R側 "/>
      <sheetName val="舗装・路盤集"/>
      <sheetName val="舗装面積L側"/>
      <sheetName val="舗装面積R側"/>
      <sheetName val="路盤工L側 "/>
      <sheetName val="路盤工R側"/>
      <sheetName val="舗装工延長調書"/>
      <sheetName val="横断管渠"/>
      <sheetName val="舗装取壊集"/>
      <sheetName val="取壊延長"/>
      <sheetName val="取付集計表"/>
      <sheetName val="防護柵集"/>
      <sheetName val="防護柵延長"/>
      <sheetName val="防曲線補正"/>
      <sheetName val="導水縁石集"/>
      <sheetName val="導水縁石延長"/>
      <sheetName val="導曲線補正"/>
      <sheetName val="Uトラ集"/>
      <sheetName val="Uトラフ延長"/>
      <sheetName val="U曲線補正"/>
    </sheetNames>
    <sheetDataSet>
      <sheetData sheetId="0">
        <row r="2">
          <cell r="B2" t="str">
            <v>平　成　16　年　度　　　　　　　　　　　　　　　　　　　　　　　　　　　東 幸 町 線　道 路 整 備 実 測 線 調 査 業 務</v>
          </cell>
        </row>
        <row r="3">
          <cell r="B3" t="str">
            <v>区間　SP=268.59～SP=343.89　　　延長　L=75.30m</v>
          </cell>
        </row>
        <row r="5">
          <cell r="B5" t="str">
            <v>レベル　1　名称　：　道 路 改 良</v>
          </cell>
        </row>
        <row r="7">
          <cell r="B7" t="str">
            <v>数　量　計　算　書</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入力画面"/>
      <sheetName val="土積表"/>
      <sheetName val="土積集計表（１）"/>
      <sheetName val="土積集計表（２）"/>
    </sheetNames>
    <sheetDataSet>
      <sheetData sheetId="0"/>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①道路土工"/>
      <sheetName val="②地盤改良工"/>
      <sheetName val="③法面工"/>
      <sheetName val="④擁壁工"/>
      <sheetName val="⑤石･ブロック積(張)工"/>
      <sheetName val="⑥カルバート工"/>
      <sheetName val="⑦排水構造物工"/>
      <sheetName val="⑧路盤工"/>
      <sheetName val="⑨舗装工"/>
      <sheetName val="⑩落石雪害防止工"/>
      <sheetName val="⑭構造物撤去工"/>
      <sheetName val="＿遮音壁工"/>
      <sheetName val="＿軽量盛土工"/>
      <sheetName val="内訳数量表1"/>
      <sheetName val="内訳数量表2"/>
      <sheetName val="内訳数量表3"/>
      <sheetName val="別紙-1"/>
      <sheetName val="別紙-2"/>
      <sheetName val="別紙-3"/>
      <sheetName val="別紙-4"/>
      <sheetName val="別紙-5"/>
      <sheetName val="別紙-6"/>
      <sheetName val="別紙-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比例計算"/>
      <sheetName val="縦断施工高"/>
    </sheetNames>
    <sheetDataSet>
      <sheetData sheetId="0" refreshError="1"/>
      <sheetData sheetId="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738378F-E732-42AB-A596-2B719B90A7F8}">
  <we:reference id="29673e3c-d826-4f00-92ee-162334a52b1a" version="1.0.0.8" store="EXCatalog" storeType="EXCatalog"/>
  <we:alternateReferences>
    <we:reference id="WA200009404" version="1.0.0.8" store="ja-JP" storeType="OMEX"/>
  </we:alternateReferences>
  <we:properties>
    <we:property name="claude.fileId" value="&quot;17eb579f-2301-47ad-99fa-73ce4ae24cf2&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8335-EB87-4DE0-A6C0-1F5246ED0E60}">
  <sheetPr codeName="Sheet3">
    <pageSetUpPr fitToPage="1"/>
  </sheetPr>
  <dimension ref="A1:AP609"/>
  <sheetViews>
    <sheetView tabSelected="1" zoomScaleNormal="100" workbookViewId="0">
      <selection activeCell="G10" sqref="G10:G11"/>
    </sheetView>
  </sheetViews>
  <sheetFormatPr defaultRowHeight="18" x14ac:dyDescent="0.55000000000000004"/>
  <cols>
    <col min="1" max="1" width="3.58203125" style="11" customWidth="1"/>
    <col min="2" max="2" width="1.25" style="11" customWidth="1"/>
    <col min="3" max="3" width="4.58203125" style="11" customWidth="1"/>
    <col min="4" max="4" width="1.25" style="11" customWidth="1"/>
    <col min="5" max="5" width="3.5" style="11" customWidth="1"/>
    <col min="6" max="6" width="4.08203125" style="11" customWidth="1"/>
    <col min="7" max="8" width="3.08203125" style="11" customWidth="1"/>
    <col min="9" max="9" width="4.08203125" style="11" customWidth="1"/>
    <col min="10" max="10" width="3.08203125" style="5" customWidth="1"/>
    <col min="11" max="11" width="3.5" style="5" customWidth="1"/>
    <col min="12" max="12" width="5.08203125" style="11" bestFit="1" customWidth="1"/>
    <col min="13" max="14" width="5" style="11" customWidth="1"/>
    <col min="15" max="15" width="4.08203125" style="11" customWidth="1"/>
    <col min="16" max="16" width="2.75" style="11" bestFit="1" customWidth="1"/>
    <col min="17" max="17" width="4.08203125" style="11" customWidth="1"/>
    <col min="18" max="18" width="3.08203125" style="5" customWidth="1"/>
    <col min="19" max="19" width="2.58203125" style="11" customWidth="1"/>
    <col min="20" max="20" width="1.25" style="11" customWidth="1"/>
    <col min="21" max="21" width="7.83203125" style="11" customWidth="1"/>
    <col min="22" max="22" width="1.25" style="11" customWidth="1"/>
    <col min="23" max="23" width="3.5" style="11" customWidth="1"/>
    <col min="24" max="24" width="4.08203125" style="40" customWidth="1"/>
    <col min="25" max="25" width="4.08203125" style="11" customWidth="1"/>
    <col min="26" max="26" width="5.08203125" style="11" customWidth="1"/>
    <col min="27" max="27" width="3.08203125" style="5" customWidth="1"/>
    <col min="28" max="28" width="3.5" style="5" customWidth="1"/>
    <col min="29" max="29" width="4.5" style="11" customWidth="1"/>
    <col min="30" max="31" width="5.08203125" style="11" customWidth="1"/>
    <col min="32" max="32" width="5.25" style="11" customWidth="1"/>
    <col min="33" max="33" width="4.58203125" style="11" customWidth="1"/>
    <col min="34" max="34" width="6.33203125" style="11" bestFit="1" customWidth="1"/>
    <col min="35" max="35" width="4.58203125" style="11" customWidth="1"/>
    <col min="36" max="36" width="5.25" style="11" customWidth="1"/>
    <col min="37" max="37" width="3" style="5" customWidth="1"/>
    <col min="38" max="39" width="3.58203125" style="5" customWidth="1"/>
    <col min="40" max="42" width="9" style="5"/>
  </cols>
  <sheetData>
    <row r="1" spans="1:42" ht="19" x14ac:dyDescent="0.55000000000000004">
      <c r="A1" s="1" t="s">
        <v>0</v>
      </c>
      <c r="B1" s="2"/>
      <c r="C1" s="2"/>
      <c r="D1" s="2"/>
      <c r="E1" s="2"/>
      <c r="F1" s="1"/>
      <c r="G1" s="1"/>
      <c r="H1" s="1"/>
      <c r="I1" s="1"/>
      <c r="J1" s="1"/>
      <c r="K1" s="1"/>
      <c r="L1" s="1"/>
      <c r="M1" s="1"/>
      <c r="N1" s="1"/>
      <c r="O1" s="2"/>
      <c r="P1" s="2"/>
      <c r="Q1" s="2"/>
      <c r="R1" s="2"/>
      <c r="S1" s="3"/>
      <c r="T1" s="3"/>
      <c r="U1" s="3"/>
      <c r="V1" s="3"/>
      <c r="W1" s="3"/>
      <c r="X1" s="4"/>
      <c r="Y1" s="3"/>
      <c r="Z1" s="3"/>
      <c r="AA1" s="3"/>
      <c r="AB1" s="3"/>
      <c r="AC1" s="3"/>
      <c r="AD1" s="3"/>
      <c r="AE1" s="3"/>
      <c r="AF1" s="3"/>
      <c r="AG1" s="3"/>
      <c r="AH1" s="3"/>
      <c r="AI1" s="3"/>
      <c r="AJ1" s="3"/>
      <c r="AK1" s="3"/>
    </row>
    <row r="2" spans="1:42" ht="6" customHeight="1" x14ac:dyDescent="0.55000000000000004">
      <c r="A2" s="6"/>
      <c r="B2" s="7"/>
      <c r="C2" s="7"/>
      <c r="D2" s="7"/>
      <c r="E2" s="7"/>
      <c r="F2" s="7"/>
      <c r="G2" s="7"/>
      <c r="H2" s="7"/>
      <c r="I2" s="7"/>
      <c r="J2" s="8"/>
      <c r="K2" s="8"/>
      <c r="L2" s="7"/>
      <c r="M2" s="7"/>
      <c r="N2" s="7"/>
      <c r="O2" s="7"/>
      <c r="P2" s="7"/>
      <c r="Q2" s="7"/>
      <c r="R2" s="9"/>
      <c r="S2" s="5"/>
      <c r="T2" s="5"/>
      <c r="U2" s="5"/>
      <c r="V2" s="5"/>
      <c r="W2" s="5"/>
      <c r="X2" s="10"/>
      <c r="Y2" s="5"/>
      <c r="Z2" s="5"/>
      <c r="AC2" s="5"/>
      <c r="AD2" s="5"/>
      <c r="AE2" s="5"/>
      <c r="AF2" s="5"/>
      <c r="AG2" s="5"/>
      <c r="AH2" s="5"/>
      <c r="AI2" s="5"/>
      <c r="AJ2" s="5"/>
    </row>
    <row r="3" spans="1:42" ht="15" customHeight="1" x14ac:dyDescent="0.55000000000000004">
      <c r="A3" s="76" t="s">
        <v>1</v>
      </c>
      <c r="B3" s="77"/>
      <c r="C3" s="77"/>
      <c r="D3" s="77"/>
      <c r="E3" s="102"/>
      <c r="F3" s="103"/>
      <c r="G3" s="103"/>
      <c r="J3" s="76" t="s">
        <v>2</v>
      </c>
      <c r="K3" s="78"/>
      <c r="L3" s="78"/>
      <c r="M3" s="104"/>
      <c r="N3" s="104"/>
      <c r="O3" s="103"/>
      <c r="S3" s="13" t="s">
        <v>3</v>
      </c>
      <c r="U3" s="105"/>
      <c r="W3" s="79" t="s">
        <v>4</v>
      </c>
      <c r="X3" s="78"/>
      <c r="Y3" s="12"/>
      <c r="Z3" s="5"/>
      <c r="AA3" s="76">
        <f>ROUND(U3/8.64,3)</f>
        <v>0</v>
      </c>
      <c r="AB3" s="78"/>
      <c r="AC3" s="14" t="s">
        <v>5</v>
      </c>
      <c r="AF3" s="5"/>
      <c r="AH3" s="13" t="s">
        <v>6</v>
      </c>
      <c r="AI3" s="15" t="s">
        <v>7</v>
      </c>
      <c r="AJ3" s="105"/>
      <c r="AK3" s="15" t="s">
        <v>8</v>
      </c>
    </row>
    <row r="4" spans="1:42" ht="12.75" customHeight="1" x14ac:dyDescent="0.55000000000000004">
      <c r="A4" s="6"/>
      <c r="S4" s="6"/>
      <c r="T4" s="6"/>
      <c r="U4" s="6"/>
      <c r="V4" s="6"/>
      <c r="W4" s="6"/>
      <c r="X4" s="16"/>
      <c r="Y4" s="6"/>
      <c r="Z4" s="6"/>
      <c r="AA4" s="17"/>
      <c r="AB4" s="17"/>
      <c r="AC4" s="6"/>
      <c r="AD4" s="6"/>
      <c r="AE4" s="6"/>
      <c r="AF4" s="6"/>
      <c r="AG4" s="6"/>
      <c r="AH4" s="6"/>
      <c r="AI4" s="6"/>
      <c r="AJ4" s="6"/>
      <c r="AK4" s="17"/>
    </row>
    <row r="5" spans="1:42" ht="15.75" customHeight="1" x14ac:dyDescent="0.55000000000000004">
      <c r="A5" s="66" t="s">
        <v>9</v>
      </c>
      <c r="B5" s="67"/>
      <c r="C5" s="67"/>
      <c r="D5" s="67"/>
      <c r="E5" s="67"/>
      <c r="F5" s="67"/>
      <c r="G5" s="67"/>
      <c r="H5" s="67"/>
      <c r="I5" s="67"/>
      <c r="J5" s="67"/>
      <c r="K5" s="67"/>
      <c r="L5" s="67"/>
      <c r="M5" s="67"/>
      <c r="N5" s="67"/>
      <c r="O5" s="67"/>
      <c r="P5" s="67"/>
      <c r="Q5" s="67"/>
      <c r="R5" s="67"/>
      <c r="S5" s="68" t="s">
        <v>10</v>
      </c>
      <c r="T5" s="68"/>
      <c r="U5" s="68"/>
      <c r="V5" s="68"/>
      <c r="W5" s="68"/>
      <c r="X5" s="68"/>
      <c r="Y5" s="68"/>
      <c r="Z5" s="68"/>
      <c r="AA5" s="68"/>
      <c r="AB5" s="68"/>
      <c r="AC5" s="68"/>
      <c r="AD5" s="68"/>
      <c r="AE5" s="68"/>
      <c r="AF5" s="68"/>
      <c r="AG5" s="68"/>
      <c r="AH5" s="68"/>
      <c r="AI5" s="68"/>
      <c r="AJ5" s="68"/>
      <c r="AK5" s="69"/>
      <c r="AN5" s="18" t="s">
        <v>11</v>
      </c>
      <c r="AO5" s="18" t="s">
        <v>12</v>
      </c>
      <c r="AP5" s="18" t="s">
        <v>13</v>
      </c>
    </row>
    <row r="6" spans="1:42" x14ac:dyDescent="0.55000000000000004">
      <c r="A6" s="63" t="s">
        <v>14</v>
      </c>
      <c r="B6" s="63" t="s">
        <v>15</v>
      </c>
      <c r="C6" s="70"/>
      <c r="D6" s="70"/>
      <c r="E6" s="20" t="s">
        <v>16</v>
      </c>
      <c r="F6" s="63" t="s">
        <v>17</v>
      </c>
      <c r="G6" s="63"/>
      <c r="H6" s="63"/>
      <c r="I6" s="63"/>
      <c r="J6" s="63" t="s">
        <v>18</v>
      </c>
      <c r="K6" s="63"/>
      <c r="L6" s="64" t="s">
        <v>19</v>
      </c>
      <c r="M6" s="20" t="s">
        <v>20</v>
      </c>
      <c r="N6" s="20" t="s">
        <v>21</v>
      </c>
      <c r="O6" s="22" t="s">
        <v>22</v>
      </c>
      <c r="P6" s="20" t="s">
        <v>23</v>
      </c>
      <c r="Q6" s="22" t="s">
        <v>24</v>
      </c>
      <c r="R6" s="71" t="s">
        <v>25</v>
      </c>
      <c r="S6" s="23" t="s">
        <v>26</v>
      </c>
      <c r="T6" s="63" t="s">
        <v>15</v>
      </c>
      <c r="U6" s="70"/>
      <c r="V6" s="70"/>
      <c r="W6" s="20" t="s">
        <v>16</v>
      </c>
      <c r="X6" s="73" t="s">
        <v>27</v>
      </c>
      <c r="Y6" s="74"/>
      <c r="Z6" s="75"/>
      <c r="AA6" s="63" t="s">
        <v>18</v>
      </c>
      <c r="AB6" s="63"/>
      <c r="AC6" s="64" t="s">
        <v>19</v>
      </c>
      <c r="AD6" s="20" t="s">
        <v>20</v>
      </c>
      <c r="AE6" s="20" t="s">
        <v>21</v>
      </c>
      <c r="AF6" s="22" t="s">
        <v>28</v>
      </c>
      <c r="AG6" s="22" t="s">
        <v>22</v>
      </c>
      <c r="AH6" s="20" t="s">
        <v>23</v>
      </c>
      <c r="AI6" s="22" t="s">
        <v>24</v>
      </c>
      <c r="AJ6" s="22" t="s">
        <v>29</v>
      </c>
      <c r="AK6" s="64" t="s">
        <v>25</v>
      </c>
      <c r="AL6" s="11"/>
      <c r="AM6" s="11"/>
      <c r="AN6" s="18">
        <v>2</v>
      </c>
      <c r="AO6" s="24" t="s">
        <v>30</v>
      </c>
      <c r="AP6" s="18">
        <v>2</v>
      </c>
    </row>
    <row r="7" spans="1:42" ht="21" customHeight="1" x14ac:dyDescent="0.55000000000000004">
      <c r="A7" s="63"/>
      <c r="B7" s="70"/>
      <c r="C7" s="70"/>
      <c r="D7" s="70"/>
      <c r="E7" s="25" t="s">
        <v>31</v>
      </c>
      <c r="F7" s="21" t="s">
        <v>32</v>
      </c>
      <c r="G7" s="21" t="s">
        <v>33</v>
      </c>
      <c r="H7" s="21" t="s">
        <v>34</v>
      </c>
      <c r="I7" s="19" t="s">
        <v>35</v>
      </c>
      <c r="J7" s="63"/>
      <c r="K7" s="63"/>
      <c r="L7" s="63"/>
      <c r="M7" s="25" t="s">
        <v>36</v>
      </c>
      <c r="N7" s="25" t="s">
        <v>37</v>
      </c>
      <c r="O7" s="25" t="s">
        <v>38</v>
      </c>
      <c r="P7" s="25" t="s">
        <v>39</v>
      </c>
      <c r="Q7" s="25" t="s">
        <v>38</v>
      </c>
      <c r="R7" s="72"/>
      <c r="S7" s="26" t="s">
        <v>40</v>
      </c>
      <c r="T7" s="70"/>
      <c r="U7" s="70"/>
      <c r="V7" s="70"/>
      <c r="W7" s="25" t="s">
        <v>31</v>
      </c>
      <c r="X7" s="27" t="s">
        <v>32</v>
      </c>
      <c r="Y7" s="21" t="s">
        <v>41</v>
      </c>
      <c r="Z7" s="21" t="s">
        <v>42</v>
      </c>
      <c r="AA7" s="63"/>
      <c r="AB7" s="63"/>
      <c r="AC7" s="63"/>
      <c r="AD7" s="25" t="s">
        <v>36</v>
      </c>
      <c r="AE7" s="25" t="s">
        <v>37</v>
      </c>
      <c r="AF7" s="25" t="s">
        <v>43</v>
      </c>
      <c r="AG7" s="25" t="s">
        <v>38</v>
      </c>
      <c r="AH7" s="25" t="s">
        <v>39</v>
      </c>
      <c r="AI7" s="25" t="s">
        <v>38</v>
      </c>
      <c r="AJ7" s="25" t="s">
        <v>43</v>
      </c>
      <c r="AK7" s="63"/>
      <c r="AL7" s="11"/>
      <c r="AM7" s="11"/>
      <c r="AN7" s="65" t="s">
        <v>44</v>
      </c>
      <c r="AO7" s="65"/>
      <c r="AP7" s="65"/>
    </row>
    <row r="8" spans="1:42" ht="15.75" customHeight="1" x14ac:dyDescent="0.15">
      <c r="A8" s="80"/>
      <c r="B8" s="81">
        <v>2</v>
      </c>
      <c r="C8" s="58" t="str">
        <f t="shared" ref="C8:C18" si="0">IF(A8="","",IF(B8=1,"素　焼土　管",IF(B8=2,"合　成樹脂管",IF(B8=3,"無孔管",""))))</f>
        <v/>
      </c>
      <c r="D8" s="60"/>
      <c r="E8" s="82"/>
      <c r="F8" s="83"/>
      <c r="G8" s="83"/>
      <c r="H8" s="84"/>
      <c r="I8" s="53" t="str">
        <f t="shared" ref="I8" si="1">IF(A8="","",F8-G8+H8)</f>
        <v/>
      </c>
      <c r="J8" s="55" t="str">
        <f t="shared" ref="J8" si="2">IF(A8="",""," 1/")</f>
        <v/>
      </c>
      <c r="K8" s="85"/>
      <c r="L8" s="56" t="str">
        <f t="shared" ref="L8" si="3">IF(A8="","",IF(B8=1,0.013,0.012))</f>
        <v/>
      </c>
      <c r="M8" s="47" t="str">
        <f t="shared" ref="M8" si="4">IF(A8="","",(1/L8*(E8/100/2)^(8/3)*(1/K8*100)^(1/2)*1.65696)*100)</f>
        <v/>
      </c>
      <c r="N8" s="47" t="str">
        <f t="shared" ref="N8" si="5">IF(A8="","",1/L8*(E8/100/2)^(2/3)*(1/K8)^(1/2)*0.70541)</f>
        <v/>
      </c>
      <c r="O8" s="48" t="str">
        <f t="shared" ref="O8" si="6">IF(A8="","",ROUNDDOWN(M8/($U$3/8.64)*10000/$AJ$3,0))</f>
        <v/>
      </c>
      <c r="P8" s="49" t="str">
        <f t="shared" ref="P8" si="7">IF(A8="","",IF(O8&gt;Q8,"＞","＜"))</f>
        <v/>
      </c>
      <c r="Q8" s="48" t="str">
        <f t="shared" ref="Q8" si="8">IF(A8="","",I8)</f>
        <v/>
      </c>
      <c r="R8" s="51" t="str">
        <f t="shared" ref="R8" si="9">IF(A8="","",IF(P8="＞","OK","NG"))</f>
        <v/>
      </c>
      <c r="S8" s="86"/>
      <c r="T8" s="87"/>
      <c r="U8" s="28" t="str">
        <f t="shared" ref="U8" si="10">IF(S8="","",IF(T8=1,"素焼土管",IF(T8=2,"合成樹脂管",IF(T8=3,"無孔管",""))))</f>
        <v/>
      </c>
      <c r="V8" s="29"/>
      <c r="W8" s="88"/>
      <c r="X8" s="89"/>
      <c r="Y8" s="90"/>
      <c r="Z8" s="41" t="str">
        <f t="shared" ref="Z8" si="11">IF(S8="","",IF(AND(T9=3,I8=""),Z6+Y8,IF(AND(Z6="",I6=""),I8+Y8,IF(AND(T9=3,I8&gt;0,Z6&gt;0),I8+Z6+Y8,IF(Z6="",I6+I8+X8+Y8,IF(I8="",Z6+X8+Y8,Z6+I8+X8+Y8))))))</f>
        <v/>
      </c>
      <c r="AA8" s="45" t="str">
        <f t="shared" ref="AA8" si="12">IF(AB8="",""," 1/")</f>
        <v/>
      </c>
      <c r="AB8" s="91"/>
      <c r="AC8" s="30" t="str">
        <f t="shared" ref="AC8" si="13">IF(S8="","",IF(T8="","",IF(T8=1,0.013,0.012)))</f>
        <v/>
      </c>
      <c r="AD8" s="31" t="str">
        <f t="shared" ref="AD8" si="14">IF(S8="","",IF(T8="","",(1/AC8*(W8/100/2)^(8/3)*(1/AB8*100)^(1/2)*1.65696)*100))</f>
        <v/>
      </c>
      <c r="AE8" s="31" t="str">
        <f t="shared" ref="AE8" si="15">IF(S8="","",IF(T8="","",1/AC8*(W8/100/2)^(2/3)*(1/AB8)^(1/2)*0.70541))</f>
        <v/>
      </c>
      <c r="AF8" s="31" t="str">
        <f t="shared" ref="AF8" si="16">IF(S8="","",IF(T8="","",ROUNDDOWN(AD8/($U$3/8.64),3)))</f>
        <v/>
      </c>
      <c r="AG8" s="32" t="str">
        <f t="shared" ref="AG8" si="17">IF(S8="","",IF(T8="","",ROUNDDOWN(AF8*10000/$AJ$3,0)))</f>
        <v/>
      </c>
      <c r="AH8" s="33" t="str">
        <f t="shared" ref="AH8" si="18">IF(S8="","",IF(T8="","",IF(AG8&gt;AI8,"＞","＜")))</f>
        <v/>
      </c>
      <c r="AI8" s="41" t="str">
        <f t="shared" ref="AI8" si="19">IF(S8="","",Z8)</f>
        <v/>
      </c>
      <c r="AJ8" s="43" t="str">
        <f t="shared" ref="AJ8" si="20">IF(S8="","",AI8*$AJ$3/10000)</f>
        <v/>
      </c>
      <c r="AK8" s="33" t="str">
        <f t="shared" ref="AK8" si="21">IF(S8="","",IF(T8="","",IF(AND(T8=1,AE8&gt;1),"NG",IF(AH8="＞","OK","NG"))))</f>
        <v/>
      </c>
    </row>
    <row r="9" spans="1:42" ht="15.75" customHeight="1" x14ac:dyDescent="0.15">
      <c r="A9" s="92"/>
      <c r="B9" s="93"/>
      <c r="C9" s="59"/>
      <c r="D9" s="61"/>
      <c r="E9" s="94"/>
      <c r="F9" s="95"/>
      <c r="G9" s="95"/>
      <c r="H9" s="96"/>
      <c r="I9" s="54"/>
      <c r="J9" s="46"/>
      <c r="K9" s="97"/>
      <c r="L9" s="57"/>
      <c r="M9" s="44"/>
      <c r="N9" s="44"/>
      <c r="O9" s="42"/>
      <c r="P9" s="50"/>
      <c r="Q9" s="42"/>
      <c r="R9" s="52"/>
      <c r="S9" s="98"/>
      <c r="T9" s="99"/>
      <c r="U9" s="34" t="str">
        <f t="shared" ref="U9" si="22">IF(S8="","",IF(T8=T9,"〃",IF(T9=1,"素焼土管",IF(T9=2,"合成樹脂管",IF(T9=3,"無孔管","")))))</f>
        <v/>
      </c>
      <c r="V9" s="35"/>
      <c r="W9" s="100"/>
      <c r="X9" s="101"/>
      <c r="Y9" s="95"/>
      <c r="Z9" s="42"/>
      <c r="AA9" s="46"/>
      <c r="AB9" s="97"/>
      <c r="AC9" s="36" t="str">
        <f t="shared" ref="AC9" si="23">IF(S8="","",IF(T9=1,0.013,0.012))</f>
        <v/>
      </c>
      <c r="AD9" s="37" t="str">
        <f t="shared" ref="AD9" si="24">IF(S8="","",(1/AC9*(W9/100/2)^(8/3)*(1/AB8*100)^(1/2)*1.65696)*100)</f>
        <v/>
      </c>
      <c r="AE9" s="37" t="str">
        <f t="shared" ref="AE9" si="25">IF(S8="","",1/AC9*(W9/100/2)^(2/3)*(1/AB8)^(1/2)*0.70541)</f>
        <v/>
      </c>
      <c r="AF9" s="37" t="str">
        <f t="shared" ref="AF9" si="26">IF(S8="","",ROUNDDOWN(AD9/($U$3/8.64),3))</f>
        <v/>
      </c>
      <c r="AG9" s="38" t="str">
        <f t="shared" ref="AG9" si="27">IF(S8="","",ROUNDDOWN(AF9*10000/$AJ$3,0))</f>
        <v/>
      </c>
      <c r="AH9" s="39" t="str">
        <f t="shared" ref="AH9" si="28">IF(S8="","",IF(AG9&gt;AI8,"＞",IF(AG9=AI8,"=","＜")))</f>
        <v/>
      </c>
      <c r="AI9" s="42"/>
      <c r="AJ9" s="44"/>
      <c r="AK9" s="39" t="str">
        <f t="shared" ref="AK9" si="29">IF(S8="","",IF(AND(T9=1,AE9&gt;1),"NG",IF(AH9="＞","OK","NG")))</f>
        <v/>
      </c>
    </row>
    <row r="10" spans="1:42" ht="15.75" customHeight="1" x14ac:dyDescent="0.15">
      <c r="A10" s="80"/>
      <c r="B10" s="81">
        <v>2</v>
      </c>
      <c r="C10" s="58" t="str">
        <f t="shared" si="0"/>
        <v/>
      </c>
      <c r="D10" s="60"/>
      <c r="E10" s="82"/>
      <c r="F10" s="83"/>
      <c r="G10" s="83"/>
      <c r="H10" s="84"/>
      <c r="I10" s="53" t="str">
        <f t="shared" ref="I10" si="30">IF(A10="","",F10-G10+H10)</f>
        <v/>
      </c>
      <c r="J10" s="55" t="str">
        <f t="shared" ref="J10" si="31">IF(A10="",""," 1/")</f>
        <v/>
      </c>
      <c r="K10" s="85"/>
      <c r="L10" s="56" t="str">
        <f t="shared" ref="L10" si="32">IF(A10="","",IF(B10=1,0.013,0.012))</f>
        <v/>
      </c>
      <c r="M10" s="47" t="str">
        <f t="shared" ref="M10" si="33">IF(A10="","",(1/L10*(E10/100/2)^(8/3)*(1/K10*100)^(1/2)*1.65696)*100)</f>
        <v/>
      </c>
      <c r="N10" s="47" t="str">
        <f t="shared" ref="N10" si="34">IF(A10="","",1/L10*(E10/100/2)^(2/3)*(1/K10)^(1/2)*0.70541)</f>
        <v/>
      </c>
      <c r="O10" s="48" t="str">
        <f t="shared" ref="O10" si="35">IF(A10="","",ROUNDDOWN(M10/($U$3/8.64)*10000/$AJ$3,0))</f>
        <v/>
      </c>
      <c r="P10" s="49" t="str">
        <f t="shared" ref="P10" si="36">IF(A10="","",IF(O10&gt;Q10,"＞","＜"))</f>
        <v/>
      </c>
      <c r="Q10" s="48" t="str">
        <f t="shared" ref="Q10" si="37">IF(A10="","",I10)</f>
        <v/>
      </c>
      <c r="R10" s="51" t="str">
        <f t="shared" ref="R10" si="38">IF(A10="","",IF(P10="＞","OK","NG"))</f>
        <v/>
      </c>
      <c r="S10" s="86"/>
      <c r="T10" s="87"/>
      <c r="U10" s="28" t="str">
        <f t="shared" ref="U10" si="39">IF(S10="","",IF(T10=1,"素焼土管",IF(T10=2,"合成樹脂管",IF(T10=3,"無孔管",""))))</f>
        <v/>
      </c>
      <c r="V10" s="29"/>
      <c r="W10" s="88"/>
      <c r="X10" s="89"/>
      <c r="Y10" s="90"/>
      <c r="Z10" s="41" t="str">
        <f t="shared" ref="Z10" si="40">IF(S10="","",IF(AND(T11=3,I10=""),Z8+Y10,IF(AND(Z8="",I8=""),I10+Y10,IF(AND(T11=3,I10&gt;0,Z8&gt;0),I10+Z8+Y10,IF(Z8="",I8+I10+X10+Y10,IF(I10="",Z8+X10+Y10,Z8+I10+X10+Y10))))))</f>
        <v/>
      </c>
      <c r="AA10" s="45" t="str">
        <f t="shared" ref="AA10" si="41">IF(AB10="",""," 1/")</f>
        <v/>
      </c>
      <c r="AB10" s="91"/>
      <c r="AC10" s="30" t="str">
        <f t="shared" ref="AC10" si="42">IF(S10="","",IF(T10="","",IF(T10=1,0.013,0.012)))</f>
        <v/>
      </c>
      <c r="AD10" s="31" t="str">
        <f t="shared" ref="AD10" si="43">IF(S10="","",IF(T10="","",(1/AC10*(W10/100/2)^(8/3)*(1/AB10*100)^(1/2)*1.65696)*100))</f>
        <v/>
      </c>
      <c r="AE10" s="31" t="str">
        <f t="shared" ref="AE10" si="44">IF(S10="","",IF(T10="","",1/AC10*(W10/100/2)^(2/3)*(1/AB10)^(1/2)*0.70541))</f>
        <v/>
      </c>
      <c r="AF10" s="31" t="str">
        <f t="shared" ref="AF10" si="45">IF(S10="","",IF(T10="","",ROUNDDOWN(AD10/($U$3/8.64),3)))</f>
        <v/>
      </c>
      <c r="AG10" s="32" t="str">
        <f t="shared" ref="AG10" si="46">IF(S10="","",IF(T10="","",ROUNDDOWN(AF10*10000/$AJ$3,0)))</f>
        <v/>
      </c>
      <c r="AH10" s="33" t="str">
        <f t="shared" ref="AH10" si="47">IF(S10="","",IF(T10="","",IF(AG10&gt;AI10,"＞","＜")))</f>
        <v/>
      </c>
      <c r="AI10" s="41" t="str">
        <f t="shared" ref="AI10" si="48">IF(S10="","",Z10)</f>
        <v/>
      </c>
      <c r="AJ10" s="43" t="str">
        <f t="shared" ref="AJ10" si="49">IF(S10="","",AI10*$AJ$3/10000)</f>
        <v/>
      </c>
      <c r="AK10" s="33" t="str">
        <f t="shared" ref="AK10" si="50">IF(S10="","",IF(T10="","",IF(AND(T10=1,AE10&gt;1),"NG",IF(AH10="＞","OK","NG"))))</f>
        <v/>
      </c>
    </row>
    <row r="11" spans="1:42" ht="15.75" customHeight="1" x14ac:dyDescent="0.15">
      <c r="A11" s="92"/>
      <c r="B11" s="93"/>
      <c r="C11" s="59"/>
      <c r="D11" s="61"/>
      <c r="E11" s="94"/>
      <c r="F11" s="95"/>
      <c r="G11" s="95"/>
      <c r="H11" s="96"/>
      <c r="I11" s="54"/>
      <c r="J11" s="46"/>
      <c r="K11" s="97"/>
      <c r="L11" s="57"/>
      <c r="M11" s="44"/>
      <c r="N11" s="44"/>
      <c r="O11" s="42"/>
      <c r="P11" s="50"/>
      <c r="Q11" s="42"/>
      <c r="R11" s="52"/>
      <c r="S11" s="98"/>
      <c r="T11" s="99">
        <v>2</v>
      </c>
      <c r="U11" s="34" t="str">
        <f t="shared" ref="U11" si="51">IF(S10="","",IF(T10=T11,"〃",IF(T11=1,"素焼土管",IF(T11=2,"合成樹脂管",IF(T11=3,"無孔管","")))))</f>
        <v/>
      </c>
      <c r="V11" s="35"/>
      <c r="W11" s="100"/>
      <c r="X11" s="101"/>
      <c r="Y11" s="95"/>
      <c r="Z11" s="42"/>
      <c r="AA11" s="46"/>
      <c r="AB11" s="97"/>
      <c r="AC11" s="36" t="str">
        <f t="shared" ref="AC11" si="52">IF(S10="","",IF(T11=1,0.013,0.012))</f>
        <v/>
      </c>
      <c r="AD11" s="37" t="str">
        <f t="shared" ref="AD11" si="53">IF(S10="","",(1/AC11*(W11/100/2)^(8/3)*(1/AB10*100)^(1/2)*1.65696)*100)</f>
        <v/>
      </c>
      <c r="AE11" s="37" t="str">
        <f t="shared" ref="AE11" si="54">IF(S10="","",1/AC11*(W11/100/2)^(2/3)*(1/AB10)^(1/2)*0.70541)</f>
        <v/>
      </c>
      <c r="AF11" s="37" t="str">
        <f t="shared" ref="AF11" si="55">IF(S10="","",ROUNDDOWN(AD11/($U$3/8.64),3))</f>
        <v/>
      </c>
      <c r="AG11" s="38" t="str">
        <f t="shared" ref="AG11" si="56">IF(S10="","",ROUNDDOWN(AF11*10000/$AJ$3,0))</f>
        <v/>
      </c>
      <c r="AH11" s="39" t="str">
        <f t="shared" ref="AH11" si="57">IF(S10="","",IF(AG11&gt;AI10,"＞",IF(AG11=AI10,"=","＜")))</f>
        <v/>
      </c>
      <c r="AI11" s="42"/>
      <c r="AJ11" s="44"/>
      <c r="AK11" s="39" t="str">
        <f t="shared" ref="AK11" si="58">IF(S10="","",IF(AND(T11=1,AE11&gt;1),"NG",IF(AH11="＞","OK","NG")))</f>
        <v/>
      </c>
    </row>
    <row r="12" spans="1:42" ht="15.75" customHeight="1" x14ac:dyDescent="0.15">
      <c r="A12" s="80"/>
      <c r="B12" s="81">
        <v>2</v>
      </c>
      <c r="C12" s="58" t="str">
        <f t="shared" si="0"/>
        <v/>
      </c>
      <c r="D12" s="60"/>
      <c r="E12" s="82"/>
      <c r="F12" s="83"/>
      <c r="G12" s="83"/>
      <c r="H12" s="84"/>
      <c r="I12" s="53" t="str">
        <f t="shared" ref="I12" si="59">IF(A12="","",F12-G12+H12)</f>
        <v/>
      </c>
      <c r="J12" s="55" t="str">
        <f t="shared" ref="J12" si="60">IF(A12="",""," 1/")</f>
        <v/>
      </c>
      <c r="K12" s="85"/>
      <c r="L12" s="56" t="str">
        <f t="shared" ref="L12" si="61">IF(A12="","",IF(B12=1,0.013,0.012))</f>
        <v/>
      </c>
      <c r="M12" s="47" t="str">
        <f t="shared" ref="M12" si="62">IF(A12="","",(1/L12*(E12/100/2)^(8/3)*(1/K12*100)^(1/2)*1.65696)*100)</f>
        <v/>
      </c>
      <c r="N12" s="47" t="str">
        <f t="shared" ref="N12" si="63">IF(A12="","",1/L12*(E12/100/2)^(2/3)*(1/K12)^(1/2)*0.70541)</f>
        <v/>
      </c>
      <c r="O12" s="48" t="str">
        <f t="shared" ref="O12" si="64">IF(A12="","",ROUNDDOWN(M12/($U$3/8.64)*10000/$AJ$3,0))</f>
        <v/>
      </c>
      <c r="P12" s="49" t="str">
        <f t="shared" ref="P12" si="65">IF(A12="","",IF(O12&gt;Q12,"＞","＜"))</f>
        <v/>
      </c>
      <c r="Q12" s="48" t="str">
        <f t="shared" ref="Q12" si="66">IF(A12="","",I12)</f>
        <v/>
      </c>
      <c r="R12" s="51" t="str">
        <f t="shared" ref="R12" si="67">IF(A12="","",IF(P12="＞","OK","NG"))</f>
        <v/>
      </c>
      <c r="S12" s="86"/>
      <c r="T12" s="87"/>
      <c r="U12" s="28" t="str">
        <f t="shared" ref="U12" si="68">IF(S12="","",IF(T12=1,"素焼土管",IF(T12=2,"合成樹脂管",IF(T12=3,"無孔管",""))))</f>
        <v/>
      </c>
      <c r="V12" s="29"/>
      <c r="W12" s="88"/>
      <c r="X12" s="89"/>
      <c r="Y12" s="90"/>
      <c r="Z12" s="41" t="str">
        <f t="shared" ref="Z12" si="69">IF(S12="","",IF(AND(T13=3,I12=""),Z10+Y12,IF(AND(Z10="",I10=""),I12+Y12,IF(AND(T13=3,I12&gt;0,Z10&gt;0),I12+Z10+Y12,IF(Z10="",I10+I12+X12+Y12,IF(I12="",Z10+X12+Y12,Z10+I12+X12+Y12))))))</f>
        <v/>
      </c>
      <c r="AA12" s="45" t="str">
        <f t="shared" ref="AA12" si="70">IF(AB12="",""," 1/")</f>
        <v/>
      </c>
      <c r="AB12" s="91"/>
      <c r="AC12" s="30" t="str">
        <f t="shared" ref="AC12" si="71">IF(S12="","",IF(T12="","",IF(T12=1,0.013,0.012)))</f>
        <v/>
      </c>
      <c r="AD12" s="31" t="str">
        <f t="shared" ref="AD12" si="72">IF(S12="","",IF(T12="","",(1/AC12*(W12/100/2)^(8/3)*(1/AB12*100)^(1/2)*1.65696)*100))</f>
        <v/>
      </c>
      <c r="AE12" s="31" t="str">
        <f t="shared" ref="AE12" si="73">IF(S12="","",IF(T12="","",1/AC12*(W12/100/2)^(2/3)*(1/AB12)^(1/2)*0.70541))</f>
        <v/>
      </c>
      <c r="AF12" s="31" t="str">
        <f t="shared" ref="AF12" si="74">IF(S12="","",IF(T12="","",ROUNDDOWN(AD12/($U$3/8.64),3)))</f>
        <v/>
      </c>
      <c r="AG12" s="32" t="str">
        <f t="shared" ref="AG12" si="75">IF(S12="","",IF(T12="","",ROUNDDOWN(AF12*10000/$AJ$3,0)))</f>
        <v/>
      </c>
      <c r="AH12" s="33" t="str">
        <f t="shared" ref="AH12" si="76">IF(S12="","",IF(T12="","",IF(AG12&gt;AI12,"＞","＜")))</f>
        <v/>
      </c>
      <c r="AI12" s="41" t="str">
        <f t="shared" ref="AI12" si="77">IF(S12="","",Z12)</f>
        <v/>
      </c>
      <c r="AJ12" s="43" t="str">
        <f t="shared" ref="AJ12" si="78">IF(S12="","",AI12*$AJ$3/10000)</f>
        <v/>
      </c>
      <c r="AK12" s="33" t="str">
        <f t="shared" ref="AK12" si="79">IF(S12="","",IF(T12="","",IF(AND(T12=1,AE12&gt;1),"NG",IF(AH12="＞","OK","NG"))))</f>
        <v/>
      </c>
    </row>
    <row r="13" spans="1:42" ht="15.75" customHeight="1" x14ac:dyDescent="0.15">
      <c r="A13" s="92"/>
      <c r="B13" s="93"/>
      <c r="C13" s="59"/>
      <c r="D13" s="61"/>
      <c r="E13" s="94"/>
      <c r="F13" s="95"/>
      <c r="G13" s="95"/>
      <c r="H13" s="96"/>
      <c r="I13" s="54"/>
      <c r="J13" s="46"/>
      <c r="K13" s="97"/>
      <c r="L13" s="57"/>
      <c r="M13" s="44"/>
      <c r="N13" s="44"/>
      <c r="O13" s="42"/>
      <c r="P13" s="50"/>
      <c r="Q13" s="42"/>
      <c r="R13" s="52"/>
      <c r="S13" s="98"/>
      <c r="T13" s="99">
        <v>2</v>
      </c>
      <c r="U13" s="34" t="str">
        <f t="shared" ref="U13" si="80">IF(S12="","",IF(T12=T13,"〃",IF(T13=1,"素焼土管",IF(T13=2,"合成樹脂管",IF(T13=3,"無孔管","")))))</f>
        <v/>
      </c>
      <c r="V13" s="35"/>
      <c r="W13" s="100"/>
      <c r="X13" s="101"/>
      <c r="Y13" s="95"/>
      <c r="Z13" s="42"/>
      <c r="AA13" s="46"/>
      <c r="AB13" s="97"/>
      <c r="AC13" s="36" t="str">
        <f t="shared" ref="AC13" si="81">IF(S12="","",IF(T13=1,0.013,0.012))</f>
        <v/>
      </c>
      <c r="AD13" s="37" t="str">
        <f t="shared" ref="AD13" si="82">IF(S12="","",(1/AC13*(W13/100/2)^(8/3)*(1/AB12*100)^(1/2)*1.65696)*100)</f>
        <v/>
      </c>
      <c r="AE13" s="37" t="str">
        <f t="shared" ref="AE13" si="83">IF(S12="","",1/AC13*(W13/100/2)^(2/3)*(1/AB12)^(1/2)*0.70541)</f>
        <v/>
      </c>
      <c r="AF13" s="37" t="str">
        <f t="shared" ref="AF13" si="84">IF(S12="","",ROUNDDOWN(AD13/($U$3/8.64),3))</f>
        <v/>
      </c>
      <c r="AG13" s="38" t="str">
        <f t="shared" ref="AG13" si="85">IF(S12="","",ROUNDDOWN(AF13*10000/$AJ$3,0))</f>
        <v/>
      </c>
      <c r="AH13" s="39" t="str">
        <f t="shared" ref="AH13" si="86">IF(S12="","",IF(AG13&gt;AI12,"＞",IF(AG13=AI12,"=","＜")))</f>
        <v/>
      </c>
      <c r="AI13" s="42"/>
      <c r="AJ13" s="44"/>
      <c r="AK13" s="39" t="str">
        <f t="shared" ref="AK13" si="87">IF(S12="","",IF(AND(T13=1,AE13&gt;1),"NG",IF(AH13="＞","OK","NG")))</f>
        <v/>
      </c>
    </row>
    <row r="14" spans="1:42" ht="15.75" customHeight="1" x14ac:dyDescent="0.15">
      <c r="A14" s="80"/>
      <c r="B14" s="81">
        <v>2</v>
      </c>
      <c r="C14" s="58" t="str">
        <f t="shared" si="0"/>
        <v/>
      </c>
      <c r="D14" s="60"/>
      <c r="E14" s="82"/>
      <c r="F14" s="83"/>
      <c r="G14" s="83"/>
      <c r="H14" s="84"/>
      <c r="I14" s="53" t="str">
        <f t="shared" ref="I14" si="88">IF(A14="","",F14-G14+H14)</f>
        <v/>
      </c>
      <c r="J14" s="55" t="str">
        <f t="shared" ref="J14" si="89">IF(A14="",""," 1/")</f>
        <v/>
      </c>
      <c r="K14" s="85"/>
      <c r="L14" s="56" t="str">
        <f t="shared" ref="L14" si="90">IF(A14="","",IF(B14=1,0.013,0.012))</f>
        <v/>
      </c>
      <c r="M14" s="47" t="str">
        <f t="shared" ref="M14" si="91">IF(A14="","",(1/L14*(E14/100/2)^(8/3)*(1/K14*100)^(1/2)*1.65696)*100)</f>
        <v/>
      </c>
      <c r="N14" s="47" t="str">
        <f t="shared" ref="N14" si="92">IF(A14="","",1/L14*(E14/100/2)^(2/3)*(1/K14)^(1/2)*0.70541)</f>
        <v/>
      </c>
      <c r="O14" s="48" t="str">
        <f t="shared" ref="O14" si="93">IF(A14="","",ROUNDDOWN(M14/($U$3/8.64)*10000/$AJ$3,0))</f>
        <v/>
      </c>
      <c r="P14" s="49" t="str">
        <f t="shared" ref="P14" si="94">IF(A14="","",IF(O14&gt;Q14,"＞","＜"))</f>
        <v/>
      </c>
      <c r="Q14" s="48" t="str">
        <f t="shared" ref="Q14" si="95">IF(A14="","",I14)</f>
        <v/>
      </c>
      <c r="R14" s="51" t="str">
        <f t="shared" ref="R14" si="96">IF(A14="","",IF(P14="＞","OK","NG"))</f>
        <v/>
      </c>
      <c r="S14" s="86"/>
      <c r="T14" s="87"/>
      <c r="U14" s="28" t="str">
        <f t="shared" ref="U14" si="97">IF(S14="","",IF(T14=1,"素焼土管",IF(T14=2,"合成樹脂管",IF(T14=3,"無孔管",""))))</f>
        <v/>
      </c>
      <c r="V14" s="29"/>
      <c r="W14" s="88"/>
      <c r="X14" s="89"/>
      <c r="Y14" s="90"/>
      <c r="Z14" s="41" t="str">
        <f t="shared" ref="Z14" si="98">IF(S14="","",IF(AND(T15=3,I14=""),Z12+Y14,IF(AND(Z12="",I12=""),I14+Y14,IF(AND(T15=3,I14&gt;0,Z12&gt;0),I14+Z12+Y14,IF(Z12="",I12+I14+X14+Y14,IF(I14="",Z12+X14+Y14,Z12+I14+X14+Y14))))))</f>
        <v/>
      </c>
      <c r="AA14" s="45" t="str">
        <f t="shared" ref="AA14" si="99">IF(AB14="",""," 1/")</f>
        <v/>
      </c>
      <c r="AB14" s="91"/>
      <c r="AC14" s="30" t="str">
        <f t="shared" ref="AC14" si="100">IF(S14="","",IF(T14="","",IF(T14=1,0.013,0.012)))</f>
        <v/>
      </c>
      <c r="AD14" s="31" t="str">
        <f t="shared" ref="AD14" si="101">IF(S14="","",IF(T14="","",(1/AC14*(W14/100/2)^(8/3)*(1/AB14*100)^(1/2)*1.65696)*100))</f>
        <v/>
      </c>
      <c r="AE14" s="31" t="str">
        <f t="shared" ref="AE14" si="102">IF(S14="","",IF(T14="","",1/AC14*(W14/100/2)^(2/3)*(1/AB14)^(1/2)*0.70541))</f>
        <v/>
      </c>
      <c r="AF14" s="31" t="str">
        <f t="shared" ref="AF14" si="103">IF(S14="","",IF(T14="","",ROUNDDOWN(AD14/($U$3/8.64),3)))</f>
        <v/>
      </c>
      <c r="AG14" s="32" t="str">
        <f t="shared" ref="AG14" si="104">IF(S14="","",IF(T14="","",ROUNDDOWN(AF14*10000/$AJ$3,0)))</f>
        <v/>
      </c>
      <c r="AH14" s="33" t="str">
        <f t="shared" ref="AH14" si="105">IF(S14="","",IF(T14="","",IF(AG14&gt;AI14,"＞","＜")))</f>
        <v/>
      </c>
      <c r="AI14" s="41" t="str">
        <f t="shared" ref="AI14" si="106">IF(S14="","",Z14)</f>
        <v/>
      </c>
      <c r="AJ14" s="43" t="str">
        <f t="shared" ref="AJ14" si="107">IF(S14="","",AI14*$AJ$3/10000)</f>
        <v/>
      </c>
      <c r="AK14" s="33" t="str">
        <f t="shared" ref="AK14" si="108">IF(S14="","",IF(T14="","",IF(AND(T14=1,AE14&gt;1),"NG",IF(AH14="＞","OK","NG"))))</f>
        <v/>
      </c>
    </row>
    <row r="15" spans="1:42" ht="15.75" customHeight="1" x14ac:dyDescent="0.15">
      <c r="A15" s="92"/>
      <c r="B15" s="93"/>
      <c r="C15" s="59"/>
      <c r="D15" s="61"/>
      <c r="E15" s="94"/>
      <c r="F15" s="95"/>
      <c r="G15" s="95"/>
      <c r="H15" s="96"/>
      <c r="I15" s="54"/>
      <c r="J15" s="46"/>
      <c r="K15" s="97"/>
      <c r="L15" s="57"/>
      <c r="M15" s="44"/>
      <c r="N15" s="44"/>
      <c r="O15" s="42"/>
      <c r="P15" s="50"/>
      <c r="Q15" s="42"/>
      <c r="R15" s="52"/>
      <c r="S15" s="98"/>
      <c r="T15" s="99">
        <v>2</v>
      </c>
      <c r="U15" s="34" t="str">
        <f t="shared" ref="U15" si="109">IF(S14="","",IF(T14=T15,"〃",IF(T15=1,"素焼土管",IF(T15=2,"合成樹脂管",IF(T15=3,"無孔管","")))))</f>
        <v/>
      </c>
      <c r="V15" s="35"/>
      <c r="W15" s="100"/>
      <c r="X15" s="101"/>
      <c r="Y15" s="95"/>
      <c r="Z15" s="42"/>
      <c r="AA15" s="46"/>
      <c r="AB15" s="97"/>
      <c r="AC15" s="36" t="str">
        <f t="shared" ref="AC15" si="110">IF(S14="","",IF(T15=1,0.013,0.012))</f>
        <v/>
      </c>
      <c r="AD15" s="37" t="str">
        <f t="shared" ref="AD15" si="111">IF(S14="","",(1/AC15*(W15/100/2)^(8/3)*(1/AB14*100)^(1/2)*1.65696)*100)</f>
        <v/>
      </c>
      <c r="AE15" s="37" t="str">
        <f t="shared" ref="AE15" si="112">IF(S14="","",1/AC15*(W15/100/2)^(2/3)*(1/AB14)^(1/2)*0.70541)</f>
        <v/>
      </c>
      <c r="AF15" s="37" t="str">
        <f t="shared" ref="AF15" si="113">IF(S14="","",ROUNDDOWN(AD15/($U$3/8.64),3))</f>
        <v/>
      </c>
      <c r="AG15" s="38" t="str">
        <f t="shared" ref="AG15" si="114">IF(S14="","",ROUNDDOWN(AF15*10000/$AJ$3,0))</f>
        <v/>
      </c>
      <c r="AH15" s="39" t="str">
        <f t="shared" ref="AH15" si="115">IF(S14="","",IF(AG15&gt;AI14,"＞",IF(AG15=AI14,"=","＜")))</f>
        <v/>
      </c>
      <c r="AI15" s="42"/>
      <c r="AJ15" s="44"/>
      <c r="AK15" s="39" t="str">
        <f t="shared" ref="AK15" si="116">IF(S14="","",IF(AND(T15=1,AE15&gt;1),"NG",IF(AH15="＞","OK","NG")))</f>
        <v/>
      </c>
    </row>
    <row r="16" spans="1:42" ht="15.75" customHeight="1" x14ac:dyDescent="0.15">
      <c r="A16" s="80"/>
      <c r="B16" s="81">
        <v>2</v>
      </c>
      <c r="C16" s="58" t="str">
        <f t="shared" si="0"/>
        <v/>
      </c>
      <c r="D16" s="60"/>
      <c r="E16" s="82"/>
      <c r="F16" s="83"/>
      <c r="G16" s="83"/>
      <c r="H16" s="84"/>
      <c r="I16" s="53" t="str">
        <f t="shared" ref="I16" si="117">IF(A16="","",F16-G16+H16)</f>
        <v/>
      </c>
      <c r="J16" s="55" t="str">
        <f t="shared" ref="J16" si="118">IF(A16="",""," 1/")</f>
        <v/>
      </c>
      <c r="K16" s="85"/>
      <c r="L16" s="56" t="str">
        <f t="shared" ref="L16" si="119">IF(A16="","",IF(B16=1,0.013,0.012))</f>
        <v/>
      </c>
      <c r="M16" s="47" t="str">
        <f t="shared" ref="M16" si="120">IF(A16="","",(1/L16*(E16/100/2)^(8/3)*(1/K16*100)^(1/2)*1.65696)*100)</f>
        <v/>
      </c>
      <c r="N16" s="47" t="str">
        <f t="shared" ref="N16" si="121">IF(A16="","",1/L16*(E16/100/2)^(2/3)*(1/K16)^(1/2)*0.70541)</f>
        <v/>
      </c>
      <c r="O16" s="48" t="str">
        <f t="shared" ref="O16" si="122">IF(A16="","",ROUNDDOWN(M16/($U$3/8.64)*10000/$AJ$3,0))</f>
        <v/>
      </c>
      <c r="P16" s="49" t="str">
        <f t="shared" ref="P16" si="123">IF(A16="","",IF(O16&gt;Q16,"＞","＜"))</f>
        <v/>
      </c>
      <c r="Q16" s="48" t="str">
        <f t="shared" ref="Q16" si="124">IF(A16="","",I16)</f>
        <v/>
      </c>
      <c r="R16" s="51" t="str">
        <f t="shared" ref="R16" si="125">IF(A16="","",IF(P16="＞","OK","NG"))</f>
        <v/>
      </c>
      <c r="S16" s="86"/>
      <c r="T16" s="87"/>
      <c r="U16" s="28" t="str">
        <f t="shared" ref="U16" si="126">IF(S16="","",IF(T16=1,"素焼土管",IF(T16=2,"合成樹脂管",IF(T16=3,"無孔管",""))))</f>
        <v/>
      </c>
      <c r="V16" s="29"/>
      <c r="W16" s="88"/>
      <c r="X16" s="89"/>
      <c r="Y16" s="90"/>
      <c r="Z16" s="41" t="str">
        <f t="shared" ref="Z16" si="127">IF(S16="","",IF(AND(T17=3,I16=""),Z14+Y16,IF(AND(Z14="",I14=""),I16+Y16,IF(AND(T17=3,I16&gt;0,Z14&gt;0),I16+Z14+Y16,IF(Z14="",I14+I16+X16+Y16,IF(I16="",Z14+X16+Y16,Z14+I16+X16+Y16))))))</f>
        <v/>
      </c>
      <c r="AA16" s="45" t="str">
        <f t="shared" ref="AA16" si="128">IF(AB16="",""," 1/")</f>
        <v/>
      </c>
      <c r="AB16" s="91"/>
      <c r="AC16" s="30" t="str">
        <f t="shared" ref="AC16" si="129">IF(S16="","",IF(T16="","",IF(T16=1,0.013,0.012)))</f>
        <v/>
      </c>
      <c r="AD16" s="31" t="str">
        <f t="shared" ref="AD16" si="130">IF(S16="","",IF(T16="","",(1/AC16*(W16/100/2)^(8/3)*(1/AB16*100)^(1/2)*1.65696)*100))</f>
        <v/>
      </c>
      <c r="AE16" s="31" t="str">
        <f t="shared" ref="AE16" si="131">IF(S16="","",IF(T16="","",1/AC16*(W16/100/2)^(2/3)*(1/AB16)^(1/2)*0.70541))</f>
        <v/>
      </c>
      <c r="AF16" s="31" t="str">
        <f t="shared" ref="AF16" si="132">IF(S16="","",IF(T16="","",ROUNDDOWN(AD16/($U$3/8.64),3)))</f>
        <v/>
      </c>
      <c r="AG16" s="32" t="str">
        <f t="shared" ref="AG16" si="133">IF(S16="","",IF(T16="","",ROUNDDOWN(AF16*10000/$AJ$3,0)))</f>
        <v/>
      </c>
      <c r="AH16" s="33" t="str">
        <f t="shared" ref="AH16" si="134">IF(S16="","",IF(T16="","",IF(AG16&gt;AI16,"＞","＜")))</f>
        <v/>
      </c>
      <c r="AI16" s="41" t="str">
        <f t="shared" ref="AI16" si="135">IF(S16="","",Z16)</f>
        <v/>
      </c>
      <c r="AJ16" s="43" t="str">
        <f t="shared" ref="AJ16" si="136">IF(S16="","",AI16*$AJ$3/10000)</f>
        <v/>
      </c>
      <c r="AK16" s="33" t="str">
        <f t="shared" ref="AK16" si="137">IF(S16="","",IF(T16="","",IF(AND(T16=1,AE16&gt;1),"NG",IF(AH16="＞","OK","NG"))))</f>
        <v/>
      </c>
    </row>
    <row r="17" spans="1:37" ht="15.75" customHeight="1" x14ac:dyDescent="0.15">
      <c r="A17" s="92"/>
      <c r="B17" s="93"/>
      <c r="C17" s="59"/>
      <c r="D17" s="61"/>
      <c r="E17" s="94"/>
      <c r="F17" s="95"/>
      <c r="G17" s="95"/>
      <c r="H17" s="96"/>
      <c r="I17" s="54"/>
      <c r="J17" s="46"/>
      <c r="K17" s="97"/>
      <c r="L17" s="57"/>
      <c r="M17" s="44"/>
      <c r="N17" s="44"/>
      <c r="O17" s="42"/>
      <c r="P17" s="50"/>
      <c r="Q17" s="42"/>
      <c r="R17" s="52"/>
      <c r="S17" s="98"/>
      <c r="T17" s="99">
        <v>2</v>
      </c>
      <c r="U17" s="34" t="str">
        <f t="shared" ref="U17" si="138">IF(S16="","",IF(T16=T17,"〃",IF(T17=1,"素焼土管",IF(T17=2,"合成樹脂管",IF(T17=3,"無孔管","")))))</f>
        <v/>
      </c>
      <c r="V17" s="35"/>
      <c r="W17" s="100"/>
      <c r="X17" s="101"/>
      <c r="Y17" s="95"/>
      <c r="Z17" s="42"/>
      <c r="AA17" s="46"/>
      <c r="AB17" s="97"/>
      <c r="AC17" s="36" t="str">
        <f t="shared" ref="AC17" si="139">IF(S16="","",IF(T17=1,0.013,0.012))</f>
        <v/>
      </c>
      <c r="AD17" s="37" t="str">
        <f t="shared" ref="AD17" si="140">IF(S16="","",(1/AC17*(W17/100/2)^(8/3)*(1/AB16*100)^(1/2)*1.65696)*100)</f>
        <v/>
      </c>
      <c r="AE17" s="37" t="str">
        <f t="shared" ref="AE17" si="141">IF(S16="","",1/AC17*(W17/100/2)^(2/3)*(1/AB16)^(1/2)*0.70541)</f>
        <v/>
      </c>
      <c r="AF17" s="37" t="str">
        <f t="shared" ref="AF17" si="142">IF(S16="","",ROUNDDOWN(AD17/($U$3/8.64),3))</f>
        <v/>
      </c>
      <c r="AG17" s="38" t="str">
        <f t="shared" ref="AG17" si="143">IF(S16="","",ROUNDDOWN(AF17*10000/$AJ$3,0))</f>
        <v/>
      </c>
      <c r="AH17" s="39" t="str">
        <f t="shared" ref="AH17" si="144">IF(S16="","",IF(AG17&gt;AI16,"＞",IF(AG17=AI16,"=","＜")))</f>
        <v/>
      </c>
      <c r="AI17" s="42"/>
      <c r="AJ17" s="44"/>
      <c r="AK17" s="39" t="str">
        <f t="shared" ref="AK17" si="145">IF(S16="","",IF(AND(T17=1,AE17&gt;1),"NG",IF(AH17="＞","OK","NG")))</f>
        <v/>
      </c>
    </row>
    <row r="18" spans="1:37" ht="15.75" customHeight="1" x14ac:dyDescent="0.15">
      <c r="A18" s="80"/>
      <c r="B18" s="81">
        <v>2</v>
      </c>
      <c r="C18" s="58" t="str">
        <f t="shared" si="0"/>
        <v/>
      </c>
      <c r="D18" s="60"/>
      <c r="E18" s="82"/>
      <c r="F18" s="83"/>
      <c r="G18" s="83"/>
      <c r="H18" s="84"/>
      <c r="I18" s="53" t="str">
        <f t="shared" ref="I18" si="146">IF(A18="","",F18-G18+H18)</f>
        <v/>
      </c>
      <c r="J18" s="55" t="str">
        <f t="shared" ref="J18" si="147">IF(A18="",""," 1/")</f>
        <v/>
      </c>
      <c r="K18" s="85"/>
      <c r="L18" s="56" t="str">
        <f t="shared" ref="L18" si="148">IF(A18="","",IF(B18=1,0.013,0.012))</f>
        <v/>
      </c>
      <c r="M18" s="47" t="str">
        <f t="shared" ref="M18" si="149">IF(A18="","",(1/L18*(E18/100/2)^(8/3)*(1/K18*100)^(1/2)*1.65696)*100)</f>
        <v/>
      </c>
      <c r="N18" s="47" t="str">
        <f t="shared" ref="N18" si="150">IF(A18="","",1/L18*(E18/100/2)^(2/3)*(1/K18)^(1/2)*0.70541)</f>
        <v/>
      </c>
      <c r="O18" s="48" t="str">
        <f t="shared" ref="O18" si="151">IF(A18="","",ROUNDDOWN(M18/($U$3/8.64)*10000/$AJ$3,0))</f>
        <v/>
      </c>
      <c r="P18" s="49" t="str">
        <f t="shared" ref="P18" si="152">IF(A18="","",IF(O18&gt;Q18,"＞","＜"))</f>
        <v/>
      </c>
      <c r="Q18" s="48" t="str">
        <f t="shared" ref="Q18" si="153">IF(A18="","",I18)</f>
        <v/>
      </c>
      <c r="R18" s="51" t="str">
        <f t="shared" ref="R18" si="154">IF(A18="","",IF(P18="＞","OK","NG"))</f>
        <v/>
      </c>
      <c r="S18" s="86"/>
      <c r="T18" s="87"/>
      <c r="U18" s="28" t="str">
        <f t="shared" ref="U18" si="155">IF(S18="","",IF(T18=1,"素焼土管",IF(T18=2,"合成樹脂管",IF(T18=3,"無孔管",""))))</f>
        <v/>
      </c>
      <c r="V18" s="29"/>
      <c r="W18" s="88"/>
      <c r="X18" s="89"/>
      <c r="Y18" s="90"/>
      <c r="Z18" s="41" t="str">
        <f t="shared" ref="Z18" si="156">IF(S18="","",IF(AND(T19=3,I18=""),Z16+Y18,IF(AND(Z16="",I16=""),I18+Y18,IF(AND(T19=3,I18&gt;0,Z16&gt;0),I18+Z16+Y18,IF(Z16="",I16+I18+X18+Y18,IF(I18="",Z16+X18+Y18,Z16+I18+X18+Y18))))))</f>
        <v/>
      </c>
      <c r="AA18" s="45" t="str">
        <f t="shared" ref="AA18" si="157">IF(AB18="",""," 1/")</f>
        <v/>
      </c>
      <c r="AB18" s="91"/>
      <c r="AC18" s="30" t="str">
        <f t="shared" ref="AC18" si="158">IF(S18="","",IF(T18="","",IF(T18=1,0.013,0.012)))</f>
        <v/>
      </c>
      <c r="AD18" s="31" t="str">
        <f t="shared" ref="AD18" si="159">IF(S18="","",IF(T18="","",(1/AC18*(W18/100/2)^(8/3)*(1/AB18*100)^(1/2)*1.65696)*100))</f>
        <v/>
      </c>
      <c r="AE18" s="31" t="str">
        <f t="shared" ref="AE18" si="160">IF(S18="","",IF(T18="","",1/AC18*(W18/100/2)^(2/3)*(1/AB18)^(1/2)*0.70541))</f>
        <v/>
      </c>
      <c r="AF18" s="31" t="str">
        <f t="shared" ref="AF18" si="161">IF(S18="","",IF(T18="","",ROUNDDOWN(AD18/($U$3/8.64),3)))</f>
        <v/>
      </c>
      <c r="AG18" s="32" t="str">
        <f t="shared" ref="AG18" si="162">IF(S18="","",IF(T18="","",ROUNDDOWN(AF18*10000/$AJ$3,0)))</f>
        <v/>
      </c>
      <c r="AH18" s="33" t="str">
        <f t="shared" ref="AH18" si="163">IF(S18="","",IF(T18="","",IF(AG18&gt;AI18,"＞","＜")))</f>
        <v/>
      </c>
      <c r="AI18" s="41" t="str">
        <f t="shared" ref="AI18" si="164">IF(S18="","",Z18)</f>
        <v/>
      </c>
      <c r="AJ18" s="43" t="str">
        <f t="shared" ref="AJ18" si="165">IF(S18="","",AI18*$AJ$3/10000)</f>
        <v/>
      </c>
      <c r="AK18" s="33" t="str">
        <f t="shared" ref="AK18" si="166">IF(S18="","",IF(T18="","",IF(AND(T18=1,AE18&gt;1),"NG",IF(AH18="＞","OK","NG"))))</f>
        <v/>
      </c>
    </row>
    <row r="19" spans="1:37" ht="15.75" customHeight="1" x14ac:dyDescent="0.15">
      <c r="A19" s="92"/>
      <c r="B19" s="93"/>
      <c r="C19" s="59"/>
      <c r="D19" s="61"/>
      <c r="E19" s="94"/>
      <c r="F19" s="95"/>
      <c r="G19" s="95"/>
      <c r="H19" s="96"/>
      <c r="I19" s="54"/>
      <c r="J19" s="46"/>
      <c r="K19" s="97"/>
      <c r="L19" s="57"/>
      <c r="M19" s="44"/>
      <c r="N19" s="44"/>
      <c r="O19" s="42"/>
      <c r="P19" s="50"/>
      <c r="Q19" s="42"/>
      <c r="R19" s="52"/>
      <c r="S19" s="98"/>
      <c r="T19" s="99">
        <v>2</v>
      </c>
      <c r="U19" s="34" t="str">
        <f t="shared" ref="U19" si="167">IF(S18="","",IF(T18=T19,"〃",IF(T19=1,"素焼土管",IF(T19=2,"合成樹脂管",IF(T19=3,"無孔管","")))))</f>
        <v/>
      </c>
      <c r="V19" s="35"/>
      <c r="W19" s="100"/>
      <c r="X19" s="101"/>
      <c r="Y19" s="95"/>
      <c r="Z19" s="42"/>
      <c r="AA19" s="46"/>
      <c r="AB19" s="97"/>
      <c r="AC19" s="36" t="str">
        <f t="shared" ref="AC19" si="168">IF(S18="","",IF(T19=1,0.013,0.012))</f>
        <v/>
      </c>
      <c r="AD19" s="37" t="str">
        <f t="shared" ref="AD19" si="169">IF(S18="","",(1/AC19*(W19/100/2)^(8/3)*(1/AB18*100)^(1/2)*1.65696)*100)</f>
        <v/>
      </c>
      <c r="AE19" s="37" t="str">
        <f t="shared" ref="AE19" si="170">IF(S18="","",1/AC19*(W19/100/2)^(2/3)*(1/AB18)^(1/2)*0.70541)</f>
        <v/>
      </c>
      <c r="AF19" s="37" t="str">
        <f t="shared" ref="AF19" si="171">IF(S18="","",ROUNDDOWN(AD19/($U$3/8.64),3))</f>
        <v/>
      </c>
      <c r="AG19" s="38" t="str">
        <f t="shared" ref="AG19" si="172">IF(S18="","",ROUNDDOWN(AF19*10000/$AJ$3,0))</f>
        <v/>
      </c>
      <c r="AH19" s="39" t="str">
        <f t="shared" ref="AH19" si="173">IF(S18="","",IF(AG19&gt;AI18,"＞",IF(AG19=AI18,"=","＜")))</f>
        <v/>
      </c>
      <c r="AI19" s="42"/>
      <c r="AJ19" s="44"/>
      <c r="AK19" s="39" t="str">
        <f t="shared" ref="AK19" si="174">IF(S18="","",IF(AND(T19=1,AE19&gt;1),"NG",IF(AH19="＞","OK","NG")))</f>
        <v/>
      </c>
    </row>
    <row r="20" spans="1:37" ht="15.75" customHeight="1" x14ac:dyDescent="0.15">
      <c r="A20" s="80"/>
      <c r="B20" s="81">
        <v>2</v>
      </c>
      <c r="C20" s="58" t="str">
        <f t="shared" ref="C20" si="175">IF(A20="","",IF(B20=1,"素　焼土　管",IF(B20=2,"合　成樹脂管",IF(B20=3,"無孔管",""))))</f>
        <v/>
      </c>
      <c r="D20" s="60"/>
      <c r="E20" s="82"/>
      <c r="F20" s="83"/>
      <c r="G20" s="83"/>
      <c r="H20" s="84"/>
      <c r="I20" s="53" t="str">
        <f t="shared" ref="I20" si="176">IF(A20="","",F20-G20+H20)</f>
        <v/>
      </c>
      <c r="J20" s="55" t="str">
        <f t="shared" ref="J20" si="177">IF(A20="",""," 1/")</f>
        <v/>
      </c>
      <c r="K20" s="85"/>
      <c r="L20" s="56" t="str">
        <f t="shared" ref="L20" si="178">IF(A20="","",IF(B20=1,0.013,0.012))</f>
        <v/>
      </c>
      <c r="M20" s="47" t="str">
        <f t="shared" ref="M20" si="179">IF(A20="","",(1/L20*(E20/100/2)^(8/3)*(1/K20*100)^(1/2)*1.65696)*100)</f>
        <v/>
      </c>
      <c r="N20" s="47" t="str">
        <f t="shared" ref="N20" si="180">IF(A20="","",1/L20*(E20/100/2)^(2/3)*(1/K20)^(1/2)*0.70541)</f>
        <v/>
      </c>
      <c r="O20" s="48" t="str">
        <f t="shared" ref="O20" si="181">IF(A20="","",ROUNDDOWN(M20/($U$3/8.64)*10000/$AJ$3,0))</f>
        <v/>
      </c>
      <c r="P20" s="49" t="str">
        <f t="shared" ref="P20" si="182">IF(A20="","",IF(O20&gt;Q20,"＞","＜"))</f>
        <v/>
      </c>
      <c r="Q20" s="48" t="str">
        <f t="shared" ref="Q20" si="183">IF(A20="","",I20)</f>
        <v/>
      </c>
      <c r="R20" s="51" t="str">
        <f t="shared" ref="R20" si="184">IF(A20="","",IF(P20="＞","OK","NG"))</f>
        <v/>
      </c>
      <c r="S20" s="86"/>
      <c r="T20" s="87"/>
      <c r="U20" s="28" t="str">
        <f t="shared" ref="U20" si="185">IF(S20="","",IF(T20=1,"素焼土管",IF(T20=2,"合成樹脂管",IF(T20=3,"無孔管",""))))</f>
        <v/>
      </c>
      <c r="V20" s="29"/>
      <c r="W20" s="88"/>
      <c r="X20" s="89"/>
      <c r="Y20" s="90"/>
      <c r="Z20" s="41" t="str">
        <f t="shared" ref="Z20" si="186">IF(S20="","",IF(AND(T21=3,I20=""),Z18+Y20,IF(AND(Z18="",I18=""),I20+Y20,IF(AND(T21=3,I20&gt;0,Z18&gt;0),I20+Z18+Y20,IF(Z18="",I18+I20+X20+Y20,IF(I20="",Z18+X20+Y20,Z18+I20+X20+Y20))))))</f>
        <v/>
      </c>
      <c r="AA20" s="45" t="str">
        <f t="shared" ref="AA20" si="187">IF(AB20="",""," 1/")</f>
        <v/>
      </c>
      <c r="AB20" s="91"/>
      <c r="AC20" s="30" t="str">
        <f t="shared" ref="AC20" si="188">IF(S20="","",IF(T20="","",IF(T20=1,0.013,0.012)))</f>
        <v/>
      </c>
      <c r="AD20" s="31" t="str">
        <f t="shared" ref="AD20" si="189">IF(S20="","",IF(T20="","",(1/AC20*(W20/100/2)^(8/3)*(1/AB20*100)^(1/2)*1.65696)*100))</f>
        <v/>
      </c>
      <c r="AE20" s="31" t="str">
        <f t="shared" ref="AE20" si="190">IF(S20="","",IF(T20="","",1/AC20*(W20/100/2)^(2/3)*(1/AB20)^(1/2)*0.70541))</f>
        <v/>
      </c>
      <c r="AF20" s="31" t="str">
        <f t="shared" ref="AF20" si="191">IF(S20="","",IF(T20="","",ROUNDDOWN(AD20/($U$3/8.64),3)))</f>
        <v/>
      </c>
      <c r="AG20" s="32" t="str">
        <f t="shared" ref="AG20" si="192">IF(S20="","",IF(T20="","",ROUNDDOWN(AF20*10000/$AJ$3,0)))</f>
        <v/>
      </c>
      <c r="AH20" s="33" t="str">
        <f t="shared" ref="AH20" si="193">IF(S20="","",IF(T20="","",IF(AG20&gt;AI20,"＞","＜")))</f>
        <v/>
      </c>
      <c r="AI20" s="41" t="str">
        <f t="shared" ref="AI20" si="194">IF(S20="","",Z20)</f>
        <v/>
      </c>
      <c r="AJ20" s="43" t="str">
        <f t="shared" ref="AJ20" si="195">IF(S20="","",AI20*$AJ$3/10000)</f>
        <v/>
      </c>
      <c r="AK20" s="33" t="str">
        <f t="shared" ref="AK20" si="196">IF(S20="","",IF(T20="","",IF(AND(T20=1,AE20&gt;1),"NG",IF(AH20="＞","OK","NG"))))</f>
        <v/>
      </c>
    </row>
    <row r="21" spans="1:37" ht="15.75" customHeight="1" x14ac:dyDescent="0.15">
      <c r="A21" s="92"/>
      <c r="B21" s="93"/>
      <c r="C21" s="59"/>
      <c r="D21" s="61"/>
      <c r="E21" s="94"/>
      <c r="F21" s="95"/>
      <c r="G21" s="95"/>
      <c r="H21" s="96"/>
      <c r="I21" s="54"/>
      <c r="J21" s="46"/>
      <c r="K21" s="97"/>
      <c r="L21" s="57"/>
      <c r="M21" s="44"/>
      <c r="N21" s="44"/>
      <c r="O21" s="42"/>
      <c r="P21" s="50"/>
      <c r="Q21" s="42"/>
      <c r="R21" s="52"/>
      <c r="S21" s="98"/>
      <c r="T21" s="99">
        <v>2</v>
      </c>
      <c r="U21" s="34" t="str">
        <f t="shared" ref="U21" si="197">IF(S20="","",IF(T20=T21,"〃",IF(T21=1,"素焼土管",IF(T21=2,"合成樹脂管",IF(T21=3,"無孔管","")))))</f>
        <v/>
      </c>
      <c r="V21" s="35"/>
      <c r="W21" s="100"/>
      <c r="X21" s="101"/>
      <c r="Y21" s="95"/>
      <c r="Z21" s="42"/>
      <c r="AA21" s="46"/>
      <c r="AB21" s="97"/>
      <c r="AC21" s="36" t="str">
        <f t="shared" ref="AC21" si="198">IF(S20="","",IF(T21=1,0.013,0.012))</f>
        <v/>
      </c>
      <c r="AD21" s="37" t="str">
        <f t="shared" ref="AD21" si="199">IF(S20="","",(1/AC21*(W21/100/2)^(8/3)*(1/AB20*100)^(1/2)*1.65696)*100)</f>
        <v/>
      </c>
      <c r="AE21" s="37" t="str">
        <f t="shared" ref="AE21" si="200">IF(S20="","",1/AC21*(W21/100/2)^(2/3)*(1/AB20)^(1/2)*0.70541)</f>
        <v/>
      </c>
      <c r="AF21" s="37" t="str">
        <f t="shared" ref="AF21" si="201">IF(S20="","",ROUNDDOWN(AD21/($U$3/8.64),3))</f>
        <v/>
      </c>
      <c r="AG21" s="38" t="str">
        <f t="shared" ref="AG21" si="202">IF(S20="","",ROUNDDOWN(AF21*10000/$AJ$3,0))</f>
        <v/>
      </c>
      <c r="AH21" s="39" t="str">
        <f t="shared" ref="AH21" si="203">IF(S20="","",IF(AG21&gt;AI20,"＞",IF(AG21=AI20,"=","＜")))</f>
        <v/>
      </c>
      <c r="AI21" s="42"/>
      <c r="AJ21" s="44"/>
      <c r="AK21" s="39" t="str">
        <f t="shared" ref="AK21" si="204">IF(S20="","",IF(AND(T21=1,AE21&gt;1),"NG",IF(AH21="＞","OK","NG")))</f>
        <v/>
      </c>
    </row>
    <row r="22" spans="1:37" ht="15.75" customHeight="1" x14ac:dyDescent="0.15">
      <c r="A22" s="80"/>
      <c r="B22" s="81">
        <v>2</v>
      </c>
      <c r="C22" s="58" t="str">
        <f t="shared" ref="C22" si="205">IF(A22="","",IF(B22=1,"素　焼土　管",IF(B22=2,"合　成樹脂管",IF(B22=3,"無孔管",""))))</f>
        <v/>
      </c>
      <c r="D22" s="60"/>
      <c r="E22" s="82"/>
      <c r="F22" s="83"/>
      <c r="G22" s="83"/>
      <c r="H22" s="84"/>
      <c r="I22" s="53" t="str">
        <f t="shared" ref="I22" si="206">IF(A22="","",F22-G22+H22)</f>
        <v/>
      </c>
      <c r="J22" s="55" t="str">
        <f t="shared" ref="J22" si="207">IF(A22="",""," 1/")</f>
        <v/>
      </c>
      <c r="K22" s="85"/>
      <c r="L22" s="56" t="str">
        <f t="shared" ref="L22" si="208">IF(A22="","",IF(B22=1,0.013,0.012))</f>
        <v/>
      </c>
      <c r="M22" s="47" t="str">
        <f t="shared" ref="M22" si="209">IF(A22="","",(1/L22*(E22/100/2)^(8/3)*(1/K22*100)^(1/2)*1.65696)*100)</f>
        <v/>
      </c>
      <c r="N22" s="47" t="str">
        <f t="shared" ref="N22" si="210">IF(A22="","",1/L22*(E22/100/2)^(2/3)*(1/K22)^(1/2)*0.70541)</f>
        <v/>
      </c>
      <c r="O22" s="48" t="str">
        <f t="shared" ref="O22" si="211">IF(A22="","",ROUNDDOWN(M22/($U$3/8.64)*10000/$AJ$3,0))</f>
        <v/>
      </c>
      <c r="P22" s="49" t="str">
        <f t="shared" ref="P22" si="212">IF(A22="","",IF(O22&gt;Q22,"＞","＜"))</f>
        <v/>
      </c>
      <c r="Q22" s="48" t="str">
        <f t="shared" ref="Q22" si="213">IF(A22="","",I22)</f>
        <v/>
      </c>
      <c r="R22" s="51" t="str">
        <f t="shared" ref="R22" si="214">IF(A22="","",IF(P22="＞","OK","NG"))</f>
        <v/>
      </c>
      <c r="S22" s="86"/>
      <c r="T22" s="87"/>
      <c r="U22" s="28" t="str">
        <f t="shared" ref="U22" si="215">IF(S22="","",IF(T22=1,"素焼土管",IF(T22=2,"合成樹脂管",IF(T22=3,"無孔管",""))))</f>
        <v/>
      </c>
      <c r="V22" s="29"/>
      <c r="W22" s="88"/>
      <c r="X22" s="89"/>
      <c r="Y22" s="90"/>
      <c r="Z22" s="41" t="str">
        <f t="shared" ref="Z22" si="216">IF(S22="","",IF(AND(T23=3,I22=""),Z20+Y22,IF(AND(Z20="",I20=""),I22+Y22,IF(AND(T23=3,I22&gt;0,Z20&gt;0),I22+Z20+Y22,IF(Z20="",I20+I22+X22+Y22,IF(I22="",Z20+X22+Y22,Z20+I22+X22+Y22))))))</f>
        <v/>
      </c>
      <c r="AA22" s="45" t="str">
        <f t="shared" ref="AA22" si="217">IF(AB22="",""," 1/")</f>
        <v/>
      </c>
      <c r="AB22" s="91"/>
      <c r="AC22" s="30" t="str">
        <f t="shared" ref="AC22" si="218">IF(S22="","",IF(T22="","",IF(T22=1,0.013,0.012)))</f>
        <v/>
      </c>
      <c r="AD22" s="31" t="str">
        <f t="shared" ref="AD22" si="219">IF(S22="","",IF(T22="","",(1/AC22*(W22/100/2)^(8/3)*(1/AB22*100)^(1/2)*1.65696)*100))</f>
        <v/>
      </c>
      <c r="AE22" s="31" t="str">
        <f t="shared" ref="AE22" si="220">IF(S22="","",IF(T22="","",1/AC22*(W22/100/2)^(2/3)*(1/AB22)^(1/2)*0.70541))</f>
        <v/>
      </c>
      <c r="AF22" s="31" t="str">
        <f t="shared" ref="AF22" si="221">IF(S22="","",IF(T22="","",ROUNDDOWN(AD22/($U$3/8.64),3)))</f>
        <v/>
      </c>
      <c r="AG22" s="32" t="str">
        <f t="shared" ref="AG22" si="222">IF(S22="","",IF(T22="","",ROUNDDOWN(AF22*10000/$AJ$3,0)))</f>
        <v/>
      </c>
      <c r="AH22" s="33" t="str">
        <f t="shared" ref="AH22" si="223">IF(S22="","",IF(T22="","",IF(AG22&gt;AI22,"＞","＜")))</f>
        <v/>
      </c>
      <c r="AI22" s="41" t="str">
        <f t="shared" ref="AI22" si="224">IF(S22="","",Z22)</f>
        <v/>
      </c>
      <c r="AJ22" s="43" t="str">
        <f t="shared" ref="AJ22" si="225">IF(S22="","",AI22*$AJ$3/10000)</f>
        <v/>
      </c>
      <c r="AK22" s="33" t="str">
        <f t="shared" ref="AK22" si="226">IF(S22="","",IF(T22="","",IF(AND(T22=1,AE22&gt;1),"NG",IF(AH22="＞","OK","NG"))))</f>
        <v/>
      </c>
    </row>
    <row r="23" spans="1:37" ht="15.75" customHeight="1" x14ac:dyDescent="0.15">
      <c r="A23" s="92"/>
      <c r="B23" s="93"/>
      <c r="C23" s="59"/>
      <c r="D23" s="61"/>
      <c r="E23" s="94"/>
      <c r="F23" s="95"/>
      <c r="G23" s="95"/>
      <c r="H23" s="96"/>
      <c r="I23" s="54"/>
      <c r="J23" s="46"/>
      <c r="K23" s="97"/>
      <c r="L23" s="57"/>
      <c r="M23" s="44"/>
      <c r="N23" s="44"/>
      <c r="O23" s="42"/>
      <c r="P23" s="50"/>
      <c r="Q23" s="42"/>
      <c r="R23" s="52"/>
      <c r="S23" s="98"/>
      <c r="T23" s="99">
        <v>2</v>
      </c>
      <c r="U23" s="34" t="str">
        <f t="shared" ref="U23" si="227">IF(S22="","",IF(T22=T23,"〃",IF(T23=1,"素焼土管",IF(T23=2,"合成樹脂管",IF(T23=3,"無孔管","")))))</f>
        <v/>
      </c>
      <c r="V23" s="35"/>
      <c r="W23" s="100"/>
      <c r="X23" s="101"/>
      <c r="Y23" s="95"/>
      <c r="Z23" s="42"/>
      <c r="AA23" s="46"/>
      <c r="AB23" s="97"/>
      <c r="AC23" s="36" t="str">
        <f t="shared" ref="AC23" si="228">IF(S22="","",IF(T23=1,0.013,0.012))</f>
        <v/>
      </c>
      <c r="AD23" s="37" t="str">
        <f t="shared" ref="AD23" si="229">IF(S22="","",(1/AC23*(W23/100/2)^(8/3)*(1/AB22*100)^(1/2)*1.65696)*100)</f>
        <v/>
      </c>
      <c r="AE23" s="37" t="str">
        <f t="shared" ref="AE23" si="230">IF(S22="","",1/AC23*(W23/100/2)^(2/3)*(1/AB22)^(1/2)*0.70541)</f>
        <v/>
      </c>
      <c r="AF23" s="37" t="str">
        <f t="shared" ref="AF23" si="231">IF(S22="","",ROUNDDOWN(AD23/($U$3/8.64),3))</f>
        <v/>
      </c>
      <c r="AG23" s="38" t="str">
        <f t="shared" ref="AG23" si="232">IF(S22="","",ROUNDDOWN(AF23*10000/$AJ$3,0))</f>
        <v/>
      </c>
      <c r="AH23" s="39" t="str">
        <f t="shared" ref="AH23" si="233">IF(S22="","",IF(AG23&gt;AI22,"＞",IF(AG23=AI22,"=","＜")))</f>
        <v/>
      </c>
      <c r="AI23" s="42"/>
      <c r="AJ23" s="44"/>
      <c r="AK23" s="39" t="str">
        <f t="shared" ref="AK23" si="234">IF(S22="","",IF(AND(T23=1,AE23&gt;1),"NG",IF(AH23="＞","OK","NG")))</f>
        <v/>
      </c>
    </row>
    <row r="24" spans="1:37" ht="15.75" customHeight="1" x14ac:dyDescent="0.15">
      <c r="A24" s="80"/>
      <c r="B24" s="81">
        <v>2</v>
      </c>
      <c r="C24" s="58" t="str">
        <f t="shared" ref="C24" si="235">IF(A24="","",IF(B24=1,"素　焼土　管",IF(B24=2,"合　成樹脂管",IF(B24=3,"無孔管",""))))</f>
        <v/>
      </c>
      <c r="D24" s="60"/>
      <c r="E24" s="82"/>
      <c r="F24" s="83"/>
      <c r="G24" s="83"/>
      <c r="H24" s="84"/>
      <c r="I24" s="53" t="str">
        <f t="shared" ref="I24" si="236">IF(A24="","",F24-G24+H24)</f>
        <v/>
      </c>
      <c r="J24" s="55" t="str">
        <f t="shared" ref="J24" si="237">IF(A24="",""," 1/")</f>
        <v/>
      </c>
      <c r="K24" s="85"/>
      <c r="L24" s="56" t="str">
        <f t="shared" ref="L24" si="238">IF(A24="","",IF(B24=1,0.013,0.012))</f>
        <v/>
      </c>
      <c r="M24" s="47" t="str">
        <f t="shared" ref="M24" si="239">IF(A24="","",(1/L24*(E24/100/2)^(8/3)*(1/K24*100)^(1/2)*1.65696)*100)</f>
        <v/>
      </c>
      <c r="N24" s="47" t="str">
        <f t="shared" ref="N24" si="240">IF(A24="","",1/L24*(E24/100/2)^(2/3)*(1/K24)^(1/2)*0.70541)</f>
        <v/>
      </c>
      <c r="O24" s="48" t="str">
        <f t="shared" ref="O24" si="241">IF(A24="","",ROUNDDOWN(M24/($U$3/8.64)*10000/$AJ$3,0))</f>
        <v/>
      </c>
      <c r="P24" s="49" t="str">
        <f t="shared" ref="P24" si="242">IF(A24="","",IF(O24&gt;Q24,"＞","＜"))</f>
        <v/>
      </c>
      <c r="Q24" s="48" t="str">
        <f t="shared" ref="Q24" si="243">IF(A24="","",I24)</f>
        <v/>
      </c>
      <c r="R24" s="51" t="str">
        <f t="shared" ref="R24" si="244">IF(A24="","",IF(P24="＞","OK","NG"))</f>
        <v/>
      </c>
      <c r="S24" s="86"/>
      <c r="T24" s="87"/>
      <c r="U24" s="28" t="str">
        <f t="shared" ref="U24" si="245">IF(S24="","",IF(T24=1,"素焼土管",IF(T24=2,"合成樹脂管",IF(T24=3,"無孔管",""))))</f>
        <v/>
      </c>
      <c r="V24" s="29"/>
      <c r="W24" s="88"/>
      <c r="X24" s="89"/>
      <c r="Y24" s="90"/>
      <c r="Z24" s="41" t="str">
        <f t="shared" ref="Z24" si="246">IF(S24="","",IF(AND(T25=3,I24=""),Z22+Y24,IF(AND(Z22="",I22=""),I24+Y24,IF(AND(T25=3,I24&gt;0,Z22&gt;0),I24+Z22+Y24,IF(Z22="",I22+I24+X24+Y24,IF(I24="",Z22+X24+Y24,Z22+I24+X24+Y24))))))</f>
        <v/>
      </c>
      <c r="AA24" s="45" t="str">
        <f t="shared" ref="AA24" si="247">IF(AB24="",""," 1/")</f>
        <v/>
      </c>
      <c r="AB24" s="91"/>
      <c r="AC24" s="30" t="str">
        <f t="shared" ref="AC24" si="248">IF(S24="","",IF(T24="","",IF(T24=1,0.013,0.012)))</f>
        <v/>
      </c>
      <c r="AD24" s="31" t="str">
        <f t="shared" ref="AD24" si="249">IF(S24="","",IF(T24="","",(1/AC24*(W24/100/2)^(8/3)*(1/AB24*100)^(1/2)*1.65696)*100))</f>
        <v/>
      </c>
      <c r="AE24" s="31" t="str">
        <f t="shared" ref="AE24" si="250">IF(S24="","",IF(T24="","",1/AC24*(W24/100/2)^(2/3)*(1/AB24)^(1/2)*0.70541))</f>
        <v/>
      </c>
      <c r="AF24" s="31" t="str">
        <f t="shared" ref="AF24" si="251">IF(S24="","",IF(T24="","",ROUNDDOWN(AD24/($U$3/8.64),3)))</f>
        <v/>
      </c>
      <c r="AG24" s="32" t="str">
        <f t="shared" ref="AG24" si="252">IF(S24="","",IF(T24="","",ROUNDDOWN(AF24*10000/$AJ$3,0)))</f>
        <v/>
      </c>
      <c r="AH24" s="33" t="str">
        <f t="shared" ref="AH24" si="253">IF(S24="","",IF(T24="","",IF(AG24&gt;AI24,"＞","＜")))</f>
        <v/>
      </c>
      <c r="AI24" s="41" t="str">
        <f t="shared" ref="AI24" si="254">IF(S24="","",Z24)</f>
        <v/>
      </c>
      <c r="AJ24" s="43" t="str">
        <f t="shared" ref="AJ24" si="255">IF(S24="","",AI24*$AJ$3/10000)</f>
        <v/>
      </c>
      <c r="AK24" s="33" t="str">
        <f t="shared" ref="AK24" si="256">IF(S24="","",IF(T24="","",IF(AND(T24=1,AE24&gt;1),"NG",IF(AH24="＞","OK","NG"))))</f>
        <v/>
      </c>
    </row>
    <row r="25" spans="1:37" ht="15.75" customHeight="1" x14ac:dyDescent="0.15">
      <c r="A25" s="92"/>
      <c r="B25" s="93"/>
      <c r="C25" s="59"/>
      <c r="D25" s="61"/>
      <c r="E25" s="94"/>
      <c r="F25" s="95"/>
      <c r="G25" s="95"/>
      <c r="H25" s="96"/>
      <c r="I25" s="54"/>
      <c r="J25" s="46"/>
      <c r="K25" s="97"/>
      <c r="L25" s="57"/>
      <c r="M25" s="44"/>
      <c r="N25" s="44"/>
      <c r="O25" s="42"/>
      <c r="P25" s="50"/>
      <c r="Q25" s="42"/>
      <c r="R25" s="52"/>
      <c r="S25" s="98"/>
      <c r="T25" s="99">
        <v>2</v>
      </c>
      <c r="U25" s="34" t="str">
        <f t="shared" ref="U25" si="257">IF(S24="","",IF(T24=T25,"〃",IF(T25=1,"素焼土管",IF(T25=2,"合成樹脂管",IF(T25=3,"無孔管","")))))</f>
        <v/>
      </c>
      <c r="V25" s="35"/>
      <c r="W25" s="100"/>
      <c r="X25" s="101"/>
      <c r="Y25" s="95"/>
      <c r="Z25" s="42"/>
      <c r="AA25" s="46"/>
      <c r="AB25" s="97"/>
      <c r="AC25" s="36" t="str">
        <f t="shared" ref="AC25" si="258">IF(S24="","",IF(T25=1,0.013,0.012))</f>
        <v/>
      </c>
      <c r="AD25" s="37" t="str">
        <f t="shared" ref="AD25" si="259">IF(S24="","",(1/AC25*(W25/100/2)^(8/3)*(1/AB24*100)^(1/2)*1.65696)*100)</f>
        <v/>
      </c>
      <c r="AE25" s="37" t="str">
        <f t="shared" ref="AE25" si="260">IF(S24="","",1/AC25*(W25/100/2)^(2/3)*(1/AB24)^(1/2)*0.70541)</f>
        <v/>
      </c>
      <c r="AF25" s="37" t="str">
        <f t="shared" ref="AF25" si="261">IF(S24="","",ROUNDDOWN(AD25/($U$3/8.64),3))</f>
        <v/>
      </c>
      <c r="AG25" s="38" t="str">
        <f t="shared" ref="AG25" si="262">IF(S24="","",ROUNDDOWN(AF25*10000/$AJ$3,0))</f>
        <v/>
      </c>
      <c r="AH25" s="39" t="str">
        <f t="shared" ref="AH25" si="263">IF(S24="","",IF(AG25&gt;AI24,"＞",IF(AG25=AI24,"=","＜")))</f>
        <v/>
      </c>
      <c r="AI25" s="42"/>
      <c r="AJ25" s="44"/>
      <c r="AK25" s="39" t="str">
        <f t="shared" ref="AK25" si="264">IF(S24="","",IF(AND(T25=1,AE25&gt;1),"NG",IF(AH25="＞","OK","NG")))</f>
        <v/>
      </c>
    </row>
    <row r="26" spans="1:37" ht="15.75" customHeight="1" x14ac:dyDescent="0.15">
      <c r="A26" s="80"/>
      <c r="B26" s="81">
        <v>2</v>
      </c>
      <c r="C26" s="58" t="str">
        <f t="shared" ref="C26" si="265">IF(A26="","",IF(B26=1,"素　焼土　管",IF(B26=2,"合　成樹脂管",IF(B26=3,"無孔管",""))))</f>
        <v/>
      </c>
      <c r="D26" s="60"/>
      <c r="E26" s="82"/>
      <c r="F26" s="83"/>
      <c r="G26" s="83"/>
      <c r="H26" s="84"/>
      <c r="I26" s="53" t="str">
        <f t="shared" ref="I26" si="266">IF(A26="","",F26-G26+H26)</f>
        <v/>
      </c>
      <c r="J26" s="55" t="str">
        <f t="shared" ref="J26" si="267">IF(A26="",""," 1/")</f>
        <v/>
      </c>
      <c r="K26" s="85"/>
      <c r="L26" s="56" t="str">
        <f t="shared" ref="L26" si="268">IF(A26="","",IF(B26=1,0.013,0.012))</f>
        <v/>
      </c>
      <c r="M26" s="47" t="str">
        <f t="shared" ref="M26" si="269">IF(A26="","",(1/L26*(E26/100/2)^(8/3)*(1/K26*100)^(1/2)*1.65696)*100)</f>
        <v/>
      </c>
      <c r="N26" s="47" t="str">
        <f t="shared" ref="N26" si="270">IF(A26="","",1/L26*(E26/100/2)^(2/3)*(1/K26)^(1/2)*0.70541)</f>
        <v/>
      </c>
      <c r="O26" s="48" t="str">
        <f t="shared" ref="O26" si="271">IF(A26="","",ROUNDDOWN(M26/($U$3/8.64)*10000/$AJ$3,0))</f>
        <v/>
      </c>
      <c r="P26" s="49" t="str">
        <f t="shared" ref="P26" si="272">IF(A26="","",IF(O26&gt;Q26,"＞","＜"))</f>
        <v/>
      </c>
      <c r="Q26" s="48" t="str">
        <f t="shared" ref="Q26" si="273">IF(A26="","",I26)</f>
        <v/>
      </c>
      <c r="R26" s="51" t="str">
        <f t="shared" ref="R26" si="274">IF(A26="","",IF(P26="＞","OK","NG"))</f>
        <v/>
      </c>
      <c r="S26" s="86"/>
      <c r="T26" s="87"/>
      <c r="U26" s="28" t="str">
        <f t="shared" ref="U26" si="275">IF(S26="","",IF(T26=1,"素焼土管",IF(T26=2,"合成樹脂管",IF(T26=3,"無孔管",""))))</f>
        <v/>
      </c>
      <c r="V26" s="29"/>
      <c r="W26" s="88"/>
      <c r="X26" s="89"/>
      <c r="Y26" s="90"/>
      <c r="Z26" s="41" t="str">
        <f t="shared" ref="Z26" si="276">IF(S26="","",IF(AND(T27=3,I26=""),Z24+Y26,IF(AND(Z24="",I24=""),I26+Y26,IF(AND(T27=3,I26&gt;0,Z24&gt;0),I26+Z24+Y26,IF(Z24="",I24+I26+X26+Y26,IF(I26="",Z24+X26+Y26,Z24+I26+X26+Y26))))))</f>
        <v/>
      </c>
      <c r="AA26" s="45" t="str">
        <f t="shared" ref="AA26" si="277">IF(AB26="",""," 1/")</f>
        <v/>
      </c>
      <c r="AB26" s="91"/>
      <c r="AC26" s="30" t="str">
        <f t="shared" ref="AC26" si="278">IF(S26="","",IF(T26="","",IF(T26=1,0.013,0.012)))</f>
        <v/>
      </c>
      <c r="AD26" s="31" t="str">
        <f t="shared" ref="AD26" si="279">IF(S26="","",IF(T26="","",(1/AC26*(W26/100/2)^(8/3)*(1/AB26*100)^(1/2)*1.65696)*100))</f>
        <v/>
      </c>
      <c r="AE26" s="31" t="str">
        <f t="shared" ref="AE26" si="280">IF(S26="","",IF(T26="","",1/AC26*(W26/100/2)^(2/3)*(1/AB26)^(1/2)*0.70541))</f>
        <v/>
      </c>
      <c r="AF26" s="31" t="str">
        <f t="shared" ref="AF26" si="281">IF(S26="","",IF(T26="","",ROUNDDOWN(AD26/($U$3/8.64),3)))</f>
        <v/>
      </c>
      <c r="AG26" s="32" t="str">
        <f t="shared" ref="AG26" si="282">IF(S26="","",IF(T26="","",ROUNDDOWN(AF26*10000/$AJ$3,0)))</f>
        <v/>
      </c>
      <c r="AH26" s="33" t="str">
        <f t="shared" ref="AH26" si="283">IF(S26="","",IF(T26="","",IF(AG26&gt;AI26,"＞","＜")))</f>
        <v/>
      </c>
      <c r="AI26" s="41" t="str">
        <f t="shared" ref="AI26" si="284">IF(S26="","",Z26)</f>
        <v/>
      </c>
      <c r="AJ26" s="43" t="str">
        <f t="shared" ref="AJ26" si="285">IF(S26="","",AI26*$AJ$3/10000)</f>
        <v/>
      </c>
      <c r="AK26" s="33" t="str">
        <f t="shared" ref="AK26" si="286">IF(S26="","",IF(T26="","",IF(AND(T26=1,AE26&gt;1),"NG",IF(AH26="＞","OK","NG"))))</f>
        <v/>
      </c>
    </row>
    <row r="27" spans="1:37" ht="15.75" customHeight="1" x14ac:dyDescent="0.15">
      <c r="A27" s="92"/>
      <c r="B27" s="93"/>
      <c r="C27" s="59"/>
      <c r="D27" s="61"/>
      <c r="E27" s="94"/>
      <c r="F27" s="95"/>
      <c r="G27" s="95"/>
      <c r="H27" s="96"/>
      <c r="I27" s="54"/>
      <c r="J27" s="46"/>
      <c r="K27" s="97"/>
      <c r="L27" s="57"/>
      <c r="M27" s="44"/>
      <c r="N27" s="44"/>
      <c r="O27" s="42"/>
      <c r="P27" s="50"/>
      <c r="Q27" s="42"/>
      <c r="R27" s="52"/>
      <c r="S27" s="98"/>
      <c r="T27" s="99">
        <v>2</v>
      </c>
      <c r="U27" s="34" t="str">
        <f t="shared" ref="U27" si="287">IF(S26="","",IF(T26=T27,"〃",IF(T27=1,"素焼土管",IF(T27=2,"合成樹脂管",IF(T27=3,"無孔管","")))))</f>
        <v/>
      </c>
      <c r="V27" s="35"/>
      <c r="W27" s="100"/>
      <c r="X27" s="101"/>
      <c r="Y27" s="95"/>
      <c r="Z27" s="42"/>
      <c r="AA27" s="46"/>
      <c r="AB27" s="97"/>
      <c r="AC27" s="36" t="str">
        <f t="shared" ref="AC27" si="288">IF(S26="","",IF(T27=1,0.013,0.012))</f>
        <v/>
      </c>
      <c r="AD27" s="37" t="str">
        <f t="shared" ref="AD27" si="289">IF(S26="","",(1/AC27*(W27/100/2)^(8/3)*(1/AB26*100)^(1/2)*1.65696)*100)</f>
        <v/>
      </c>
      <c r="AE27" s="37" t="str">
        <f t="shared" ref="AE27" si="290">IF(S26="","",1/AC27*(W27/100/2)^(2/3)*(1/AB26)^(1/2)*0.70541)</f>
        <v/>
      </c>
      <c r="AF27" s="37" t="str">
        <f t="shared" ref="AF27" si="291">IF(S26="","",ROUNDDOWN(AD27/($U$3/8.64),3))</f>
        <v/>
      </c>
      <c r="AG27" s="38" t="str">
        <f t="shared" ref="AG27" si="292">IF(S26="","",ROUNDDOWN(AF27*10000/$AJ$3,0))</f>
        <v/>
      </c>
      <c r="AH27" s="39" t="str">
        <f t="shared" ref="AH27" si="293">IF(S26="","",IF(AG27&gt;AI26,"＞",IF(AG27=AI26,"=","＜")))</f>
        <v/>
      </c>
      <c r="AI27" s="42"/>
      <c r="AJ27" s="44"/>
      <c r="AK27" s="39" t="str">
        <f t="shared" ref="AK27" si="294">IF(S26="","",IF(AND(T27=1,AE27&gt;1),"NG",IF(AH27="＞","OK","NG")))</f>
        <v/>
      </c>
    </row>
    <row r="28" spans="1:37" ht="15.75" customHeight="1" x14ac:dyDescent="0.15">
      <c r="A28" s="80"/>
      <c r="B28" s="81">
        <v>2</v>
      </c>
      <c r="C28" s="58" t="str">
        <f t="shared" ref="C28" si="295">IF(A28="","",IF(B28=1,"素　焼土　管",IF(B28=2,"合　成樹脂管",IF(B28=3,"無孔管",""))))</f>
        <v/>
      </c>
      <c r="D28" s="60"/>
      <c r="E28" s="82"/>
      <c r="F28" s="83"/>
      <c r="G28" s="83"/>
      <c r="H28" s="84"/>
      <c r="I28" s="53" t="str">
        <f t="shared" ref="I28" si="296">IF(A28="","",F28-G28+H28)</f>
        <v/>
      </c>
      <c r="J28" s="55" t="str">
        <f t="shared" ref="J28" si="297">IF(A28="",""," 1/")</f>
        <v/>
      </c>
      <c r="K28" s="85"/>
      <c r="L28" s="56" t="str">
        <f t="shared" ref="L28" si="298">IF(A28="","",IF(B28=1,0.013,0.012))</f>
        <v/>
      </c>
      <c r="M28" s="47" t="str">
        <f t="shared" ref="M28" si="299">IF(A28="","",(1/L28*(E28/100/2)^(8/3)*(1/K28*100)^(1/2)*1.65696)*100)</f>
        <v/>
      </c>
      <c r="N28" s="47" t="str">
        <f t="shared" ref="N28" si="300">IF(A28="","",1/L28*(E28/100/2)^(2/3)*(1/K28)^(1/2)*0.70541)</f>
        <v/>
      </c>
      <c r="O28" s="48" t="str">
        <f t="shared" ref="O28" si="301">IF(A28="","",ROUNDDOWN(M28/($U$3/8.64)*10000/$AJ$3,0))</f>
        <v/>
      </c>
      <c r="P28" s="49" t="str">
        <f t="shared" ref="P28" si="302">IF(A28="","",IF(O28&gt;Q28,"＞","＜"))</f>
        <v/>
      </c>
      <c r="Q28" s="48" t="str">
        <f t="shared" ref="Q28" si="303">IF(A28="","",I28)</f>
        <v/>
      </c>
      <c r="R28" s="51" t="str">
        <f t="shared" ref="R28" si="304">IF(A28="","",IF(P28="＞","OK","NG"))</f>
        <v/>
      </c>
      <c r="S28" s="86"/>
      <c r="T28" s="87"/>
      <c r="U28" s="28" t="str">
        <f t="shared" ref="U28" si="305">IF(S28="","",IF(T28=1,"素焼土管",IF(T28=2,"合成樹脂管",IF(T28=3,"無孔管",""))))</f>
        <v/>
      </c>
      <c r="V28" s="29"/>
      <c r="W28" s="88"/>
      <c r="X28" s="89"/>
      <c r="Y28" s="90"/>
      <c r="Z28" s="41" t="str">
        <f t="shared" ref="Z28" si="306">IF(S28="","",IF(AND(T29=3,I28=""),Z26+Y28,IF(AND(Z26="",I26=""),I28+Y28,IF(AND(T29=3,I28&gt;0,Z26&gt;0),I28+Z26+Y28,IF(Z26="",I26+I28+X28+Y28,IF(I28="",Z26+X28+Y28,Z26+I28+X28+Y28))))))</f>
        <v/>
      </c>
      <c r="AA28" s="45" t="str">
        <f t="shared" ref="AA28" si="307">IF(AB28="",""," 1/")</f>
        <v/>
      </c>
      <c r="AB28" s="91"/>
      <c r="AC28" s="30" t="str">
        <f t="shared" ref="AC28" si="308">IF(S28="","",IF(T28="","",IF(T28=1,0.013,0.012)))</f>
        <v/>
      </c>
      <c r="AD28" s="31" t="str">
        <f t="shared" ref="AD28" si="309">IF(S28="","",IF(T28="","",(1/AC28*(W28/100/2)^(8/3)*(1/AB28*100)^(1/2)*1.65696)*100))</f>
        <v/>
      </c>
      <c r="AE28" s="31" t="str">
        <f t="shared" ref="AE28" si="310">IF(S28="","",IF(T28="","",1/AC28*(W28/100/2)^(2/3)*(1/AB28)^(1/2)*0.70541))</f>
        <v/>
      </c>
      <c r="AF28" s="31" t="str">
        <f t="shared" ref="AF28" si="311">IF(S28="","",IF(T28="","",ROUNDDOWN(AD28/($U$3/8.64),3)))</f>
        <v/>
      </c>
      <c r="AG28" s="32" t="str">
        <f t="shared" ref="AG28" si="312">IF(S28="","",IF(T28="","",ROUNDDOWN(AF28*10000/$AJ$3,0)))</f>
        <v/>
      </c>
      <c r="AH28" s="33" t="str">
        <f t="shared" ref="AH28" si="313">IF(S28="","",IF(T28="","",IF(AG28&gt;AI28,"＞","＜")))</f>
        <v/>
      </c>
      <c r="AI28" s="41" t="str">
        <f t="shared" ref="AI28" si="314">IF(S28="","",Z28)</f>
        <v/>
      </c>
      <c r="AJ28" s="43" t="str">
        <f t="shared" ref="AJ28" si="315">IF(S28="","",AI28*$AJ$3/10000)</f>
        <v/>
      </c>
      <c r="AK28" s="33" t="str">
        <f t="shared" ref="AK28" si="316">IF(S28="","",IF(T28="","",IF(AND(T28=1,AE28&gt;1),"NG",IF(AH28="＞","OK","NG"))))</f>
        <v/>
      </c>
    </row>
    <row r="29" spans="1:37" ht="15.75" customHeight="1" x14ac:dyDescent="0.15">
      <c r="A29" s="92"/>
      <c r="B29" s="93"/>
      <c r="C29" s="59"/>
      <c r="D29" s="61"/>
      <c r="E29" s="94"/>
      <c r="F29" s="95"/>
      <c r="G29" s="95"/>
      <c r="H29" s="96"/>
      <c r="I29" s="54"/>
      <c r="J29" s="46"/>
      <c r="K29" s="97"/>
      <c r="L29" s="57"/>
      <c r="M29" s="44"/>
      <c r="N29" s="44"/>
      <c r="O29" s="42"/>
      <c r="P29" s="50"/>
      <c r="Q29" s="42"/>
      <c r="R29" s="52"/>
      <c r="S29" s="98"/>
      <c r="T29" s="99">
        <v>2</v>
      </c>
      <c r="U29" s="34" t="str">
        <f t="shared" ref="U29" si="317">IF(S28="","",IF(T28=T29,"〃",IF(T29=1,"素焼土管",IF(T29=2,"合成樹脂管",IF(T29=3,"無孔管","")))))</f>
        <v/>
      </c>
      <c r="V29" s="35"/>
      <c r="W29" s="100"/>
      <c r="X29" s="101"/>
      <c r="Y29" s="95"/>
      <c r="Z29" s="42"/>
      <c r="AA29" s="46"/>
      <c r="AB29" s="97"/>
      <c r="AC29" s="36" t="str">
        <f t="shared" ref="AC29" si="318">IF(S28="","",IF(T29=1,0.013,0.012))</f>
        <v/>
      </c>
      <c r="AD29" s="37" t="str">
        <f t="shared" ref="AD29" si="319">IF(S28="","",(1/AC29*(W29/100/2)^(8/3)*(1/AB28*100)^(1/2)*1.65696)*100)</f>
        <v/>
      </c>
      <c r="AE29" s="37" t="str">
        <f t="shared" ref="AE29" si="320">IF(S28="","",1/AC29*(W29/100/2)^(2/3)*(1/AB28)^(1/2)*0.70541)</f>
        <v/>
      </c>
      <c r="AF29" s="37" t="str">
        <f t="shared" ref="AF29" si="321">IF(S28="","",ROUNDDOWN(AD29/($U$3/8.64),3))</f>
        <v/>
      </c>
      <c r="AG29" s="38" t="str">
        <f t="shared" ref="AG29" si="322">IF(S28="","",ROUNDDOWN(AF29*10000/$AJ$3,0))</f>
        <v/>
      </c>
      <c r="AH29" s="39" t="str">
        <f t="shared" ref="AH29" si="323">IF(S28="","",IF(AG29&gt;AI28,"＞",IF(AG29=AI28,"=","＜")))</f>
        <v/>
      </c>
      <c r="AI29" s="42"/>
      <c r="AJ29" s="44"/>
      <c r="AK29" s="39" t="str">
        <f t="shared" ref="AK29" si="324">IF(S28="","",IF(AND(T29=1,AE29&gt;1),"NG",IF(AH29="＞","OK","NG")))</f>
        <v/>
      </c>
    </row>
    <row r="30" spans="1:37" ht="15.75" customHeight="1" x14ac:dyDescent="0.15">
      <c r="A30" s="80"/>
      <c r="B30" s="81">
        <v>2</v>
      </c>
      <c r="C30" s="58" t="str">
        <f t="shared" ref="C30" si="325">IF(A30="","",IF(B30=1,"素　焼土　管",IF(B30=2,"合　成樹脂管",IF(B30=3,"無孔管",""))))</f>
        <v/>
      </c>
      <c r="D30" s="60"/>
      <c r="E30" s="82"/>
      <c r="F30" s="83"/>
      <c r="G30" s="83"/>
      <c r="H30" s="84"/>
      <c r="I30" s="53" t="str">
        <f t="shared" ref="I30" si="326">IF(A30="","",F30-G30+H30)</f>
        <v/>
      </c>
      <c r="J30" s="55" t="str">
        <f t="shared" ref="J30" si="327">IF(A30="",""," 1/")</f>
        <v/>
      </c>
      <c r="K30" s="85"/>
      <c r="L30" s="56" t="str">
        <f t="shared" ref="L30" si="328">IF(A30="","",IF(B30=1,0.013,0.012))</f>
        <v/>
      </c>
      <c r="M30" s="47" t="str">
        <f t="shared" ref="M30" si="329">IF(A30="","",(1/L30*(E30/100/2)^(8/3)*(1/K30*100)^(1/2)*1.65696)*100)</f>
        <v/>
      </c>
      <c r="N30" s="47" t="str">
        <f t="shared" ref="N30" si="330">IF(A30="","",1/L30*(E30/100/2)^(2/3)*(1/K30)^(1/2)*0.70541)</f>
        <v/>
      </c>
      <c r="O30" s="48" t="str">
        <f t="shared" ref="O30" si="331">IF(A30="","",ROUNDDOWN(M30/($U$3/8.64)*10000/$AJ$3,0))</f>
        <v/>
      </c>
      <c r="P30" s="49" t="str">
        <f t="shared" ref="P30" si="332">IF(A30="","",IF(O30&gt;Q30,"＞","＜"))</f>
        <v/>
      </c>
      <c r="Q30" s="48" t="str">
        <f t="shared" ref="Q30" si="333">IF(A30="","",I30)</f>
        <v/>
      </c>
      <c r="R30" s="51" t="str">
        <f t="shared" ref="R30" si="334">IF(A30="","",IF(P30="＞","OK","NG"))</f>
        <v/>
      </c>
      <c r="S30" s="86"/>
      <c r="T30" s="87"/>
      <c r="U30" s="28" t="str">
        <f t="shared" ref="U30" si="335">IF(S30="","",IF(T30=1,"素焼土管",IF(T30=2,"合成樹脂管",IF(T30=3,"無孔管",""))))</f>
        <v/>
      </c>
      <c r="V30" s="29"/>
      <c r="W30" s="88"/>
      <c r="X30" s="89"/>
      <c r="Y30" s="90"/>
      <c r="Z30" s="41" t="str">
        <f t="shared" ref="Z30" si="336">IF(S30="","",IF(AND(T31=3,I30=""),Z28+Y30,IF(AND(Z28="",I28=""),I30+Y30,IF(AND(T31=3,I30&gt;0,Z28&gt;0),I30+Z28+Y30,IF(Z28="",I28+I30+X30+Y30,IF(I30="",Z28+X30+Y30,Z28+I30+X30+Y30))))))</f>
        <v/>
      </c>
      <c r="AA30" s="45" t="str">
        <f t="shared" ref="AA30" si="337">IF(AB30="",""," 1/")</f>
        <v/>
      </c>
      <c r="AB30" s="91"/>
      <c r="AC30" s="30" t="str">
        <f t="shared" ref="AC30" si="338">IF(S30="","",IF(T30="","",IF(T30=1,0.013,0.012)))</f>
        <v/>
      </c>
      <c r="AD30" s="31" t="str">
        <f t="shared" ref="AD30" si="339">IF(S30="","",IF(T30="","",(1/AC30*(W30/100/2)^(8/3)*(1/AB30*100)^(1/2)*1.65696)*100))</f>
        <v/>
      </c>
      <c r="AE30" s="31" t="str">
        <f t="shared" ref="AE30" si="340">IF(S30="","",IF(T30="","",1/AC30*(W30/100/2)^(2/3)*(1/AB30)^(1/2)*0.70541))</f>
        <v/>
      </c>
      <c r="AF30" s="31" t="str">
        <f t="shared" ref="AF30" si="341">IF(S30="","",IF(T30="","",ROUNDDOWN(AD30/($U$3/8.64),3)))</f>
        <v/>
      </c>
      <c r="AG30" s="32" t="str">
        <f t="shared" ref="AG30" si="342">IF(S30="","",IF(T30="","",ROUNDDOWN(AF30*10000/$AJ$3,0)))</f>
        <v/>
      </c>
      <c r="AH30" s="33" t="str">
        <f t="shared" ref="AH30" si="343">IF(S30="","",IF(T30="","",IF(AG30&gt;AI30,"＞","＜")))</f>
        <v/>
      </c>
      <c r="AI30" s="41" t="str">
        <f t="shared" ref="AI30" si="344">IF(S30="","",Z30)</f>
        <v/>
      </c>
      <c r="AJ30" s="43" t="str">
        <f t="shared" ref="AJ30" si="345">IF(S30="","",AI30*$AJ$3/10000)</f>
        <v/>
      </c>
      <c r="AK30" s="33" t="str">
        <f t="shared" ref="AK30" si="346">IF(S30="","",IF(T30="","",IF(AND(T30=1,AE30&gt;1),"NG",IF(AH30="＞","OK","NG"))))</f>
        <v/>
      </c>
    </row>
    <row r="31" spans="1:37" ht="15.75" customHeight="1" x14ac:dyDescent="0.15">
      <c r="A31" s="92"/>
      <c r="B31" s="93"/>
      <c r="C31" s="59"/>
      <c r="D31" s="61"/>
      <c r="E31" s="94"/>
      <c r="F31" s="95"/>
      <c r="G31" s="95"/>
      <c r="H31" s="96"/>
      <c r="I31" s="54"/>
      <c r="J31" s="46"/>
      <c r="K31" s="97"/>
      <c r="L31" s="57"/>
      <c r="M31" s="44"/>
      <c r="N31" s="44"/>
      <c r="O31" s="42"/>
      <c r="P31" s="50"/>
      <c r="Q31" s="42"/>
      <c r="R31" s="52"/>
      <c r="S31" s="98"/>
      <c r="T31" s="99">
        <v>2</v>
      </c>
      <c r="U31" s="34" t="str">
        <f t="shared" ref="U31" si="347">IF(S30="","",IF(T30=T31,"〃",IF(T31=1,"素焼土管",IF(T31=2,"合成樹脂管",IF(T31=3,"無孔管","")))))</f>
        <v/>
      </c>
      <c r="V31" s="35"/>
      <c r="W31" s="100"/>
      <c r="X31" s="101"/>
      <c r="Y31" s="95"/>
      <c r="Z31" s="42"/>
      <c r="AA31" s="46"/>
      <c r="AB31" s="97"/>
      <c r="AC31" s="36" t="str">
        <f t="shared" ref="AC31" si="348">IF(S30="","",IF(T31=1,0.013,0.012))</f>
        <v/>
      </c>
      <c r="AD31" s="37" t="str">
        <f t="shared" ref="AD31" si="349">IF(S30="","",(1/AC31*(W31/100/2)^(8/3)*(1/AB30*100)^(1/2)*1.65696)*100)</f>
        <v/>
      </c>
      <c r="AE31" s="37" t="str">
        <f t="shared" ref="AE31" si="350">IF(S30="","",1/AC31*(W31/100/2)^(2/3)*(1/AB30)^(1/2)*0.70541)</f>
        <v/>
      </c>
      <c r="AF31" s="37" t="str">
        <f t="shared" ref="AF31" si="351">IF(S30="","",ROUNDDOWN(AD31/($U$3/8.64),3))</f>
        <v/>
      </c>
      <c r="AG31" s="38" t="str">
        <f t="shared" ref="AG31" si="352">IF(S30="","",ROUNDDOWN(AF31*10000/$AJ$3,0))</f>
        <v/>
      </c>
      <c r="AH31" s="39" t="str">
        <f t="shared" ref="AH31" si="353">IF(S30="","",IF(AG31&gt;AI30,"＞",IF(AG31=AI30,"=","＜")))</f>
        <v/>
      </c>
      <c r="AI31" s="42"/>
      <c r="AJ31" s="44"/>
      <c r="AK31" s="39" t="str">
        <f t="shared" ref="AK31" si="354">IF(S30="","",IF(AND(T31=1,AE31&gt;1),"NG",IF(AH31="＞","OK","NG")))</f>
        <v/>
      </c>
    </row>
    <row r="32" spans="1:37" ht="15.75" customHeight="1" x14ac:dyDescent="0.15">
      <c r="A32" s="80"/>
      <c r="B32" s="81">
        <v>2</v>
      </c>
      <c r="C32" s="58" t="str">
        <f t="shared" ref="C32" si="355">IF(A32="","",IF(B32=1,"素　焼土　管",IF(B32=2,"合　成樹脂管",IF(B32=3,"無孔管",""))))</f>
        <v/>
      </c>
      <c r="D32" s="60"/>
      <c r="E32" s="82"/>
      <c r="F32" s="83"/>
      <c r="G32" s="83"/>
      <c r="H32" s="84"/>
      <c r="I32" s="53" t="str">
        <f t="shared" ref="I32" si="356">IF(A32="","",F32-G32+H32)</f>
        <v/>
      </c>
      <c r="J32" s="55" t="str">
        <f t="shared" ref="J32" si="357">IF(A32="",""," 1/")</f>
        <v/>
      </c>
      <c r="K32" s="85"/>
      <c r="L32" s="56" t="str">
        <f t="shared" ref="L32" si="358">IF(A32="","",IF(B32=1,0.013,0.012))</f>
        <v/>
      </c>
      <c r="M32" s="47" t="str">
        <f t="shared" ref="M32" si="359">IF(A32="","",(1/L32*(E32/100/2)^(8/3)*(1/K32*100)^(1/2)*1.65696)*100)</f>
        <v/>
      </c>
      <c r="N32" s="47" t="str">
        <f t="shared" ref="N32" si="360">IF(A32="","",1/L32*(E32/100/2)^(2/3)*(1/K32)^(1/2)*0.70541)</f>
        <v/>
      </c>
      <c r="O32" s="48" t="str">
        <f t="shared" ref="O32" si="361">IF(A32="","",ROUNDDOWN(M32/($U$3/8.64)*10000/$AJ$3,0))</f>
        <v/>
      </c>
      <c r="P32" s="49" t="str">
        <f t="shared" ref="P32" si="362">IF(A32="","",IF(O32&gt;Q32,"＞","＜"))</f>
        <v/>
      </c>
      <c r="Q32" s="48" t="str">
        <f t="shared" ref="Q32" si="363">IF(A32="","",I32)</f>
        <v/>
      </c>
      <c r="R32" s="51" t="str">
        <f t="shared" ref="R32" si="364">IF(A32="","",IF(P32="＞","OK","NG"))</f>
        <v/>
      </c>
      <c r="S32" s="86"/>
      <c r="T32" s="87"/>
      <c r="U32" s="28" t="str">
        <f t="shared" ref="U32" si="365">IF(S32="","",IF(T32=1,"素焼土管",IF(T32=2,"合成樹脂管",IF(T32=3,"無孔管",""))))</f>
        <v/>
      </c>
      <c r="V32" s="29"/>
      <c r="W32" s="88"/>
      <c r="X32" s="89"/>
      <c r="Y32" s="90"/>
      <c r="Z32" s="41" t="str">
        <f t="shared" ref="Z32" si="366">IF(S32="","",IF(AND(T33=3,I32=""),Z30+Y32,IF(AND(Z30="",I30=""),I32+Y32,IF(AND(T33=3,I32&gt;0,Z30&gt;0),I32+Z30+Y32,IF(Z30="",I30+I32+X32+Y32,IF(I32="",Z30+X32+Y32,Z30+I32+X32+Y32))))))</f>
        <v/>
      </c>
      <c r="AA32" s="45" t="str">
        <f t="shared" ref="AA32" si="367">IF(AB32="",""," 1/")</f>
        <v/>
      </c>
      <c r="AB32" s="91"/>
      <c r="AC32" s="30" t="str">
        <f t="shared" ref="AC32" si="368">IF(S32="","",IF(T32="","",IF(T32=1,0.013,0.012)))</f>
        <v/>
      </c>
      <c r="AD32" s="31" t="str">
        <f t="shared" ref="AD32" si="369">IF(S32="","",IF(T32="","",(1/AC32*(W32/100/2)^(8/3)*(1/AB32*100)^(1/2)*1.65696)*100))</f>
        <v/>
      </c>
      <c r="AE32" s="31" t="str">
        <f t="shared" ref="AE32" si="370">IF(S32="","",IF(T32="","",1/AC32*(W32/100/2)^(2/3)*(1/AB32)^(1/2)*0.70541))</f>
        <v/>
      </c>
      <c r="AF32" s="31" t="str">
        <f t="shared" ref="AF32" si="371">IF(S32="","",IF(T32="","",ROUNDDOWN(AD32/($U$3/8.64),3)))</f>
        <v/>
      </c>
      <c r="AG32" s="32" t="str">
        <f t="shared" ref="AG32" si="372">IF(S32="","",IF(T32="","",ROUNDDOWN(AF32*10000/$AJ$3,0)))</f>
        <v/>
      </c>
      <c r="AH32" s="33" t="str">
        <f t="shared" ref="AH32" si="373">IF(S32="","",IF(T32="","",IF(AG32&gt;AI32,"＞","＜")))</f>
        <v/>
      </c>
      <c r="AI32" s="41" t="str">
        <f t="shared" ref="AI32" si="374">IF(S32="","",Z32)</f>
        <v/>
      </c>
      <c r="AJ32" s="43" t="str">
        <f t="shared" ref="AJ32" si="375">IF(S32="","",AI32*$AJ$3/10000)</f>
        <v/>
      </c>
      <c r="AK32" s="33" t="str">
        <f t="shared" ref="AK32" si="376">IF(S32="","",IF(T32="","",IF(AND(T32=1,AE32&gt;1),"NG",IF(AH32="＞","OK","NG"))))</f>
        <v/>
      </c>
    </row>
    <row r="33" spans="1:37" ht="15.75" customHeight="1" x14ac:dyDescent="0.15">
      <c r="A33" s="92"/>
      <c r="B33" s="93"/>
      <c r="C33" s="59"/>
      <c r="D33" s="61"/>
      <c r="E33" s="94"/>
      <c r="F33" s="95"/>
      <c r="G33" s="95"/>
      <c r="H33" s="96"/>
      <c r="I33" s="54"/>
      <c r="J33" s="46"/>
      <c r="K33" s="97"/>
      <c r="L33" s="57"/>
      <c r="M33" s="44"/>
      <c r="N33" s="44"/>
      <c r="O33" s="42"/>
      <c r="P33" s="50"/>
      <c r="Q33" s="42"/>
      <c r="R33" s="52"/>
      <c r="S33" s="98"/>
      <c r="T33" s="99"/>
      <c r="U33" s="34" t="str">
        <f t="shared" ref="U33" si="377">IF(S32="","",IF(T32=T33,"〃",IF(T33=1,"素焼土管",IF(T33=2,"合成樹脂管",IF(T33=3,"無孔管","")))))</f>
        <v/>
      </c>
      <c r="V33" s="35"/>
      <c r="W33" s="100"/>
      <c r="X33" s="101"/>
      <c r="Y33" s="95"/>
      <c r="Z33" s="42"/>
      <c r="AA33" s="46"/>
      <c r="AB33" s="97"/>
      <c r="AC33" s="36" t="str">
        <f t="shared" ref="AC33" si="378">IF(S32="","",IF(T33=1,0.013,0.012))</f>
        <v/>
      </c>
      <c r="AD33" s="37" t="str">
        <f t="shared" ref="AD33" si="379">IF(S32="","",(1/AC33*(W33/100/2)^(8/3)*(1/AB32*100)^(1/2)*1.65696)*100)</f>
        <v/>
      </c>
      <c r="AE33" s="37" t="str">
        <f t="shared" ref="AE33" si="380">IF(S32="","",1/AC33*(W33/100/2)^(2/3)*(1/AB32)^(1/2)*0.70541)</f>
        <v/>
      </c>
      <c r="AF33" s="37" t="str">
        <f t="shared" ref="AF33" si="381">IF(S32="","",ROUNDDOWN(AD33/($U$3/8.64),3))</f>
        <v/>
      </c>
      <c r="AG33" s="38" t="str">
        <f t="shared" ref="AG33" si="382">IF(S32="","",ROUNDDOWN(AF33*10000/$AJ$3,0))</f>
        <v/>
      </c>
      <c r="AH33" s="39" t="str">
        <f t="shared" ref="AH33" si="383">IF(S32="","",IF(AG33&gt;AI32,"＞",IF(AG33=AI32,"=","＜")))</f>
        <v/>
      </c>
      <c r="AI33" s="42"/>
      <c r="AJ33" s="44"/>
      <c r="AK33" s="39" t="str">
        <f t="shared" ref="AK33" si="384">IF(S32="","",IF(AND(T33=1,AE33&gt;1),"NG",IF(AH33="＞","OK","NG")))</f>
        <v/>
      </c>
    </row>
    <row r="34" spans="1:37" ht="15.75" customHeight="1" x14ac:dyDescent="0.15">
      <c r="A34" s="80"/>
      <c r="B34" s="81">
        <v>2</v>
      </c>
      <c r="C34" s="58" t="str">
        <f t="shared" ref="C34" si="385">IF(A34="","",IF(B34=1,"素　焼土　管",IF(B34=2,"合　成樹脂管",IF(B34=3,"無孔管",""))))</f>
        <v/>
      </c>
      <c r="D34" s="60"/>
      <c r="E34" s="82"/>
      <c r="F34" s="83"/>
      <c r="G34" s="83"/>
      <c r="H34" s="84"/>
      <c r="I34" s="53" t="str">
        <f t="shared" ref="I34" si="386">IF(A34="","",F34-G34+H34)</f>
        <v/>
      </c>
      <c r="J34" s="55" t="str">
        <f t="shared" ref="J34" si="387">IF(A34="",""," 1/")</f>
        <v/>
      </c>
      <c r="K34" s="85"/>
      <c r="L34" s="56" t="str">
        <f t="shared" ref="L34" si="388">IF(A34="","",IF(B34=1,0.013,0.012))</f>
        <v/>
      </c>
      <c r="M34" s="47" t="str">
        <f t="shared" ref="M34" si="389">IF(A34="","",(1/L34*(E34/100/2)^(8/3)*(1/K34*100)^(1/2)*1.65696)*100)</f>
        <v/>
      </c>
      <c r="N34" s="47" t="str">
        <f t="shared" ref="N34" si="390">IF(A34="","",1/L34*(E34/100/2)^(2/3)*(1/K34)^(1/2)*0.70541)</f>
        <v/>
      </c>
      <c r="O34" s="48" t="str">
        <f t="shared" ref="O34" si="391">IF(A34="","",ROUNDDOWN(M34/($U$3/8.64)*10000/$AJ$3,0))</f>
        <v/>
      </c>
      <c r="P34" s="49" t="str">
        <f t="shared" ref="P34" si="392">IF(A34="","",IF(O34&gt;Q34,"＞","＜"))</f>
        <v/>
      </c>
      <c r="Q34" s="48" t="str">
        <f t="shared" ref="Q34" si="393">IF(A34="","",I34)</f>
        <v/>
      </c>
      <c r="R34" s="51" t="str">
        <f t="shared" ref="R34" si="394">IF(A34="","",IF(P34="＞","OK","NG"))</f>
        <v/>
      </c>
      <c r="S34" s="86"/>
      <c r="T34" s="87"/>
      <c r="U34" s="28" t="str">
        <f t="shared" ref="U34" si="395">IF(S34="","",IF(T34=1,"素焼土管",IF(T34=2,"合成樹脂管",IF(T34=3,"無孔管",""))))</f>
        <v/>
      </c>
      <c r="V34" s="29"/>
      <c r="W34" s="88"/>
      <c r="X34" s="89"/>
      <c r="Y34" s="90">
        <v>-6</v>
      </c>
      <c r="Z34" s="41" t="str">
        <f t="shared" ref="Z34" si="396">IF(S34="","",IF(AND(T35=3,I34=""),Z32+Y34,IF(AND(Z32="",I32=""),I34+Y34,IF(AND(T35=3,I34&gt;0,Z32&gt;0),I34+Z32+Y34,IF(Z32="",I32+I34+X34+Y34,IF(I34="",Z32+X34+Y34,Z32+I34+X34+Y34))))))</f>
        <v/>
      </c>
      <c r="AA34" s="45" t="str">
        <f t="shared" ref="AA34" si="397">IF(AB34="",""," 1/")</f>
        <v/>
      </c>
      <c r="AB34" s="91"/>
      <c r="AC34" s="30" t="str">
        <f t="shared" ref="AC34" si="398">IF(S34="","",IF(T34="","",IF(T34=1,0.013,0.012)))</f>
        <v/>
      </c>
      <c r="AD34" s="31" t="str">
        <f t="shared" ref="AD34" si="399">IF(S34="","",IF(T34="","",(1/AC34*(W34/100/2)^(8/3)*(1/AB34*100)^(1/2)*1.65696)*100))</f>
        <v/>
      </c>
      <c r="AE34" s="31" t="str">
        <f t="shared" ref="AE34" si="400">IF(S34="","",IF(T34="","",1/AC34*(W34/100/2)^(2/3)*(1/AB34)^(1/2)*0.70541))</f>
        <v/>
      </c>
      <c r="AF34" s="31" t="str">
        <f t="shared" ref="AF34" si="401">IF(S34="","",IF(T34="","",ROUNDDOWN(AD34/($U$3/8.64),3)))</f>
        <v/>
      </c>
      <c r="AG34" s="32" t="str">
        <f t="shared" ref="AG34" si="402">IF(S34="","",IF(T34="","",ROUNDDOWN(AF34*10000/$AJ$3,0)))</f>
        <v/>
      </c>
      <c r="AH34" s="33" t="str">
        <f t="shared" ref="AH34" si="403">IF(S34="","",IF(T34="","",IF(AG34&gt;AI34,"＞","＜")))</f>
        <v/>
      </c>
      <c r="AI34" s="41" t="str">
        <f t="shared" ref="AI34" si="404">IF(S34="","",Z34)</f>
        <v/>
      </c>
      <c r="AJ34" s="43" t="str">
        <f t="shared" ref="AJ34" si="405">IF(S34="","",AI34*$AJ$3/10000)</f>
        <v/>
      </c>
      <c r="AK34" s="33" t="str">
        <f t="shared" ref="AK34" si="406">IF(S34="","",IF(T34="","",IF(AND(T34=1,AE34&gt;1),"NG",IF(AH34="＞","OK","NG"))))</f>
        <v/>
      </c>
    </row>
    <row r="35" spans="1:37" ht="15.75" customHeight="1" x14ac:dyDescent="0.15">
      <c r="A35" s="92"/>
      <c r="B35" s="93"/>
      <c r="C35" s="59"/>
      <c r="D35" s="61"/>
      <c r="E35" s="94"/>
      <c r="F35" s="95"/>
      <c r="G35" s="95"/>
      <c r="H35" s="96"/>
      <c r="I35" s="54"/>
      <c r="J35" s="46"/>
      <c r="K35" s="97"/>
      <c r="L35" s="57"/>
      <c r="M35" s="44"/>
      <c r="N35" s="44"/>
      <c r="O35" s="42"/>
      <c r="P35" s="50"/>
      <c r="Q35" s="42"/>
      <c r="R35" s="52"/>
      <c r="S35" s="98"/>
      <c r="T35" s="99">
        <v>2</v>
      </c>
      <c r="U35" s="34" t="str">
        <f t="shared" ref="U35" si="407">IF(S34="","",IF(T34=T35,"〃",IF(T35=1,"素焼土管",IF(T35=2,"合成樹脂管",IF(T35=3,"無孔管","")))))</f>
        <v/>
      </c>
      <c r="V35" s="35"/>
      <c r="W35" s="100"/>
      <c r="X35" s="101"/>
      <c r="Y35" s="95"/>
      <c r="Z35" s="42"/>
      <c r="AA35" s="46"/>
      <c r="AB35" s="97"/>
      <c r="AC35" s="36" t="str">
        <f t="shared" ref="AC35" si="408">IF(S34="","",IF(T35=1,0.013,0.012))</f>
        <v/>
      </c>
      <c r="AD35" s="37" t="str">
        <f t="shared" ref="AD35" si="409">IF(S34="","",(1/AC35*(W35/100/2)^(8/3)*(1/AB34*100)^(1/2)*1.65696)*100)</f>
        <v/>
      </c>
      <c r="AE35" s="37" t="str">
        <f t="shared" ref="AE35" si="410">IF(S34="","",1/AC35*(W35/100/2)^(2/3)*(1/AB34)^(1/2)*0.70541)</f>
        <v/>
      </c>
      <c r="AF35" s="37" t="str">
        <f t="shared" ref="AF35" si="411">IF(S34="","",ROUNDDOWN(AD35/($U$3/8.64),3))</f>
        <v/>
      </c>
      <c r="AG35" s="38" t="str">
        <f t="shared" ref="AG35" si="412">IF(S34="","",ROUNDDOWN(AF35*10000/$AJ$3,0))</f>
        <v/>
      </c>
      <c r="AH35" s="39" t="str">
        <f t="shared" ref="AH35" si="413">IF(S34="","",IF(AG35&gt;AI34,"＞",IF(AG35=AI34,"=","＜")))</f>
        <v/>
      </c>
      <c r="AI35" s="42"/>
      <c r="AJ35" s="44"/>
      <c r="AK35" s="39" t="str">
        <f t="shared" ref="AK35" si="414">IF(S34="","",IF(AND(T35=1,AE35&gt;1),"NG",IF(AH35="＞","OK","NG")))</f>
        <v/>
      </c>
    </row>
    <row r="36" spans="1:37" ht="15.75" customHeight="1" x14ac:dyDescent="0.15">
      <c r="A36" s="80"/>
      <c r="B36" s="81"/>
      <c r="C36" s="58" t="str">
        <f t="shared" ref="C36" si="415">IF(A36="","",IF(B36=1,"素　焼土　管",IF(B36=2,"合　成樹脂管",IF(B36=3,"無孔管",""))))</f>
        <v/>
      </c>
      <c r="D36" s="60"/>
      <c r="E36" s="82"/>
      <c r="F36" s="83"/>
      <c r="G36" s="83"/>
      <c r="H36" s="84"/>
      <c r="I36" s="53" t="str">
        <f t="shared" ref="I36" si="416">IF(A36="","",F36-G36+H36)</f>
        <v/>
      </c>
      <c r="J36" s="55" t="str">
        <f t="shared" ref="J36" si="417">IF(A36="",""," 1/")</f>
        <v/>
      </c>
      <c r="K36" s="85"/>
      <c r="L36" s="56" t="str">
        <f t="shared" ref="L36" si="418">IF(A36="","",IF(B36=1,0.013,0.012))</f>
        <v/>
      </c>
      <c r="M36" s="47" t="str">
        <f t="shared" ref="M36" si="419">IF(A36="","",(1/L36*(E36/100/2)^(8/3)*(1/K36*100)^(1/2)*1.65696)*100)</f>
        <v/>
      </c>
      <c r="N36" s="47" t="str">
        <f t="shared" ref="N36" si="420">IF(A36="","",1/L36*(E36/100/2)^(2/3)*(1/K36)^(1/2)*0.70541)</f>
        <v/>
      </c>
      <c r="O36" s="48" t="str">
        <f t="shared" ref="O36" si="421">IF(A36="","",ROUNDDOWN(M36/($U$3/8.64)*10000/$AJ$3,0))</f>
        <v/>
      </c>
      <c r="P36" s="49" t="str">
        <f t="shared" ref="P36" si="422">IF(A36="","",IF(O36&gt;Q36,"＞","＜"))</f>
        <v/>
      </c>
      <c r="Q36" s="48" t="str">
        <f t="shared" ref="Q36" si="423">IF(A36="","",I36)</f>
        <v/>
      </c>
      <c r="R36" s="51" t="str">
        <f t="shared" ref="R36" si="424">IF(A36="","",IF(P36="＞","OK","NG"))</f>
        <v/>
      </c>
      <c r="S36" s="86"/>
      <c r="T36" s="87"/>
      <c r="U36" s="28" t="str">
        <f t="shared" ref="U36" si="425">IF(S36="","",IF(T36=1,"素焼土管",IF(T36=2,"合成樹脂管",IF(T36=3,"無孔管",""))))</f>
        <v/>
      </c>
      <c r="V36" s="29"/>
      <c r="W36" s="88"/>
      <c r="X36" s="89"/>
      <c r="Y36" s="90"/>
      <c r="Z36" s="41" t="str">
        <f t="shared" ref="Z36" si="426">IF(S36="","",IF(AND(T37=3,I36=""),Z34+Y36,IF(AND(Z34="",I34=""),I36+Y36,IF(AND(T37=3,I36&gt;0,Z34&gt;0),I36+Z34+Y36,IF(Z34="",I34+I36+X36+Y36,IF(I36="",Z34+X36+Y36,Z34+I36+X36+Y36))))))</f>
        <v/>
      </c>
      <c r="AA36" s="45" t="str">
        <f t="shared" ref="AA36" si="427">IF(AB36="",""," 1/")</f>
        <v/>
      </c>
      <c r="AB36" s="91"/>
      <c r="AC36" s="30" t="str">
        <f t="shared" ref="AC36" si="428">IF(S36="","",IF(T36="","",IF(T36=1,0.013,0.012)))</f>
        <v/>
      </c>
      <c r="AD36" s="31" t="str">
        <f t="shared" ref="AD36" si="429">IF(S36="","",IF(T36="","",(1/AC36*(W36/100/2)^(8/3)*(1/AB36*100)^(1/2)*1.65696)*100))</f>
        <v/>
      </c>
      <c r="AE36" s="31" t="str">
        <f t="shared" ref="AE36" si="430">IF(S36="","",IF(T36="","",1/AC36*(W36/100/2)^(2/3)*(1/AB36)^(1/2)*0.70541))</f>
        <v/>
      </c>
      <c r="AF36" s="31" t="str">
        <f t="shared" ref="AF36" si="431">IF(S36="","",IF(T36="","",ROUNDDOWN(AD36/($U$3/8.64),3)))</f>
        <v/>
      </c>
      <c r="AG36" s="32" t="str">
        <f t="shared" ref="AG36" si="432">IF(S36="","",IF(T36="","",ROUNDDOWN(AF36*10000/$AJ$3,0)))</f>
        <v/>
      </c>
      <c r="AH36" s="33" t="str">
        <f t="shared" ref="AH36" si="433">IF(S36="","",IF(T36="","",IF(AG36&gt;AI36,"＞","＜")))</f>
        <v/>
      </c>
      <c r="AI36" s="41" t="str">
        <f t="shared" ref="AI36" si="434">IF(S36="","",Z36)</f>
        <v/>
      </c>
      <c r="AJ36" s="43" t="str">
        <f t="shared" ref="AJ36" si="435">IF(S36="","",AI36*$AJ$3/10000)</f>
        <v/>
      </c>
      <c r="AK36" s="33" t="str">
        <f t="shared" ref="AK36" si="436">IF(S36="","",IF(T36="","",IF(AND(T36=1,AE36&gt;1),"NG",IF(AH36="＞","OK","NG"))))</f>
        <v/>
      </c>
    </row>
    <row r="37" spans="1:37" ht="15.75" customHeight="1" x14ac:dyDescent="0.15">
      <c r="A37" s="92"/>
      <c r="B37" s="93"/>
      <c r="C37" s="59"/>
      <c r="D37" s="61"/>
      <c r="E37" s="94"/>
      <c r="F37" s="95"/>
      <c r="G37" s="95"/>
      <c r="H37" s="96"/>
      <c r="I37" s="54"/>
      <c r="J37" s="46"/>
      <c r="K37" s="97"/>
      <c r="L37" s="57"/>
      <c r="M37" s="44"/>
      <c r="N37" s="44"/>
      <c r="O37" s="42"/>
      <c r="P37" s="50"/>
      <c r="Q37" s="42"/>
      <c r="R37" s="52"/>
      <c r="S37" s="98"/>
      <c r="T37" s="99"/>
      <c r="U37" s="34" t="str">
        <f t="shared" ref="U37" si="437">IF(S36="","",IF(T36=T37,"〃",IF(T37=1,"素焼土管",IF(T37=2,"合成樹脂管",IF(T37=3,"無孔管","")))))</f>
        <v/>
      </c>
      <c r="V37" s="35"/>
      <c r="W37" s="100"/>
      <c r="X37" s="101"/>
      <c r="Y37" s="95"/>
      <c r="Z37" s="42"/>
      <c r="AA37" s="46"/>
      <c r="AB37" s="97"/>
      <c r="AC37" s="36" t="str">
        <f t="shared" ref="AC37" si="438">IF(S36="","",IF(T37=1,0.013,0.012))</f>
        <v/>
      </c>
      <c r="AD37" s="37" t="str">
        <f t="shared" ref="AD37" si="439">IF(S36="","",(1/AC37*(W37/100/2)^(8/3)*(1/AB36*100)^(1/2)*1.65696)*100)</f>
        <v/>
      </c>
      <c r="AE37" s="37" t="str">
        <f t="shared" ref="AE37" si="440">IF(S36="","",1/AC37*(W37/100/2)^(2/3)*(1/AB36)^(1/2)*0.70541)</f>
        <v/>
      </c>
      <c r="AF37" s="37" t="str">
        <f t="shared" ref="AF37" si="441">IF(S36="","",ROUNDDOWN(AD37/($U$3/8.64),3))</f>
        <v/>
      </c>
      <c r="AG37" s="38" t="str">
        <f t="shared" ref="AG37" si="442">IF(S36="","",ROUNDDOWN(AF37*10000/$AJ$3,0))</f>
        <v/>
      </c>
      <c r="AH37" s="39" t="str">
        <f t="shared" ref="AH37" si="443">IF(S36="","",IF(AG37&gt;AI36,"＞",IF(AG37=AI36,"=","＜")))</f>
        <v/>
      </c>
      <c r="AI37" s="42"/>
      <c r="AJ37" s="44"/>
      <c r="AK37" s="39" t="str">
        <f t="shared" ref="AK37" si="444">IF(S36="","",IF(AND(T37=1,AE37&gt;1),"NG",IF(AH37="＞","OK","NG")))</f>
        <v/>
      </c>
    </row>
    <row r="38" spans="1:37" ht="15.75" customHeight="1" x14ac:dyDescent="0.15">
      <c r="A38" s="80"/>
      <c r="B38" s="81">
        <v>2</v>
      </c>
      <c r="C38" s="58" t="str">
        <f t="shared" ref="C38" si="445">IF(A38="","",IF(B38=1,"素　焼土　管",IF(B38=2,"合　成樹脂管",IF(B38=3,"無孔管",""))))</f>
        <v/>
      </c>
      <c r="D38" s="60"/>
      <c r="E38" s="82"/>
      <c r="F38" s="83"/>
      <c r="G38" s="83"/>
      <c r="H38" s="84"/>
      <c r="I38" s="53" t="str">
        <f t="shared" ref="I38" si="446">IF(A38="","",F38-G38+H38)</f>
        <v/>
      </c>
      <c r="J38" s="55" t="str">
        <f t="shared" ref="J38" si="447">IF(A38="",""," 1/")</f>
        <v/>
      </c>
      <c r="K38" s="85"/>
      <c r="L38" s="56" t="str">
        <f t="shared" ref="L38" si="448">IF(A38="","",IF(B38=1,0.013,0.012))</f>
        <v/>
      </c>
      <c r="M38" s="47" t="str">
        <f t="shared" ref="M38" si="449">IF(A38="","",(1/L38*(E38/100/2)^(8/3)*(1/K38*100)^(1/2)*1.65696)*100)</f>
        <v/>
      </c>
      <c r="N38" s="47" t="str">
        <f t="shared" ref="N38" si="450">IF(A38="","",1/L38*(E38/100/2)^(2/3)*(1/K38)^(1/2)*0.70541)</f>
        <v/>
      </c>
      <c r="O38" s="48" t="str">
        <f t="shared" ref="O38" si="451">IF(A38="","",ROUNDDOWN(M38/($U$3/8.64)*10000/$AJ$3,0))</f>
        <v/>
      </c>
      <c r="P38" s="49" t="str">
        <f t="shared" ref="P38" si="452">IF(A38="","",IF(O38&gt;Q38,"＞","＜"))</f>
        <v/>
      </c>
      <c r="Q38" s="48" t="str">
        <f t="shared" ref="Q38" si="453">IF(A38="","",I38)</f>
        <v/>
      </c>
      <c r="R38" s="51" t="str">
        <f t="shared" ref="R38" si="454">IF(A38="","",IF(P38="＞","OK","NG"))</f>
        <v/>
      </c>
      <c r="S38" s="86"/>
      <c r="T38" s="87"/>
      <c r="U38" s="28" t="str">
        <f t="shared" ref="U38" si="455">IF(S38="","",IF(T38=1,"素焼土管",IF(T38=2,"合成樹脂管",IF(T38=3,"無孔管",""))))</f>
        <v/>
      </c>
      <c r="V38" s="29"/>
      <c r="W38" s="88"/>
      <c r="X38" s="89"/>
      <c r="Y38" s="90"/>
      <c r="Z38" s="41" t="str">
        <f t="shared" ref="Z38" si="456">IF(S38="","",IF(AND(T39=3,I38=""),Z36+Y38,IF(AND(Z36="",I36=""),I38+Y38,IF(AND(T39=3,I38&gt;0,Z36&gt;0),I38+Z36+Y38,IF(Z36="",I36+I38+X38+Y38,IF(I38="",Z36+X38+Y38,Z36+I38+X38+Y38))))))</f>
        <v/>
      </c>
      <c r="AA38" s="45" t="str">
        <f t="shared" ref="AA38" si="457">IF(AB38="",""," 1/")</f>
        <v/>
      </c>
      <c r="AB38" s="91"/>
      <c r="AC38" s="30" t="str">
        <f t="shared" ref="AC38" si="458">IF(S38="","",IF(T38="","",IF(T38=1,0.013,0.012)))</f>
        <v/>
      </c>
      <c r="AD38" s="31" t="str">
        <f t="shared" ref="AD38" si="459">IF(S38="","",IF(T38="","",(1/AC38*(W38/100/2)^(8/3)*(1/AB38*100)^(1/2)*1.65696)*100))</f>
        <v/>
      </c>
      <c r="AE38" s="31" t="str">
        <f t="shared" ref="AE38" si="460">IF(S38="","",IF(T38="","",1/AC38*(W38/100/2)^(2/3)*(1/AB38)^(1/2)*0.70541))</f>
        <v/>
      </c>
      <c r="AF38" s="31" t="str">
        <f t="shared" ref="AF38" si="461">IF(S38="","",IF(T38="","",ROUNDDOWN(AD38/($U$3/8.64),3)))</f>
        <v/>
      </c>
      <c r="AG38" s="32" t="str">
        <f t="shared" ref="AG38" si="462">IF(S38="","",IF(T38="","",ROUNDDOWN(AF38*10000/$AJ$3,0)))</f>
        <v/>
      </c>
      <c r="AH38" s="33" t="str">
        <f t="shared" ref="AH38" si="463">IF(S38="","",IF(T38="","",IF(AG38&gt;AI38,"＞","＜")))</f>
        <v/>
      </c>
      <c r="AI38" s="41" t="str">
        <f t="shared" ref="AI38" si="464">IF(S38="","",Z38)</f>
        <v/>
      </c>
      <c r="AJ38" s="43" t="str">
        <f t="shared" ref="AJ38" si="465">IF(S38="","",AI38*$AJ$3/10000)</f>
        <v/>
      </c>
      <c r="AK38" s="33" t="str">
        <f t="shared" ref="AK38" si="466">IF(S38="","",IF(T38="","",IF(AND(T38=1,AE38&gt;1),"NG",IF(AH38="＞","OK","NG"))))</f>
        <v/>
      </c>
    </row>
    <row r="39" spans="1:37" ht="15.75" customHeight="1" x14ac:dyDescent="0.15">
      <c r="A39" s="92"/>
      <c r="B39" s="93"/>
      <c r="C39" s="59"/>
      <c r="D39" s="61"/>
      <c r="E39" s="94"/>
      <c r="F39" s="95"/>
      <c r="G39" s="95"/>
      <c r="H39" s="96"/>
      <c r="I39" s="54"/>
      <c r="J39" s="46"/>
      <c r="K39" s="97"/>
      <c r="L39" s="57"/>
      <c r="M39" s="44"/>
      <c r="N39" s="44"/>
      <c r="O39" s="42"/>
      <c r="P39" s="50"/>
      <c r="Q39" s="42"/>
      <c r="R39" s="52"/>
      <c r="S39" s="98"/>
      <c r="T39" s="99"/>
      <c r="U39" s="34" t="str">
        <f t="shared" ref="U39" si="467">IF(S38="","",IF(T38=T39,"〃",IF(T39=1,"素焼土管",IF(T39=2,"合成樹脂管",IF(T39=3,"無孔管","")))))</f>
        <v/>
      </c>
      <c r="V39" s="35"/>
      <c r="W39" s="100"/>
      <c r="X39" s="101"/>
      <c r="Y39" s="95"/>
      <c r="Z39" s="42"/>
      <c r="AA39" s="46"/>
      <c r="AB39" s="97"/>
      <c r="AC39" s="36" t="str">
        <f t="shared" ref="AC39" si="468">IF(S38="","",IF(T39=1,0.013,0.012))</f>
        <v/>
      </c>
      <c r="AD39" s="37" t="str">
        <f t="shared" ref="AD39" si="469">IF(S38="","",(1/AC39*(W39/100/2)^(8/3)*(1/AB38*100)^(1/2)*1.65696)*100)</f>
        <v/>
      </c>
      <c r="AE39" s="37" t="str">
        <f t="shared" ref="AE39" si="470">IF(S38="","",1/AC39*(W39/100/2)^(2/3)*(1/AB38)^(1/2)*0.70541)</f>
        <v/>
      </c>
      <c r="AF39" s="37" t="str">
        <f t="shared" ref="AF39" si="471">IF(S38="","",ROUNDDOWN(AD39/($U$3/8.64),3))</f>
        <v/>
      </c>
      <c r="AG39" s="38" t="str">
        <f t="shared" ref="AG39" si="472">IF(S38="","",ROUNDDOWN(AF39*10000/$AJ$3,0))</f>
        <v/>
      </c>
      <c r="AH39" s="39" t="str">
        <f t="shared" ref="AH39" si="473">IF(S38="","",IF(AG39&gt;AI38,"＞",IF(AG39=AI38,"=","＜")))</f>
        <v/>
      </c>
      <c r="AI39" s="42"/>
      <c r="AJ39" s="44"/>
      <c r="AK39" s="39" t="str">
        <f t="shared" ref="AK39" si="474">IF(S38="","",IF(AND(T39=1,AE39&gt;1),"NG",IF(AH39="＞","OK","NG")))</f>
        <v/>
      </c>
    </row>
    <row r="40" spans="1:37" ht="15.75" customHeight="1" x14ac:dyDescent="0.15">
      <c r="A40" s="80"/>
      <c r="B40" s="81">
        <v>2</v>
      </c>
      <c r="C40" s="58" t="str">
        <f t="shared" ref="C40" si="475">IF(A40="","",IF(B40=1,"素　焼土　管",IF(B40=2,"合　成樹脂管",IF(B40=3,"無孔管",""))))</f>
        <v/>
      </c>
      <c r="D40" s="60"/>
      <c r="E40" s="82"/>
      <c r="F40" s="83"/>
      <c r="G40" s="83"/>
      <c r="H40" s="84"/>
      <c r="I40" s="53" t="str">
        <f t="shared" ref="I40" si="476">IF(A40="","",F40-G40+H40)</f>
        <v/>
      </c>
      <c r="J40" s="55" t="str">
        <f t="shared" ref="J40" si="477">IF(A40="",""," 1/")</f>
        <v/>
      </c>
      <c r="K40" s="85"/>
      <c r="L40" s="56" t="str">
        <f t="shared" ref="L40" si="478">IF(A40="","",IF(B40=1,0.013,0.012))</f>
        <v/>
      </c>
      <c r="M40" s="47" t="str">
        <f t="shared" ref="M40" si="479">IF(A40="","",(1/L40*(E40/100/2)^(8/3)*(1/K40*100)^(1/2)*1.65696)*100)</f>
        <v/>
      </c>
      <c r="N40" s="47" t="str">
        <f t="shared" ref="N40" si="480">IF(A40="","",1/L40*(E40/100/2)^(2/3)*(1/K40)^(1/2)*0.70541)</f>
        <v/>
      </c>
      <c r="O40" s="48" t="str">
        <f t="shared" ref="O40" si="481">IF(A40="","",ROUNDDOWN(M40/($U$3/8.64)*10000/$AJ$3,0))</f>
        <v/>
      </c>
      <c r="P40" s="49" t="str">
        <f t="shared" ref="P40" si="482">IF(A40="","",IF(O40&gt;Q40,"＞","＜"))</f>
        <v/>
      </c>
      <c r="Q40" s="48" t="str">
        <f t="shared" ref="Q40" si="483">IF(A40="","",I40)</f>
        <v/>
      </c>
      <c r="R40" s="51" t="str">
        <f t="shared" ref="R40" si="484">IF(A40="","",IF(P40="＞","OK","NG"))</f>
        <v/>
      </c>
      <c r="S40" s="86"/>
      <c r="T40" s="87"/>
      <c r="U40" s="28" t="str">
        <f t="shared" ref="U40" si="485">IF(S40="","",IF(T40=1,"素焼土管",IF(T40=2,"合成樹脂管",IF(T40=3,"無孔管",""))))</f>
        <v/>
      </c>
      <c r="V40" s="29"/>
      <c r="W40" s="88"/>
      <c r="X40" s="89"/>
      <c r="Y40" s="90"/>
      <c r="Z40" s="41" t="str">
        <f t="shared" ref="Z40" si="486">IF(S40="","",IF(AND(T41=3,I40=""),Z38+Y40,IF(AND(Z38="",I38=""),I40+Y40,IF(AND(T41=3,I40&gt;0,Z38&gt;0),I40+Z38+Y40,IF(Z38="",I38+I40+X40+Y40,IF(I40="",Z38+X40+Y40,Z38+I40+X40+Y40))))))</f>
        <v/>
      </c>
      <c r="AA40" s="45" t="str">
        <f t="shared" ref="AA40" si="487">IF(AB40="",""," 1/")</f>
        <v/>
      </c>
      <c r="AB40" s="91"/>
      <c r="AC40" s="30" t="str">
        <f t="shared" ref="AC40" si="488">IF(S40="","",IF(T40="","",IF(T40=1,0.013,0.012)))</f>
        <v/>
      </c>
      <c r="AD40" s="31" t="str">
        <f t="shared" ref="AD40" si="489">IF(S40="","",IF(T40="","",(1/AC40*(W40/100/2)^(8/3)*(1/AB40*100)^(1/2)*1.65696)*100))</f>
        <v/>
      </c>
      <c r="AE40" s="31" t="str">
        <f t="shared" ref="AE40" si="490">IF(S40="","",IF(T40="","",1/AC40*(W40/100/2)^(2/3)*(1/AB40)^(1/2)*0.70541))</f>
        <v/>
      </c>
      <c r="AF40" s="31" t="str">
        <f t="shared" ref="AF40" si="491">IF(S40="","",IF(T40="","",ROUNDDOWN(AD40/($U$3/8.64),3)))</f>
        <v/>
      </c>
      <c r="AG40" s="32" t="str">
        <f t="shared" ref="AG40" si="492">IF(S40="","",IF(T40="","",ROUNDDOWN(AF40*10000/$AJ$3,0)))</f>
        <v/>
      </c>
      <c r="AH40" s="33" t="str">
        <f t="shared" ref="AH40" si="493">IF(S40="","",IF(T40="","",IF(AG40&gt;AI40,"＞","＜")))</f>
        <v/>
      </c>
      <c r="AI40" s="41" t="str">
        <f t="shared" ref="AI40" si="494">IF(S40="","",Z40)</f>
        <v/>
      </c>
      <c r="AJ40" s="43" t="str">
        <f t="shared" ref="AJ40" si="495">IF(S40="","",AI40*$AJ$3/10000)</f>
        <v/>
      </c>
      <c r="AK40" s="33" t="str">
        <f t="shared" ref="AK40" si="496">IF(S40="","",IF(T40="","",IF(AND(T40=1,AE40&gt;1),"NG",IF(AH40="＞","OK","NG"))))</f>
        <v/>
      </c>
    </row>
    <row r="41" spans="1:37" ht="15.75" customHeight="1" x14ac:dyDescent="0.15">
      <c r="A41" s="92"/>
      <c r="B41" s="93"/>
      <c r="C41" s="59"/>
      <c r="D41" s="61"/>
      <c r="E41" s="94"/>
      <c r="F41" s="95"/>
      <c r="G41" s="95"/>
      <c r="H41" s="96"/>
      <c r="I41" s="54"/>
      <c r="J41" s="46"/>
      <c r="K41" s="97"/>
      <c r="L41" s="57"/>
      <c r="M41" s="44"/>
      <c r="N41" s="44"/>
      <c r="O41" s="42"/>
      <c r="P41" s="50"/>
      <c r="Q41" s="42"/>
      <c r="R41" s="52"/>
      <c r="S41" s="98"/>
      <c r="T41" s="99">
        <v>2</v>
      </c>
      <c r="U41" s="34" t="str">
        <f t="shared" ref="U41" si="497">IF(S40="","",IF(T40=T41,"〃",IF(T41=1,"素焼土管",IF(T41=2,"合成樹脂管",IF(T41=3,"無孔管","")))))</f>
        <v/>
      </c>
      <c r="V41" s="35"/>
      <c r="W41" s="100"/>
      <c r="X41" s="101"/>
      <c r="Y41" s="95"/>
      <c r="Z41" s="42"/>
      <c r="AA41" s="46"/>
      <c r="AB41" s="97"/>
      <c r="AC41" s="36" t="str">
        <f t="shared" ref="AC41" si="498">IF(S40="","",IF(T41=1,0.013,0.012))</f>
        <v/>
      </c>
      <c r="AD41" s="37" t="str">
        <f t="shared" ref="AD41" si="499">IF(S40="","",(1/AC41*(W41/100/2)^(8/3)*(1/AB40*100)^(1/2)*1.65696)*100)</f>
        <v/>
      </c>
      <c r="AE41" s="37" t="str">
        <f t="shared" ref="AE41" si="500">IF(S40="","",1/AC41*(W41/100/2)^(2/3)*(1/AB40)^(1/2)*0.70541)</f>
        <v/>
      </c>
      <c r="AF41" s="37" t="str">
        <f t="shared" ref="AF41" si="501">IF(S40="","",ROUNDDOWN(AD41/($U$3/8.64),3))</f>
        <v/>
      </c>
      <c r="AG41" s="38" t="str">
        <f t="shared" ref="AG41" si="502">IF(S40="","",ROUNDDOWN(AF41*10000/$AJ$3,0))</f>
        <v/>
      </c>
      <c r="AH41" s="39" t="str">
        <f t="shared" ref="AH41" si="503">IF(S40="","",IF(AG41&gt;AI40,"＞",IF(AG41=AI40,"=","＜")))</f>
        <v/>
      </c>
      <c r="AI41" s="42"/>
      <c r="AJ41" s="44"/>
      <c r="AK41" s="39" t="str">
        <f t="shared" ref="AK41" si="504">IF(S40="","",IF(AND(T41=1,AE41&gt;1),"NG",IF(AH41="＞","OK","NG")))</f>
        <v/>
      </c>
    </row>
    <row r="42" spans="1:37" ht="15.75" customHeight="1" x14ac:dyDescent="0.15">
      <c r="A42" s="80"/>
      <c r="B42" s="81">
        <v>2</v>
      </c>
      <c r="C42" s="58" t="str">
        <f t="shared" ref="C42" si="505">IF(A42="","",IF(B42=1,"素　焼土　管",IF(B42=2,"合　成樹脂管",IF(B42=3,"無孔管",""))))</f>
        <v/>
      </c>
      <c r="D42" s="60"/>
      <c r="E42" s="82"/>
      <c r="F42" s="83"/>
      <c r="G42" s="83"/>
      <c r="H42" s="84"/>
      <c r="I42" s="53" t="str">
        <f t="shared" ref="I42" si="506">IF(A42="","",F42-G42+H42)</f>
        <v/>
      </c>
      <c r="J42" s="55" t="str">
        <f t="shared" ref="J42" si="507">IF(A42="",""," 1/")</f>
        <v/>
      </c>
      <c r="K42" s="85"/>
      <c r="L42" s="56" t="str">
        <f t="shared" ref="L42" si="508">IF(A42="","",IF(B42=1,0.013,0.012))</f>
        <v/>
      </c>
      <c r="M42" s="47" t="str">
        <f t="shared" ref="M42" si="509">IF(A42="","",(1/L42*(E42/100/2)^(8/3)*(1/K42*100)^(1/2)*1.65696)*100)</f>
        <v/>
      </c>
      <c r="N42" s="47" t="str">
        <f t="shared" ref="N42" si="510">IF(A42="","",1/L42*(E42/100/2)^(2/3)*(1/K42)^(1/2)*0.70541)</f>
        <v/>
      </c>
      <c r="O42" s="48" t="str">
        <f t="shared" ref="O42" si="511">IF(A42="","",ROUNDDOWN(M42/($U$3/8.64)*10000/$AJ$3,0))</f>
        <v/>
      </c>
      <c r="P42" s="49" t="str">
        <f t="shared" ref="P42" si="512">IF(A42="","",IF(O42&gt;Q42,"＞","＜"))</f>
        <v/>
      </c>
      <c r="Q42" s="48" t="str">
        <f t="shared" ref="Q42" si="513">IF(A42="","",I42)</f>
        <v/>
      </c>
      <c r="R42" s="51" t="str">
        <f t="shared" ref="R42" si="514">IF(A42="","",IF(P42="＞","OK","NG"))</f>
        <v/>
      </c>
      <c r="S42" s="86"/>
      <c r="T42" s="87"/>
      <c r="U42" s="28" t="str">
        <f t="shared" ref="U42" si="515">IF(S42="","",IF(T42=1,"素焼土管",IF(T42=2,"合成樹脂管",IF(T42=3,"無孔管",""))))</f>
        <v/>
      </c>
      <c r="V42" s="29"/>
      <c r="W42" s="88"/>
      <c r="X42" s="89"/>
      <c r="Y42" s="90"/>
      <c r="Z42" s="41" t="str">
        <f t="shared" ref="Z42" si="516">IF(S42="","",IF(AND(T43=3,I42=""),Z40+Y42,IF(AND(Z40="",I40=""),I42+Y42,IF(AND(T43=3,I42&gt;0,Z40&gt;0),I42+Z40+Y42,IF(Z40="",I40+I42+X42+Y42,IF(I42="",Z40+X42+Y42,Z40+I42+X42+Y42))))))</f>
        <v/>
      </c>
      <c r="AA42" s="45" t="str">
        <f t="shared" ref="AA42" si="517">IF(AB42="",""," 1/")</f>
        <v/>
      </c>
      <c r="AB42" s="91"/>
      <c r="AC42" s="30" t="str">
        <f t="shared" ref="AC42" si="518">IF(S42="","",IF(T42="","",IF(T42=1,0.013,0.012)))</f>
        <v/>
      </c>
      <c r="AD42" s="31" t="str">
        <f t="shared" ref="AD42" si="519">IF(S42="","",IF(T42="","",(1/AC42*(W42/100/2)^(8/3)*(1/AB42*100)^(1/2)*1.65696)*100))</f>
        <v/>
      </c>
      <c r="AE42" s="31" t="str">
        <f t="shared" ref="AE42" si="520">IF(S42="","",IF(T42="","",1/AC42*(W42/100/2)^(2/3)*(1/AB42)^(1/2)*0.70541))</f>
        <v/>
      </c>
      <c r="AF42" s="31" t="str">
        <f t="shared" ref="AF42" si="521">IF(S42="","",IF(T42="","",ROUNDDOWN(AD42/($U$3/8.64),3)))</f>
        <v/>
      </c>
      <c r="AG42" s="32" t="str">
        <f t="shared" ref="AG42" si="522">IF(S42="","",IF(T42="","",ROUNDDOWN(AF42*10000/$AJ$3,0)))</f>
        <v/>
      </c>
      <c r="AH42" s="33" t="str">
        <f t="shared" ref="AH42" si="523">IF(S42="","",IF(T42="","",IF(AG42&gt;AI42,"＞","＜")))</f>
        <v/>
      </c>
      <c r="AI42" s="41" t="str">
        <f t="shared" ref="AI42" si="524">IF(S42="","",Z42)</f>
        <v/>
      </c>
      <c r="AJ42" s="43" t="str">
        <f t="shared" ref="AJ42" si="525">IF(S42="","",AI42*$AJ$3/10000)</f>
        <v/>
      </c>
      <c r="AK42" s="33" t="str">
        <f t="shared" ref="AK42" si="526">IF(S42="","",IF(T42="","",IF(AND(T42=1,AE42&gt;1),"NG",IF(AH42="＞","OK","NG"))))</f>
        <v/>
      </c>
    </row>
    <row r="43" spans="1:37" ht="15.75" customHeight="1" x14ac:dyDescent="0.15">
      <c r="A43" s="92"/>
      <c r="B43" s="93"/>
      <c r="C43" s="59"/>
      <c r="D43" s="61"/>
      <c r="E43" s="94"/>
      <c r="F43" s="95"/>
      <c r="G43" s="95"/>
      <c r="H43" s="96"/>
      <c r="I43" s="54"/>
      <c r="J43" s="46"/>
      <c r="K43" s="97"/>
      <c r="L43" s="57"/>
      <c r="M43" s="44"/>
      <c r="N43" s="44"/>
      <c r="O43" s="42"/>
      <c r="P43" s="50"/>
      <c r="Q43" s="42"/>
      <c r="R43" s="52"/>
      <c r="S43" s="98"/>
      <c r="T43" s="99">
        <v>2</v>
      </c>
      <c r="U43" s="34" t="str">
        <f t="shared" ref="U43" si="527">IF(S42="","",IF(T42=T43,"〃",IF(T43=1,"素焼土管",IF(T43=2,"合成樹脂管",IF(T43=3,"無孔管","")))))</f>
        <v/>
      </c>
      <c r="V43" s="35"/>
      <c r="W43" s="100"/>
      <c r="X43" s="101"/>
      <c r="Y43" s="95"/>
      <c r="Z43" s="42"/>
      <c r="AA43" s="46"/>
      <c r="AB43" s="97"/>
      <c r="AC43" s="36" t="str">
        <f t="shared" ref="AC43" si="528">IF(S42="","",IF(T43=1,0.013,0.012))</f>
        <v/>
      </c>
      <c r="AD43" s="37" t="str">
        <f t="shared" ref="AD43" si="529">IF(S42="","",(1/AC43*(W43/100/2)^(8/3)*(1/AB42*100)^(1/2)*1.65696)*100)</f>
        <v/>
      </c>
      <c r="AE43" s="37" t="str">
        <f t="shared" ref="AE43" si="530">IF(S42="","",1/AC43*(W43/100/2)^(2/3)*(1/AB42)^(1/2)*0.70541)</f>
        <v/>
      </c>
      <c r="AF43" s="37" t="str">
        <f t="shared" ref="AF43" si="531">IF(S42="","",ROUNDDOWN(AD43/($U$3/8.64),3))</f>
        <v/>
      </c>
      <c r="AG43" s="38" t="str">
        <f t="shared" ref="AG43" si="532">IF(S42="","",ROUNDDOWN(AF43*10000/$AJ$3,0))</f>
        <v/>
      </c>
      <c r="AH43" s="39" t="str">
        <f t="shared" ref="AH43" si="533">IF(S42="","",IF(AG43&gt;AI42,"＞",IF(AG43=AI42,"=","＜")))</f>
        <v/>
      </c>
      <c r="AI43" s="42"/>
      <c r="AJ43" s="44"/>
      <c r="AK43" s="39" t="str">
        <f t="shared" ref="AK43" si="534">IF(S42="","",IF(AND(T43=1,AE43&gt;1),"NG",IF(AH43="＞","OK","NG")))</f>
        <v/>
      </c>
    </row>
    <row r="44" spans="1:37" ht="15.75" customHeight="1" x14ac:dyDescent="0.15">
      <c r="A44" s="80"/>
      <c r="B44" s="81">
        <v>2</v>
      </c>
      <c r="C44" s="58" t="str">
        <f t="shared" ref="C44" si="535">IF(A44="","",IF(B44=1,"素　焼土　管",IF(B44=2,"合　成樹脂管",IF(B44=3,"無孔管",""))))</f>
        <v/>
      </c>
      <c r="D44" s="60"/>
      <c r="E44" s="82"/>
      <c r="F44" s="83"/>
      <c r="G44" s="83"/>
      <c r="H44" s="84"/>
      <c r="I44" s="53" t="str">
        <f t="shared" ref="I44" si="536">IF(A44="","",F44-G44+H44)</f>
        <v/>
      </c>
      <c r="J44" s="55" t="str">
        <f t="shared" ref="J44" si="537">IF(A44="",""," 1/")</f>
        <v/>
      </c>
      <c r="K44" s="85"/>
      <c r="L44" s="56" t="str">
        <f t="shared" ref="L44" si="538">IF(A44="","",IF(B44=1,0.013,0.012))</f>
        <v/>
      </c>
      <c r="M44" s="47" t="str">
        <f t="shared" ref="M44" si="539">IF(A44="","",(1/L44*(E44/100/2)^(8/3)*(1/K44*100)^(1/2)*1.65696)*100)</f>
        <v/>
      </c>
      <c r="N44" s="47" t="str">
        <f t="shared" ref="N44" si="540">IF(A44="","",1/L44*(E44/100/2)^(2/3)*(1/K44)^(1/2)*0.70541)</f>
        <v/>
      </c>
      <c r="O44" s="48" t="str">
        <f t="shared" ref="O44" si="541">IF(A44="","",ROUNDDOWN(M44/($U$3/8.64)*10000/$AJ$3,0))</f>
        <v/>
      </c>
      <c r="P44" s="49" t="str">
        <f t="shared" ref="P44" si="542">IF(A44="","",IF(O44&gt;Q44,"＞","＜"))</f>
        <v/>
      </c>
      <c r="Q44" s="48" t="str">
        <f t="shared" ref="Q44" si="543">IF(A44="","",I44)</f>
        <v/>
      </c>
      <c r="R44" s="51" t="str">
        <f t="shared" ref="R44" si="544">IF(A44="","",IF(P44="＞","OK","NG"))</f>
        <v/>
      </c>
      <c r="S44" s="86"/>
      <c r="T44" s="87"/>
      <c r="U44" s="28" t="str">
        <f t="shared" ref="U44" si="545">IF(S44="","",IF(T44=1,"素焼土管",IF(T44=2,"合成樹脂管",IF(T44=3,"無孔管",""))))</f>
        <v/>
      </c>
      <c r="V44" s="29"/>
      <c r="W44" s="88"/>
      <c r="X44" s="89"/>
      <c r="Y44" s="90"/>
      <c r="Z44" s="41" t="str">
        <f t="shared" ref="Z44" si="546">IF(S44="","",IF(AND(T45=3,I44=""),Z42+Y44,IF(AND(Z42="",I42=""),I44+Y44,IF(AND(T45=3,I44&gt;0,Z42&gt;0),I44+Z42+Y44,IF(Z42="",I42+I44+X44+Y44,IF(I44="",Z42+X44+Y44,Z42+I44+X44+Y44))))))</f>
        <v/>
      </c>
      <c r="AA44" s="45" t="str">
        <f t="shared" ref="AA44" si="547">IF(AB44="",""," 1/")</f>
        <v/>
      </c>
      <c r="AB44" s="91"/>
      <c r="AC44" s="30" t="str">
        <f t="shared" ref="AC44" si="548">IF(S44="","",IF(T44="","",IF(T44=1,0.013,0.012)))</f>
        <v/>
      </c>
      <c r="AD44" s="31" t="str">
        <f t="shared" ref="AD44" si="549">IF(S44="","",IF(T44="","",(1/AC44*(W44/100/2)^(8/3)*(1/AB44*100)^(1/2)*1.65696)*100))</f>
        <v/>
      </c>
      <c r="AE44" s="31" t="str">
        <f t="shared" ref="AE44" si="550">IF(S44="","",IF(T44="","",1/AC44*(W44/100/2)^(2/3)*(1/AB44)^(1/2)*0.70541))</f>
        <v/>
      </c>
      <c r="AF44" s="31" t="str">
        <f t="shared" ref="AF44" si="551">IF(S44="","",IF(T44="","",ROUNDDOWN(AD44/($U$3/8.64),3)))</f>
        <v/>
      </c>
      <c r="AG44" s="32" t="str">
        <f t="shared" ref="AG44" si="552">IF(S44="","",IF(T44="","",ROUNDDOWN(AF44*10000/$AJ$3,0)))</f>
        <v/>
      </c>
      <c r="AH44" s="33" t="str">
        <f t="shared" ref="AH44" si="553">IF(S44="","",IF(T44="","",IF(AG44&gt;AI44,"＞","＜")))</f>
        <v/>
      </c>
      <c r="AI44" s="41" t="str">
        <f t="shared" ref="AI44" si="554">IF(S44="","",Z44)</f>
        <v/>
      </c>
      <c r="AJ44" s="43" t="str">
        <f t="shared" ref="AJ44" si="555">IF(S44="","",AI44*$AJ$3/10000)</f>
        <v/>
      </c>
      <c r="AK44" s="33" t="str">
        <f t="shared" ref="AK44" si="556">IF(S44="","",IF(T44="","",IF(AND(T44=1,AE44&gt;1),"NG",IF(AH44="＞","OK","NG"))))</f>
        <v/>
      </c>
    </row>
    <row r="45" spans="1:37" ht="15.75" customHeight="1" x14ac:dyDescent="0.15">
      <c r="A45" s="92"/>
      <c r="B45" s="93"/>
      <c r="C45" s="59"/>
      <c r="D45" s="61"/>
      <c r="E45" s="94"/>
      <c r="F45" s="95"/>
      <c r="G45" s="95"/>
      <c r="H45" s="96"/>
      <c r="I45" s="54"/>
      <c r="J45" s="46"/>
      <c r="K45" s="97"/>
      <c r="L45" s="57"/>
      <c r="M45" s="44"/>
      <c r="N45" s="44"/>
      <c r="O45" s="42"/>
      <c r="P45" s="50"/>
      <c r="Q45" s="42"/>
      <c r="R45" s="52"/>
      <c r="S45" s="98"/>
      <c r="T45" s="99">
        <v>2</v>
      </c>
      <c r="U45" s="34" t="str">
        <f t="shared" ref="U45" si="557">IF(S44="","",IF(T44=T45,"〃",IF(T45=1,"素焼土管",IF(T45=2,"合成樹脂管",IF(T45=3,"無孔管","")))))</f>
        <v/>
      </c>
      <c r="V45" s="35"/>
      <c r="W45" s="100"/>
      <c r="X45" s="101"/>
      <c r="Y45" s="95"/>
      <c r="Z45" s="42"/>
      <c r="AA45" s="46"/>
      <c r="AB45" s="97"/>
      <c r="AC45" s="36" t="str">
        <f t="shared" ref="AC45" si="558">IF(S44="","",IF(T45=1,0.013,0.012))</f>
        <v/>
      </c>
      <c r="AD45" s="37" t="str">
        <f t="shared" ref="AD45" si="559">IF(S44="","",(1/AC45*(W45/100/2)^(8/3)*(1/AB44*100)^(1/2)*1.65696)*100)</f>
        <v/>
      </c>
      <c r="AE45" s="37" t="str">
        <f t="shared" ref="AE45" si="560">IF(S44="","",1/AC45*(W45/100/2)^(2/3)*(1/AB44)^(1/2)*0.70541)</f>
        <v/>
      </c>
      <c r="AF45" s="37" t="str">
        <f t="shared" ref="AF45" si="561">IF(S44="","",ROUNDDOWN(AD45/($U$3/8.64),3))</f>
        <v/>
      </c>
      <c r="AG45" s="38" t="str">
        <f t="shared" ref="AG45" si="562">IF(S44="","",ROUNDDOWN(AF45*10000/$AJ$3,0))</f>
        <v/>
      </c>
      <c r="AH45" s="39" t="str">
        <f t="shared" ref="AH45" si="563">IF(S44="","",IF(AG45&gt;AI44,"＞",IF(AG45=AI44,"=","＜")))</f>
        <v/>
      </c>
      <c r="AI45" s="42"/>
      <c r="AJ45" s="44"/>
      <c r="AK45" s="39" t="str">
        <f t="shared" ref="AK45" si="564">IF(S44="","",IF(AND(T45=1,AE45&gt;1),"NG",IF(AH45="＞","OK","NG")))</f>
        <v/>
      </c>
    </row>
    <row r="46" spans="1:37" ht="15.75" customHeight="1" x14ac:dyDescent="0.15">
      <c r="A46" s="80"/>
      <c r="B46" s="81">
        <v>2</v>
      </c>
      <c r="C46" s="58" t="str">
        <f t="shared" ref="C46" si="565">IF(A46="","",IF(B46=1,"素　焼土　管",IF(B46=2,"合　成樹脂管",IF(B46=3,"無孔管",""))))</f>
        <v/>
      </c>
      <c r="D46" s="60"/>
      <c r="E46" s="82"/>
      <c r="F46" s="83"/>
      <c r="G46" s="83"/>
      <c r="H46" s="84"/>
      <c r="I46" s="53" t="str">
        <f t="shared" ref="I46" si="566">IF(A46="","",F46-G46+H46)</f>
        <v/>
      </c>
      <c r="J46" s="55" t="str">
        <f t="shared" ref="J46" si="567">IF(A46="",""," 1/")</f>
        <v/>
      </c>
      <c r="K46" s="85"/>
      <c r="L46" s="56" t="str">
        <f t="shared" ref="L46" si="568">IF(A46="","",IF(B46=1,0.013,0.012))</f>
        <v/>
      </c>
      <c r="M46" s="47" t="str">
        <f t="shared" ref="M46" si="569">IF(A46="","",(1/L46*(E46/100/2)^(8/3)*(1/K46*100)^(1/2)*1.65696)*100)</f>
        <v/>
      </c>
      <c r="N46" s="47" t="str">
        <f t="shared" ref="N46" si="570">IF(A46="","",1/L46*(E46/100/2)^(2/3)*(1/K46)^(1/2)*0.70541)</f>
        <v/>
      </c>
      <c r="O46" s="48" t="str">
        <f t="shared" ref="O46" si="571">IF(A46="","",ROUNDDOWN(M46/($U$3/8.64)*10000/$AJ$3,0))</f>
        <v/>
      </c>
      <c r="P46" s="49" t="str">
        <f t="shared" ref="P46" si="572">IF(A46="","",IF(O46&gt;Q46,"＞","＜"))</f>
        <v/>
      </c>
      <c r="Q46" s="48" t="str">
        <f t="shared" ref="Q46" si="573">IF(A46="","",I46)</f>
        <v/>
      </c>
      <c r="R46" s="51" t="str">
        <f t="shared" ref="R46" si="574">IF(A46="","",IF(P46="＞","OK","NG"))</f>
        <v/>
      </c>
      <c r="S46" s="86"/>
      <c r="T46" s="87"/>
      <c r="U46" s="28" t="str">
        <f t="shared" ref="U46" si="575">IF(S46="","",IF(T46=1,"素焼土管",IF(T46=2,"合成樹脂管",IF(T46=3,"無孔管",""))))</f>
        <v/>
      </c>
      <c r="V46" s="29"/>
      <c r="W46" s="88"/>
      <c r="X46" s="89"/>
      <c r="Y46" s="90"/>
      <c r="Z46" s="41" t="str">
        <f t="shared" ref="Z46" si="576">IF(S46="","",IF(AND(T47=3,I46=""),Z44+Y46,IF(AND(Z44="",I44=""),I46+Y46,IF(AND(T47=3,I46&gt;0,Z44&gt;0),I46+Z44+Y46,IF(Z44="",I44+I46+X46+Y46,IF(I46="",Z44+X46+Y46,Z44+I46+X46+Y46))))))</f>
        <v/>
      </c>
      <c r="AA46" s="45" t="str">
        <f t="shared" ref="AA46" si="577">IF(AB46="",""," 1/")</f>
        <v/>
      </c>
      <c r="AB46" s="91"/>
      <c r="AC46" s="30" t="str">
        <f t="shared" ref="AC46" si="578">IF(S46="","",IF(T46="","",IF(T46=1,0.013,0.012)))</f>
        <v/>
      </c>
      <c r="AD46" s="31" t="str">
        <f t="shared" ref="AD46" si="579">IF(S46="","",IF(T46="","",(1/AC46*(W46/100/2)^(8/3)*(1/AB46*100)^(1/2)*1.65696)*100))</f>
        <v/>
      </c>
      <c r="AE46" s="31" t="str">
        <f t="shared" ref="AE46" si="580">IF(S46="","",IF(T46="","",1/AC46*(W46/100/2)^(2/3)*(1/AB46)^(1/2)*0.70541))</f>
        <v/>
      </c>
      <c r="AF46" s="31" t="str">
        <f t="shared" ref="AF46" si="581">IF(S46="","",IF(T46="","",ROUNDDOWN(AD46/($U$3/8.64),3)))</f>
        <v/>
      </c>
      <c r="AG46" s="32" t="str">
        <f t="shared" ref="AG46" si="582">IF(S46="","",IF(T46="","",ROUNDDOWN(AF46*10000/$AJ$3,0)))</f>
        <v/>
      </c>
      <c r="AH46" s="33" t="str">
        <f t="shared" ref="AH46" si="583">IF(S46="","",IF(T46="","",IF(AG46&gt;AI46,"＞","＜")))</f>
        <v/>
      </c>
      <c r="AI46" s="41" t="str">
        <f t="shared" ref="AI46" si="584">IF(S46="","",Z46)</f>
        <v/>
      </c>
      <c r="AJ46" s="43" t="str">
        <f t="shared" ref="AJ46" si="585">IF(S46="","",AI46*$AJ$3/10000)</f>
        <v/>
      </c>
      <c r="AK46" s="33" t="str">
        <f t="shared" ref="AK46" si="586">IF(S46="","",IF(T46="","",IF(AND(T46=1,AE46&gt;1),"NG",IF(AH46="＞","OK","NG"))))</f>
        <v/>
      </c>
    </row>
    <row r="47" spans="1:37" ht="15.75" customHeight="1" x14ac:dyDescent="0.15">
      <c r="A47" s="92"/>
      <c r="B47" s="93"/>
      <c r="C47" s="59"/>
      <c r="D47" s="61"/>
      <c r="E47" s="94"/>
      <c r="F47" s="95"/>
      <c r="G47" s="95"/>
      <c r="H47" s="96"/>
      <c r="I47" s="54"/>
      <c r="J47" s="46"/>
      <c r="K47" s="97"/>
      <c r="L47" s="57"/>
      <c r="M47" s="44"/>
      <c r="N47" s="44"/>
      <c r="O47" s="42"/>
      <c r="P47" s="50"/>
      <c r="Q47" s="42"/>
      <c r="R47" s="52"/>
      <c r="S47" s="98"/>
      <c r="T47" s="99">
        <v>2</v>
      </c>
      <c r="U47" s="34" t="str">
        <f t="shared" ref="U47" si="587">IF(S46="","",IF(T46=T47,"〃",IF(T47=1,"素焼土管",IF(T47=2,"合成樹脂管",IF(T47=3,"無孔管","")))))</f>
        <v/>
      </c>
      <c r="V47" s="35"/>
      <c r="W47" s="100"/>
      <c r="X47" s="101"/>
      <c r="Y47" s="95"/>
      <c r="Z47" s="42"/>
      <c r="AA47" s="46"/>
      <c r="AB47" s="97"/>
      <c r="AC47" s="36" t="str">
        <f t="shared" ref="AC47" si="588">IF(S46="","",IF(T47=1,0.013,0.012))</f>
        <v/>
      </c>
      <c r="AD47" s="37" t="str">
        <f t="shared" ref="AD47" si="589">IF(S46="","",(1/AC47*(W47/100/2)^(8/3)*(1/AB46*100)^(1/2)*1.65696)*100)</f>
        <v/>
      </c>
      <c r="AE47" s="37" t="str">
        <f t="shared" ref="AE47" si="590">IF(S46="","",1/AC47*(W47/100/2)^(2/3)*(1/AB46)^(1/2)*0.70541)</f>
        <v/>
      </c>
      <c r="AF47" s="37" t="str">
        <f t="shared" ref="AF47" si="591">IF(S46="","",ROUNDDOWN(AD47/($U$3/8.64),3))</f>
        <v/>
      </c>
      <c r="AG47" s="38" t="str">
        <f t="shared" ref="AG47" si="592">IF(S46="","",ROUNDDOWN(AF47*10000/$AJ$3,0))</f>
        <v/>
      </c>
      <c r="AH47" s="39" t="str">
        <f t="shared" ref="AH47" si="593">IF(S46="","",IF(AG47&gt;AI46,"＞",IF(AG47=AI46,"=","＜")))</f>
        <v/>
      </c>
      <c r="AI47" s="42"/>
      <c r="AJ47" s="44"/>
      <c r="AK47" s="39" t="str">
        <f t="shared" ref="AK47" si="594">IF(S46="","",IF(AND(T47=1,AE47&gt;1),"NG",IF(AH47="＞","OK","NG")))</f>
        <v/>
      </c>
    </row>
    <row r="48" spans="1:37" ht="15.75" customHeight="1" x14ac:dyDescent="0.15">
      <c r="A48" s="80"/>
      <c r="B48" s="81">
        <v>2</v>
      </c>
      <c r="C48" s="58" t="str">
        <f t="shared" ref="C48" si="595">IF(A48="","",IF(B48=1,"素　焼土　管",IF(B48=2,"合　成樹脂管",IF(B48=3,"無孔管",""))))</f>
        <v/>
      </c>
      <c r="D48" s="60"/>
      <c r="E48" s="82"/>
      <c r="F48" s="83"/>
      <c r="G48" s="83"/>
      <c r="H48" s="84"/>
      <c r="I48" s="53" t="str">
        <f t="shared" ref="I48" si="596">IF(A48="","",F48-G48+H48)</f>
        <v/>
      </c>
      <c r="J48" s="55" t="str">
        <f t="shared" ref="J48" si="597">IF(A48="",""," 1/")</f>
        <v/>
      </c>
      <c r="K48" s="85"/>
      <c r="L48" s="56" t="str">
        <f t="shared" ref="L48" si="598">IF(A48="","",IF(B48=1,0.013,0.012))</f>
        <v/>
      </c>
      <c r="M48" s="47" t="str">
        <f t="shared" ref="M48" si="599">IF(A48="","",(1/L48*(E48/100/2)^(8/3)*(1/K48*100)^(1/2)*1.65696)*100)</f>
        <v/>
      </c>
      <c r="N48" s="47" t="str">
        <f t="shared" ref="N48" si="600">IF(A48="","",1/L48*(E48/100/2)^(2/3)*(1/K48)^(1/2)*0.70541)</f>
        <v/>
      </c>
      <c r="O48" s="48" t="str">
        <f t="shared" ref="O48" si="601">IF(A48="","",ROUNDDOWN(M48/($U$3/8.64)*10000/$AJ$3,0))</f>
        <v/>
      </c>
      <c r="P48" s="49" t="str">
        <f t="shared" ref="P48" si="602">IF(A48="","",IF(O48&gt;Q48,"＞","＜"))</f>
        <v/>
      </c>
      <c r="Q48" s="48" t="str">
        <f t="shared" ref="Q48" si="603">IF(A48="","",I48)</f>
        <v/>
      </c>
      <c r="R48" s="51" t="str">
        <f t="shared" ref="R48" si="604">IF(A48="","",IF(P48="＞","OK","NG"))</f>
        <v/>
      </c>
      <c r="S48" s="86"/>
      <c r="T48" s="87"/>
      <c r="U48" s="28" t="str">
        <f t="shared" ref="U48" si="605">IF(S48="","",IF(T48=1,"素焼土管",IF(T48=2,"合成樹脂管",IF(T48=3,"無孔管",""))))</f>
        <v/>
      </c>
      <c r="V48" s="29"/>
      <c r="W48" s="88"/>
      <c r="X48" s="89"/>
      <c r="Y48" s="90"/>
      <c r="Z48" s="41" t="str">
        <f t="shared" ref="Z48:Z56" si="606">IF(S48="","",IF(AND(T49=3,I48=""),Z46+Y48,IF(AND(Z46="",I46=""),I48+Y48,IF(AND(T49=3,I48&gt;0,Z46&gt;0),I48+Z46+Y48,IF(Z46="",I46+I48+X48+Y48,IF(I48="",Z46+X48+Y48,Z46+I48+X48+Y48))))))</f>
        <v/>
      </c>
      <c r="AA48" s="45" t="str">
        <f t="shared" ref="AA48" si="607">IF(AB48="",""," 1/")</f>
        <v/>
      </c>
      <c r="AB48" s="91"/>
      <c r="AC48" s="30" t="str">
        <f t="shared" ref="AC48" si="608">IF(S48="","",IF(T48="","",IF(T48=1,0.013,0.012)))</f>
        <v/>
      </c>
      <c r="AD48" s="31" t="str">
        <f t="shared" ref="AD48" si="609">IF(S48="","",IF(T48="","",(1/AC48*(W48/100/2)^(8/3)*(1/AB48*100)^(1/2)*1.65696)*100))</f>
        <v/>
      </c>
      <c r="AE48" s="31" t="str">
        <f t="shared" ref="AE48" si="610">IF(S48="","",IF(T48="","",1/AC48*(W48/100/2)^(2/3)*(1/AB48)^(1/2)*0.70541))</f>
        <v/>
      </c>
      <c r="AF48" s="31" t="str">
        <f t="shared" ref="AF48" si="611">IF(S48="","",IF(T48="","",ROUNDDOWN(AD48/($U$3/8.64),3)))</f>
        <v/>
      </c>
      <c r="AG48" s="32" t="str">
        <f t="shared" ref="AG48" si="612">IF(S48="","",IF(T48="","",ROUNDDOWN(AF48*10000/$AJ$3,0)))</f>
        <v/>
      </c>
      <c r="AH48" s="33" t="str">
        <f t="shared" ref="AH48" si="613">IF(S48="","",IF(T48="","",IF(AG48&gt;AI48,"＞","＜")))</f>
        <v/>
      </c>
      <c r="AI48" s="41" t="str">
        <f t="shared" ref="AI48" si="614">IF(S48="","",Z48)</f>
        <v/>
      </c>
      <c r="AJ48" s="43" t="str">
        <f t="shared" ref="AJ48" si="615">IF(S48="","",AI48*$AJ$3/10000)</f>
        <v/>
      </c>
      <c r="AK48" s="33" t="str">
        <f t="shared" ref="AK48" si="616">IF(S48="","",IF(T48="","",IF(AND(T48=1,AE48&gt;1),"NG",IF(AH48="＞","OK","NG"))))</f>
        <v/>
      </c>
    </row>
    <row r="49" spans="1:37" ht="15.75" customHeight="1" x14ac:dyDescent="0.15">
      <c r="A49" s="92"/>
      <c r="B49" s="93"/>
      <c r="C49" s="59"/>
      <c r="D49" s="61"/>
      <c r="E49" s="94"/>
      <c r="F49" s="95"/>
      <c r="G49" s="95"/>
      <c r="H49" s="96"/>
      <c r="I49" s="54"/>
      <c r="J49" s="46"/>
      <c r="K49" s="97"/>
      <c r="L49" s="57"/>
      <c r="M49" s="44"/>
      <c r="N49" s="44"/>
      <c r="O49" s="42"/>
      <c r="P49" s="50"/>
      <c r="Q49" s="42"/>
      <c r="R49" s="52"/>
      <c r="S49" s="98"/>
      <c r="T49" s="99">
        <v>2</v>
      </c>
      <c r="U49" s="34" t="str">
        <f t="shared" ref="U49" si="617">IF(S48="","",IF(T48=T49,"〃",IF(T49=1,"素焼土管",IF(T49=2,"合成樹脂管",IF(T49=3,"無孔管","")))))</f>
        <v/>
      </c>
      <c r="V49" s="35"/>
      <c r="W49" s="100"/>
      <c r="X49" s="101"/>
      <c r="Y49" s="95"/>
      <c r="Z49" s="42"/>
      <c r="AA49" s="46"/>
      <c r="AB49" s="97"/>
      <c r="AC49" s="36" t="str">
        <f t="shared" ref="AC49" si="618">IF(S48="","",IF(T49=1,0.013,0.012))</f>
        <v/>
      </c>
      <c r="AD49" s="37" t="str">
        <f t="shared" ref="AD49" si="619">IF(S48="","",(1/AC49*(W49/100/2)^(8/3)*(1/AB48*100)^(1/2)*1.65696)*100)</f>
        <v/>
      </c>
      <c r="AE49" s="37" t="str">
        <f t="shared" ref="AE49" si="620">IF(S48="","",1/AC49*(W49/100/2)^(2/3)*(1/AB48)^(1/2)*0.70541)</f>
        <v/>
      </c>
      <c r="AF49" s="37" t="str">
        <f t="shared" ref="AF49" si="621">IF(S48="","",ROUNDDOWN(AD49/($U$3/8.64),3))</f>
        <v/>
      </c>
      <c r="AG49" s="38" t="str">
        <f t="shared" ref="AG49" si="622">IF(S48="","",ROUNDDOWN(AF49*10000/$AJ$3,0))</f>
        <v/>
      </c>
      <c r="AH49" s="39" t="str">
        <f t="shared" ref="AH49" si="623">IF(S48="","",IF(AG49&gt;AI48,"＞",IF(AG49=AI48,"=","＜")))</f>
        <v/>
      </c>
      <c r="AI49" s="42"/>
      <c r="AJ49" s="44"/>
      <c r="AK49" s="39" t="str">
        <f t="shared" ref="AK49" si="624">IF(S48="","",IF(AND(T49=1,AE49&gt;1),"NG",IF(AH49="＞","OK","NG")))</f>
        <v/>
      </c>
    </row>
    <row r="50" spans="1:37" ht="15.75" customHeight="1" x14ac:dyDescent="0.15">
      <c r="A50" s="80"/>
      <c r="B50" s="81">
        <v>2</v>
      </c>
      <c r="C50" s="58" t="str">
        <f t="shared" ref="C50" si="625">IF(A50="","",IF(B50=1,"素　焼土　管",IF(B50=2,"合　成樹脂管",IF(B50=3,"無孔管",""))))</f>
        <v/>
      </c>
      <c r="D50" s="60"/>
      <c r="E50" s="82"/>
      <c r="F50" s="83"/>
      <c r="G50" s="83"/>
      <c r="H50" s="84"/>
      <c r="I50" s="53" t="str">
        <f t="shared" ref="I50" si="626">IF(A50="","",F50-G50+H50)</f>
        <v/>
      </c>
      <c r="J50" s="55" t="str">
        <f t="shared" ref="J50" si="627">IF(A50="",""," 1/")</f>
        <v/>
      </c>
      <c r="K50" s="85"/>
      <c r="L50" s="56" t="str">
        <f t="shared" ref="L50" si="628">IF(A50="","",IF(B50=1,0.013,0.012))</f>
        <v/>
      </c>
      <c r="M50" s="47" t="str">
        <f t="shared" ref="M50" si="629">IF(A50="","",(1/L50*(E50/100/2)^(8/3)*(1/K50*100)^(1/2)*1.65696)*100)</f>
        <v/>
      </c>
      <c r="N50" s="47" t="str">
        <f t="shared" ref="N50" si="630">IF(A50="","",1/L50*(E50/100/2)^(2/3)*(1/K50)^(1/2)*0.70541)</f>
        <v/>
      </c>
      <c r="O50" s="48" t="str">
        <f t="shared" ref="O50" si="631">IF(A50="","",ROUNDDOWN(M50/($U$3/8.64)*10000/$AJ$3,0))</f>
        <v/>
      </c>
      <c r="P50" s="49" t="str">
        <f t="shared" ref="P50" si="632">IF(A50="","",IF(O50&gt;Q50,"＞","＜"))</f>
        <v/>
      </c>
      <c r="Q50" s="48" t="str">
        <f t="shared" ref="Q50" si="633">IF(A50="","",I50)</f>
        <v/>
      </c>
      <c r="R50" s="51" t="str">
        <f t="shared" ref="R50" si="634">IF(A50="","",IF(P50="＞","OK","NG"))</f>
        <v/>
      </c>
      <c r="S50" s="86"/>
      <c r="T50" s="87"/>
      <c r="U50" s="28" t="str">
        <f t="shared" ref="U50" si="635">IF(S50="","",IF(T50=1,"素焼土管",IF(T50=2,"合成樹脂管",IF(T50=3,"無孔管",""))))</f>
        <v/>
      </c>
      <c r="V50" s="29"/>
      <c r="W50" s="88"/>
      <c r="X50" s="89"/>
      <c r="Y50" s="90"/>
      <c r="Z50" s="41" t="str">
        <f t="shared" si="606"/>
        <v/>
      </c>
      <c r="AA50" s="45" t="str">
        <f t="shared" ref="AA50" si="636">IF(AB50="",""," 1/")</f>
        <v/>
      </c>
      <c r="AB50" s="91"/>
      <c r="AC50" s="30" t="str">
        <f t="shared" ref="AC50" si="637">IF(S50="","",IF(T50="","",IF(T50=1,0.013,0.012)))</f>
        <v/>
      </c>
      <c r="AD50" s="31" t="str">
        <f t="shared" ref="AD50" si="638">IF(S50="","",IF(T50="","",(1/AC50*(W50/100/2)^(8/3)*(1/AB50*100)^(1/2)*1.65696)*100))</f>
        <v/>
      </c>
      <c r="AE50" s="31" t="str">
        <f t="shared" ref="AE50" si="639">IF(S50="","",IF(T50="","",1/AC50*(W50/100/2)^(2/3)*(1/AB50)^(1/2)*0.70541))</f>
        <v/>
      </c>
      <c r="AF50" s="31" t="str">
        <f t="shared" ref="AF50" si="640">IF(S50="","",IF(T50="","",ROUNDDOWN(AD50/($U$3/8.64),3)))</f>
        <v/>
      </c>
      <c r="AG50" s="32" t="str">
        <f t="shared" ref="AG50" si="641">IF(S50="","",IF(T50="","",ROUNDDOWN(AF50*10000/$AJ$3,0)))</f>
        <v/>
      </c>
      <c r="AH50" s="33" t="str">
        <f t="shared" ref="AH50" si="642">IF(S50="","",IF(T50="","",IF(AG50&gt;AI50,"＞","＜")))</f>
        <v/>
      </c>
      <c r="AI50" s="41" t="str">
        <f t="shared" ref="AI50" si="643">IF(S50="","",Z50)</f>
        <v/>
      </c>
      <c r="AJ50" s="43" t="str">
        <f t="shared" ref="AJ50" si="644">IF(S50="","",AI50*$AJ$3/10000)</f>
        <v/>
      </c>
      <c r="AK50" s="33" t="str">
        <f t="shared" ref="AK50" si="645">IF(S50="","",IF(T50="","",IF(AND(T50=1,AE50&gt;1),"NG",IF(AH50="＞","OK","NG"))))</f>
        <v/>
      </c>
    </row>
    <row r="51" spans="1:37" ht="15.75" customHeight="1" x14ac:dyDescent="0.15">
      <c r="A51" s="92"/>
      <c r="B51" s="93"/>
      <c r="C51" s="59"/>
      <c r="D51" s="61"/>
      <c r="E51" s="94"/>
      <c r="F51" s="95"/>
      <c r="G51" s="95"/>
      <c r="H51" s="96"/>
      <c r="I51" s="54"/>
      <c r="J51" s="46"/>
      <c r="K51" s="97"/>
      <c r="L51" s="57"/>
      <c r="M51" s="44"/>
      <c r="N51" s="44"/>
      <c r="O51" s="42"/>
      <c r="P51" s="50"/>
      <c r="Q51" s="42"/>
      <c r="R51" s="52"/>
      <c r="S51" s="98"/>
      <c r="T51" s="99"/>
      <c r="U51" s="34" t="str">
        <f t="shared" ref="U51" si="646">IF(S50="","",IF(T50=T51,"〃",IF(T51=1,"素焼土管",IF(T51=2,"合成樹脂管",IF(T51=3,"無孔管","")))))</f>
        <v/>
      </c>
      <c r="V51" s="35"/>
      <c r="W51" s="100"/>
      <c r="X51" s="101"/>
      <c r="Y51" s="95"/>
      <c r="Z51" s="42"/>
      <c r="AA51" s="46"/>
      <c r="AB51" s="97"/>
      <c r="AC51" s="36" t="str">
        <f t="shared" ref="AC51" si="647">IF(S50="","",IF(T51=1,0.013,0.012))</f>
        <v/>
      </c>
      <c r="AD51" s="37" t="str">
        <f t="shared" ref="AD51" si="648">IF(S50="","",(1/AC51*(W51/100/2)^(8/3)*(1/AB50*100)^(1/2)*1.65696)*100)</f>
        <v/>
      </c>
      <c r="AE51" s="37" t="str">
        <f t="shared" ref="AE51" si="649">IF(S50="","",1/AC51*(W51/100/2)^(2/3)*(1/AB50)^(1/2)*0.70541)</f>
        <v/>
      </c>
      <c r="AF51" s="37" t="str">
        <f t="shared" ref="AF51" si="650">IF(S50="","",ROUNDDOWN(AD51/($U$3/8.64),3))</f>
        <v/>
      </c>
      <c r="AG51" s="38" t="str">
        <f t="shared" ref="AG51" si="651">IF(S50="","",ROUNDDOWN(AF51*10000/$AJ$3,0))</f>
        <v/>
      </c>
      <c r="AH51" s="39" t="str">
        <f t="shared" ref="AH51" si="652">IF(S50="","",IF(AG51&gt;AI50,"＞",IF(AG51=AI50,"=","＜")))</f>
        <v/>
      </c>
      <c r="AI51" s="42"/>
      <c r="AJ51" s="44"/>
      <c r="AK51" s="39" t="str">
        <f t="shared" ref="AK51" si="653">IF(S50="","",IF(AND(T51=1,AE51&gt;1),"NG",IF(AH51="＞","OK","NG")))</f>
        <v/>
      </c>
    </row>
    <row r="52" spans="1:37" ht="15.75" customHeight="1" x14ac:dyDescent="0.15">
      <c r="A52" s="80"/>
      <c r="B52" s="81"/>
      <c r="C52" s="58" t="str">
        <f t="shared" ref="C52" si="654">IF(A52="","",IF(B52=1,"素　焼土　管",IF(B52=2,"合　成樹脂管",IF(B52=3,"無孔管",""))))</f>
        <v/>
      </c>
      <c r="D52" s="60"/>
      <c r="E52" s="82"/>
      <c r="F52" s="83"/>
      <c r="G52" s="83"/>
      <c r="H52" s="84"/>
      <c r="I52" s="53" t="str">
        <f t="shared" ref="I52" si="655">IF(A52="","",F52-G52+H52)</f>
        <v/>
      </c>
      <c r="J52" s="55" t="str">
        <f t="shared" ref="J52" si="656">IF(A52="",""," 1/")</f>
        <v/>
      </c>
      <c r="K52" s="85"/>
      <c r="L52" s="56" t="str">
        <f t="shared" ref="L52" si="657">IF(A52="","",IF(B52=1,0.013,0.012))</f>
        <v/>
      </c>
      <c r="M52" s="47" t="str">
        <f t="shared" ref="M52" si="658">IF(A52="","",(1/L52*(E52/100/2)^(8/3)*(1/K52*100)^(1/2)*1.65696)*100)</f>
        <v/>
      </c>
      <c r="N52" s="47" t="str">
        <f t="shared" ref="N52" si="659">IF(A52="","",1/L52*(E52/100/2)^(2/3)*(1/K52)^(1/2)*0.70541)</f>
        <v/>
      </c>
      <c r="O52" s="48" t="str">
        <f t="shared" ref="O52" si="660">IF(A52="","",ROUNDDOWN(M52/($U$3/8.64)*10000/$AJ$3,0))</f>
        <v/>
      </c>
      <c r="P52" s="49" t="str">
        <f t="shared" ref="P52" si="661">IF(A52="","",IF(O52&gt;Q52,"＞","＜"))</f>
        <v/>
      </c>
      <c r="Q52" s="48" t="str">
        <f t="shared" ref="Q52" si="662">IF(A52="","",I52)</f>
        <v/>
      </c>
      <c r="R52" s="51" t="str">
        <f t="shared" ref="R52" si="663">IF(A52="","",IF(P52="＞","OK","NG"))</f>
        <v/>
      </c>
      <c r="S52" s="86"/>
      <c r="T52" s="87"/>
      <c r="U52" s="28" t="str">
        <f t="shared" ref="U52" si="664">IF(S52="","",IF(T52=1,"素焼土管",IF(T52=2,"合成樹脂管",IF(T52=3,"無孔管",""))))</f>
        <v/>
      </c>
      <c r="V52" s="29"/>
      <c r="W52" s="88"/>
      <c r="X52" s="89"/>
      <c r="Y52" s="90"/>
      <c r="Z52" s="41" t="str">
        <f t="shared" si="606"/>
        <v/>
      </c>
      <c r="AA52" s="45" t="str">
        <f t="shared" ref="AA52" si="665">IF(AB52="",""," 1/")</f>
        <v/>
      </c>
      <c r="AB52" s="91"/>
      <c r="AC52" s="30" t="str">
        <f t="shared" ref="AC52" si="666">IF(S52="","",IF(T52="","",IF(T52=1,0.013,0.012)))</f>
        <v/>
      </c>
      <c r="AD52" s="31" t="str">
        <f t="shared" ref="AD52" si="667">IF(S52="","",IF(T52="","",(1/AC52*(W52/100/2)^(8/3)*(1/AB52*100)^(1/2)*1.65696)*100))</f>
        <v/>
      </c>
      <c r="AE52" s="31" t="str">
        <f t="shared" ref="AE52" si="668">IF(S52="","",IF(T52="","",1/AC52*(W52/100/2)^(2/3)*(1/AB52)^(1/2)*0.70541))</f>
        <v/>
      </c>
      <c r="AF52" s="31" t="str">
        <f t="shared" ref="AF52" si="669">IF(S52="","",IF(T52="","",ROUNDDOWN(AD52/($U$3/8.64),3)))</f>
        <v/>
      </c>
      <c r="AG52" s="32" t="str">
        <f t="shared" ref="AG52" si="670">IF(S52="","",IF(T52="","",ROUNDDOWN(AF52*10000/$AJ$3,0)))</f>
        <v/>
      </c>
      <c r="AH52" s="33" t="str">
        <f t="shared" ref="AH52" si="671">IF(S52="","",IF(T52="","",IF(AG52&gt;AI52,"＞","＜")))</f>
        <v/>
      </c>
      <c r="AI52" s="41" t="str">
        <f t="shared" ref="AI52" si="672">IF(S52="","",Z52)</f>
        <v/>
      </c>
      <c r="AJ52" s="43" t="str">
        <f t="shared" ref="AJ52" si="673">IF(S52="","",AI52*$AJ$3/10000)</f>
        <v/>
      </c>
      <c r="AK52" s="33" t="str">
        <f t="shared" ref="AK52" si="674">IF(S52="","",IF(T52="","",IF(AND(T52=1,AE52&gt;1),"NG",IF(AH52="＞","OK","NG"))))</f>
        <v/>
      </c>
    </row>
    <row r="53" spans="1:37" ht="15.75" customHeight="1" x14ac:dyDescent="0.15">
      <c r="A53" s="92"/>
      <c r="B53" s="93"/>
      <c r="C53" s="59"/>
      <c r="D53" s="61"/>
      <c r="E53" s="94"/>
      <c r="F53" s="95"/>
      <c r="G53" s="95"/>
      <c r="H53" s="96"/>
      <c r="I53" s="54"/>
      <c r="J53" s="46"/>
      <c r="K53" s="97"/>
      <c r="L53" s="57"/>
      <c r="M53" s="44"/>
      <c r="N53" s="44"/>
      <c r="O53" s="42"/>
      <c r="P53" s="50"/>
      <c r="Q53" s="42"/>
      <c r="R53" s="52"/>
      <c r="S53" s="98"/>
      <c r="T53" s="99">
        <v>2</v>
      </c>
      <c r="U53" s="34" t="str">
        <f t="shared" ref="U53" si="675">IF(S52="","",IF(T52=T53,"〃",IF(T53=1,"素焼土管",IF(T53=2,"合成樹脂管",IF(T53=3,"無孔管","")))))</f>
        <v/>
      </c>
      <c r="V53" s="35"/>
      <c r="W53" s="100"/>
      <c r="X53" s="101"/>
      <c r="Y53" s="95"/>
      <c r="Z53" s="42"/>
      <c r="AA53" s="46"/>
      <c r="AB53" s="97"/>
      <c r="AC53" s="36" t="str">
        <f t="shared" ref="AC53" si="676">IF(S52="","",IF(T53=1,0.013,0.012))</f>
        <v/>
      </c>
      <c r="AD53" s="37" t="str">
        <f t="shared" ref="AD53" si="677">IF(S52="","",(1/AC53*(W53/100/2)^(8/3)*(1/AB52*100)^(1/2)*1.65696)*100)</f>
        <v/>
      </c>
      <c r="AE53" s="37" t="str">
        <f t="shared" ref="AE53" si="678">IF(S52="","",1/AC53*(W53/100/2)^(2/3)*(1/AB52)^(1/2)*0.70541)</f>
        <v/>
      </c>
      <c r="AF53" s="37" t="str">
        <f t="shared" ref="AF53" si="679">IF(S52="","",ROUNDDOWN(AD53/($U$3/8.64),3))</f>
        <v/>
      </c>
      <c r="AG53" s="38" t="str">
        <f t="shared" ref="AG53" si="680">IF(S52="","",ROUNDDOWN(AF53*10000/$AJ$3,0))</f>
        <v/>
      </c>
      <c r="AH53" s="39" t="str">
        <f t="shared" ref="AH53" si="681">IF(S52="","",IF(AG53&gt;AI52,"＞",IF(AG53=AI52,"=","＜")))</f>
        <v/>
      </c>
      <c r="AI53" s="42"/>
      <c r="AJ53" s="44"/>
      <c r="AK53" s="39" t="str">
        <f t="shared" ref="AK53" si="682">IF(S52="","",IF(AND(T53=1,AE53&gt;1),"NG",IF(AH53="＞","OK","NG")))</f>
        <v/>
      </c>
    </row>
    <row r="54" spans="1:37" ht="15.75" customHeight="1" x14ac:dyDescent="0.15">
      <c r="A54" s="80"/>
      <c r="B54" s="81">
        <v>2</v>
      </c>
      <c r="C54" s="58" t="str">
        <f t="shared" ref="C54" si="683">IF(A54="","",IF(B54=1,"素　焼土　管",IF(B54=2,"合　成樹脂管",IF(B54=3,"無孔管",""))))</f>
        <v/>
      </c>
      <c r="D54" s="60"/>
      <c r="E54" s="82"/>
      <c r="F54" s="83"/>
      <c r="G54" s="83"/>
      <c r="H54" s="84"/>
      <c r="I54" s="53" t="str">
        <f t="shared" ref="I54" si="684">IF(A54="","",F54-G54+H54)</f>
        <v/>
      </c>
      <c r="J54" s="55" t="str">
        <f t="shared" ref="J54" si="685">IF(A54="",""," 1/")</f>
        <v/>
      </c>
      <c r="K54" s="85"/>
      <c r="L54" s="56" t="str">
        <f t="shared" ref="L54" si="686">IF(A54="","",IF(B54=1,0.013,0.012))</f>
        <v/>
      </c>
      <c r="M54" s="47" t="str">
        <f t="shared" ref="M54" si="687">IF(A54="","",(1/L54*(E54/100/2)^(8/3)*(1/K54*100)^(1/2)*1.65696)*100)</f>
        <v/>
      </c>
      <c r="N54" s="47" t="str">
        <f t="shared" ref="N54" si="688">IF(A54="","",1/L54*(E54/100/2)^(2/3)*(1/K54)^(1/2)*0.70541)</f>
        <v/>
      </c>
      <c r="O54" s="48" t="str">
        <f t="shared" ref="O54" si="689">IF(A54="","",ROUNDDOWN(M54/($U$3/8.64)*10000/$AJ$3,0))</f>
        <v/>
      </c>
      <c r="P54" s="49" t="str">
        <f t="shared" ref="P54" si="690">IF(A54="","",IF(O54&gt;Q54,"＞","＜"))</f>
        <v/>
      </c>
      <c r="Q54" s="48" t="str">
        <f t="shared" ref="Q54" si="691">IF(A54="","",I54)</f>
        <v/>
      </c>
      <c r="R54" s="51" t="str">
        <f t="shared" ref="R54" si="692">IF(A54="","",IF(P54="＞","OK","NG"))</f>
        <v/>
      </c>
      <c r="S54" s="86"/>
      <c r="T54" s="87"/>
      <c r="U54" s="28" t="str">
        <f t="shared" ref="U54" si="693">IF(S54="","",IF(T54=1,"素焼土管",IF(T54=2,"合成樹脂管",IF(T54=3,"無孔管",""))))</f>
        <v/>
      </c>
      <c r="V54" s="29"/>
      <c r="W54" s="88"/>
      <c r="X54" s="89"/>
      <c r="Y54" s="90"/>
      <c r="Z54" s="41" t="str">
        <f t="shared" si="606"/>
        <v/>
      </c>
      <c r="AA54" s="45" t="str">
        <f t="shared" ref="AA54" si="694">IF(AB54="",""," 1/")</f>
        <v/>
      </c>
      <c r="AB54" s="91"/>
      <c r="AC54" s="30" t="str">
        <f t="shared" ref="AC54" si="695">IF(S54="","",IF(T54="","",IF(T54=1,0.013,0.012)))</f>
        <v/>
      </c>
      <c r="AD54" s="31" t="str">
        <f t="shared" ref="AD54" si="696">IF(S54="","",IF(T54="","",(1/AC54*(W54/100/2)^(8/3)*(1/AB54*100)^(1/2)*1.65696)*100))</f>
        <v/>
      </c>
      <c r="AE54" s="31" t="str">
        <f t="shared" ref="AE54" si="697">IF(S54="","",IF(T54="","",1/AC54*(W54/100/2)^(2/3)*(1/AB54)^(1/2)*0.70541))</f>
        <v/>
      </c>
      <c r="AF54" s="31" t="str">
        <f t="shared" ref="AF54" si="698">IF(S54="","",IF(T54="","",ROUNDDOWN(AD54/($U$3/8.64),3)))</f>
        <v/>
      </c>
      <c r="AG54" s="32" t="str">
        <f t="shared" ref="AG54" si="699">IF(S54="","",IF(T54="","",ROUNDDOWN(AF54*10000/$AJ$3,0)))</f>
        <v/>
      </c>
      <c r="AH54" s="33" t="str">
        <f t="shared" ref="AH54" si="700">IF(S54="","",IF(T54="","",IF(AG54&gt;AI54,"＞","＜")))</f>
        <v/>
      </c>
      <c r="AI54" s="41" t="str">
        <f t="shared" ref="AI54" si="701">IF(S54="","",Z54)</f>
        <v/>
      </c>
      <c r="AJ54" s="43" t="str">
        <f t="shared" ref="AJ54" si="702">IF(S54="","",AI54*$AJ$3/10000)</f>
        <v/>
      </c>
      <c r="AK54" s="33" t="str">
        <f t="shared" ref="AK54" si="703">IF(S54="","",IF(T54="","",IF(AND(T54=1,AE54&gt;1),"NG",IF(AH54="＞","OK","NG"))))</f>
        <v/>
      </c>
    </row>
    <row r="55" spans="1:37" ht="15.75" customHeight="1" x14ac:dyDescent="0.15">
      <c r="A55" s="92"/>
      <c r="B55" s="93"/>
      <c r="C55" s="59"/>
      <c r="D55" s="61"/>
      <c r="E55" s="94"/>
      <c r="F55" s="95"/>
      <c r="G55" s="95"/>
      <c r="H55" s="96"/>
      <c r="I55" s="54"/>
      <c r="J55" s="46"/>
      <c r="K55" s="97"/>
      <c r="L55" s="57"/>
      <c r="M55" s="44"/>
      <c r="N55" s="44"/>
      <c r="O55" s="42"/>
      <c r="P55" s="50"/>
      <c r="Q55" s="42"/>
      <c r="R55" s="52"/>
      <c r="S55" s="98"/>
      <c r="T55" s="99">
        <v>3</v>
      </c>
      <c r="U55" s="34" t="str">
        <f t="shared" ref="U55" si="704">IF(S54="","",IF(T54=T55,"〃",IF(T55=1,"素焼土管",IF(T55=2,"合成樹脂管",IF(T55=3,"無孔管","")))))</f>
        <v/>
      </c>
      <c r="V55" s="35"/>
      <c r="W55" s="100"/>
      <c r="X55" s="101"/>
      <c r="Y55" s="95"/>
      <c r="Z55" s="42"/>
      <c r="AA55" s="46"/>
      <c r="AB55" s="97"/>
      <c r="AC55" s="36" t="str">
        <f t="shared" ref="AC55" si="705">IF(S54="","",IF(T55=1,0.013,0.012))</f>
        <v/>
      </c>
      <c r="AD55" s="37" t="str">
        <f t="shared" ref="AD55" si="706">IF(S54="","",(1/AC55*(W55/100/2)^(8/3)*(1/AB54*100)^(1/2)*1.65696)*100)</f>
        <v/>
      </c>
      <c r="AE55" s="37" t="str">
        <f t="shared" ref="AE55" si="707">IF(S54="","",1/AC55*(W55/100/2)^(2/3)*(1/AB54)^(1/2)*0.70541)</f>
        <v/>
      </c>
      <c r="AF55" s="37" t="str">
        <f t="shared" ref="AF55" si="708">IF(S54="","",ROUNDDOWN(AD55/($U$3/8.64),3))</f>
        <v/>
      </c>
      <c r="AG55" s="38" t="str">
        <f t="shared" ref="AG55" si="709">IF(S54="","",ROUNDDOWN(AF55*10000/$AJ$3,0))</f>
        <v/>
      </c>
      <c r="AH55" s="39" t="str">
        <f t="shared" ref="AH55" si="710">IF(S54="","",IF(AG55&gt;AI54,"＞",IF(AG55=AI54,"=","＜")))</f>
        <v/>
      </c>
      <c r="AI55" s="42"/>
      <c r="AJ55" s="44"/>
      <c r="AK55" s="39" t="str">
        <f t="shared" ref="AK55" si="711">IF(S54="","",IF(AND(T55=1,AE55&gt;1),"NG",IF(AH55="＞","OK","NG")))</f>
        <v/>
      </c>
    </row>
    <row r="56" spans="1:37" ht="15.75" customHeight="1" x14ac:dyDescent="0.15">
      <c r="A56" s="80"/>
      <c r="B56" s="81"/>
      <c r="C56" s="58" t="str">
        <f t="shared" ref="C56" si="712">IF(A56="","",IF(B56=1,"素　焼土　管",IF(B56=2,"合　成樹脂管",IF(B56=3,"無孔管",""))))</f>
        <v/>
      </c>
      <c r="D56" s="60"/>
      <c r="E56" s="82"/>
      <c r="F56" s="83"/>
      <c r="G56" s="83"/>
      <c r="H56" s="84"/>
      <c r="I56" s="53" t="str">
        <f t="shared" ref="I56" si="713">IF(A56="","",F56-G56+H56)</f>
        <v/>
      </c>
      <c r="J56" s="55" t="str">
        <f t="shared" ref="J56" si="714">IF(A56="",""," 1/")</f>
        <v/>
      </c>
      <c r="K56" s="85"/>
      <c r="L56" s="56" t="str">
        <f t="shared" ref="L56" si="715">IF(A56="","",IF(B56=1,0.013,0.012))</f>
        <v/>
      </c>
      <c r="M56" s="47" t="str">
        <f t="shared" ref="M56" si="716">IF(A56="","",(1/L56*(E56/100/2)^(8/3)*(1/K56*100)^(1/2)*1.65696)*100)</f>
        <v/>
      </c>
      <c r="N56" s="47" t="str">
        <f t="shared" ref="N56" si="717">IF(A56="","",1/L56*(E56/100/2)^(2/3)*(1/K56)^(1/2)*0.70541)</f>
        <v/>
      </c>
      <c r="O56" s="48" t="str">
        <f t="shared" ref="O56" si="718">IF(A56="","",ROUNDDOWN(M56/($U$3/8.64)*10000/$AJ$3,0))</f>
        <v/>
      </c>
      <c r="P56" s="49" t="str">
        <f t="shared" ref="P56" si="719">IF(A56="","",IF(O56&gt;Q56,"＞","＜"))</f>
        <v/>
      </c>
      <c r="Q56" s="48" t="str">
        <f t="shared" ref="Q56" si="720">IF(A56="","",I56)</f>
        <v/>
      </c>
      <c r="R56" s="51" t="str">
        <f t="shared" ref="R56" si="721">IF(A56="","",IF(P56="＞","OK","NG"))</f>
        <v/>
      </c>
      <c r="S56" s="86"/>
      <c r="T56" s="87"/>
      <c r="U56" s="28" t="str">
        <f t="shared" ref="U56" si="722">IF(S56="","",IF(T56=1,"素焼土管",IF(T56=2,"合成樹脂管",IF(T56=3,"無孔管",""))))</f>
        <v/>
      </c>
      <c r="V56" s="29"/>
      <c r="W56" s="88"/>
      <c r="X56" s="89"/>
      <c r="Y56" s="90"/>
      <c r="Z56" s="41" t="str">
        <f t="shared" si="606"/>
        <v/>
      </c>
      <c r="AA56" s="45" t="str">
        <f t="shared" ref="AA56" si="723">IF(AB56="",""," 1/")</f>
        <v/>
      </c>
      <c r="AB56" s="91"/>
      <c r="AC56" s="30" t="str">
        <f t="shared" ref="AC56" si="724">IF(S56="","",IF(T56="","",IF(T56=1,0.013,0.012)))</f>
        <v/>
      </c>
      <c r="AD56" s="31" t="str">
        <f t="shared" ref="AD56" si="725">IF(S56="","",IF(T56="","",(1/AC56*(W56/100/2)^(8/3)*(1/AB56*100)^(1/2)*1.65696)*100))</f>
        <v/>
      </c>
      <c r="AE56" s="31" t="str">
        <f t="shared" ref="AE56" si="726">IF(S56="","",IF(T56="","",1/AC56*(W56/100/2)^(2/3)*(1/AB56)^(1/2)*0.70541))</f>
        <v/>
      </c>
      <c r="AF56" s="31" t="str">
        <f t="shared" ref="AF56" si="727">IF(S56="","",IF(T56="","",ROUNDDOWN(AD56/($U$3/8.64),3)))</f>
        <v/>
      </c>
      <c r="AG56" s="32" t="str">
        <f t="shared" ref="AG56" si="728">IF(S56="","",IF(T56="","",ROUNDDOWN(AF56*10000/$AJ$3,0)))</f>
        <v/>
      </c>
      <c r="AH56" s="33" t="str">
        <f t="shared" ref="AH56" si="729">IF(S56="","",IF(T56="","",IF(AG56&gt;AI56,"＞","＜")))</f>
        <v/>
      </c>
      <c r="AI56" s="41" t="str">
        <f t="shared" ref="AI56" si="730">IF(S56="","",Z56)</f>
        <v/>
      </c>
      <c r="AJ56" s="43" t="str">
        <f t="shared" ref="AJ56" si="731">IF(S56="","",AI56*$AJ$3/10000)</f>
        <v/>
      </c>
      <c r="AK56" s="33" t="str">
        <f t="shared" ref="AK56" si="732">IF(S56="","",IF(T56="","",IF(AND(T56=1,AE56&gt;1),"NG",IF(AH56="＞","OK","NG"))))</f>
        <v/>
      </c>
    </row>
    <row r="57" spans="1:37" ht="15.75" customHeight="1" x14ac:dyDescent="0.15">
      <c r="A57" s="92"/>
      <c r="B57" s="93"/>
      <c r="C57" s="59"/>
      <c r="D57" s="61"/>
      <c r="E57" s="94"/>
      <c r="F57" s="95"/>
      <c r="G57" s="95"/>
      <c r="H57" s="96"/>
      <c r="I57" s="54"/>
      <c r="J57" s="46"/>
      <c r="K57" s="97"/>
      <c r="L57" s="57"/>
      <c r="M57" s="44"/>
      <c r="N57" s="44"/>
      <c r="O57" s="42"/>
      <c r="P57" s="50"/>
      <c r="Q57" s="42"/>
      <c r="R57" s="52"/>
      <c r="S57" s="98"/>
      <c r="T57" s="99"/>
      <c r="U57" s="34" t="str">
        <f t="shared" ref="U57" si="733">IF(S56="","",IF(T56=T57,"〃",IF(T57=1,"素焼土管",IF(T57=2,"合成樹脂管",IF(T57=3,"無孔管","")))))</f>
        <v/>
      </c>
      <c r="V57" s="35"/>
      <c r="W57" s="100"/>
      <c r="X57" s="101"/>
      <c r="Y57" s="95"/>
      <c r="Z57" s="42"/>
      <c r="AA57" s="46"/>
      <c r="AB57" s="97"/>
      <c r="AC57" s="36" t="str">
        <f t="shared" ref="AC57" si="734">IF(S56="","",IF(T57=1,0.013,0.012))</f>
        <v/>
      </c>
      <c r="AD57" s="37" t="str">
        <f t="shared" ref="AD57" si="735">IF(S56="","",(1/AC57*(W57/100/2)^(8/3)*(1/AB56*100)^(1/2)*1.65696)*100)</f>
        <v/>
      </c>
      <c r="AE57" s="37" t="str">
        <f t="shared" ref="AE57" si="736">IF(S56="","",1/AC57*(W57/100/2)^(2/3)*(1/AB56)^(1/2)*0.70541)</f>
        <v/>
      </c>
      <c r="AF57" s="37" t="str">
        <f t="shared" ref="AF57" si="737">IF(S56="","",ROUNDDOWN(AD57/($U$3/8.64),3))</f>
        <v/>
      </c>
      <c r="AG57" s="38" t="str">
        <f t="shared" ref="AG57" si="738">IF(S56="","",ROUNDDOWN(AF57*10000/$AJ$3,0))</f>
        <v/>
      </c>
      <c r="AH57" s="39" t="str">
        <f t="shared" ref="AH57" si="739">IF(S56="","",IF(AG57&gt;AI56,"＞",IF(AG57=AI56,"=","＜")))</f>
        <v/>
      </c>
      <c r="AI57" s="42"/>
      <c r="AJ57" s="44"/>
      <c r="AK57" s="39" t="str">
        <f t="shared" ref="AK57" si="740">IF(S56="","",IF(AND(T57=1,AE57&gt;1),"NG",IF(AH57="＞","OK","NG")))</f>
        <v/>
      </c>
    </row>
    <row r="58" spans="1:37" ht="15.75" customHeight="1" x14ac:dyDescent="0.15">
      <c r="A58" s="80"/>
      <c r="B58" s="81">
        <v>2</v>
      </c>
      <c r="C58" s="58" t="str">
        <f t="shared" ref="C58" si="741">IF(A58="","",IF(B58=1,"素　焼土　管",IF(B58=2,"合　成樹脂管",IF(B58=3,"無孔管",""))))</f>
        <v/>
      </c>
      <c r="D58" s="60"/>
      <c r="E58" s="82"/>
      <c r="F58" s="83"/>
      <c r="G58" s="83"/>
      <c r="H58" s="84"/>
      <c r="I58" s="53" t="str">
        <f t="shared" ref="I58" si="742">IF(A58="","",F58-G58+H58)</f>
        <v/>
      </c>
      <c r="J58" s="55" t="str">
        <f t="shared" ref="J58" si="743">IF(A58="",""," 1/")</f>
        <v/>
      </c>
      <c r="K58" s="85"/>
      <c r="L58" s="56" t="str">
        <f t="shared" ref="L58" si="744">IF(A58="","",IF(B58=1,0.013,0.012))</f>
        <v/>
      </c>
      <c r="M58" s="47" t="str">
        <f t="shared" ref="M58" si="745">IF(A58="","",(1/L58*(E58/100/2)^(8/3)*(1/K58*100)^(1/2)*1.65696)*100)</f>
        <v/>
      </c>
      <c r="N58" s="47" t="str">
        <f t="shared" ref="N58" si="746">IF(A58="","",1/L58*(E58/100/2)^(2/3)*(1/K58)^(1/2)*0.70541)</f>
        <v/>
      </c>
      <c r="O58" s="48" t="str">
        <f t="shared" ref="O58" si="747">IF(A58="","",ROUNDDOWN(M58/($U$3/8.64)*10000/$AJ$3,0))</f>
        <v/>
      </c>
      <c r="P58" s="49" t="str">
        <f t="shared" ref="P58" si="748">IF(A58="","",IF(O58&gt;Q58,"＞","＜"))</f>
        <v/>
      </c>
      <c r="Q58" s="48" t="str">
        <f t="shared" ref="Q58" si="749">IF(A58="","",I58)</f>
        <v/>
      </c>
      <c r="R58" s="51" t="str">
        <f t="shared" ref="R58" si="750">IF(A58="","",IF(P58="＞","OK","NG"))</f>
        <v/>
      </c>
      <c r="S58" s="86"/>
      <c r="T58" s="87"/>
      <c r="U58" s="28" t="str">
        <f t="shared" ref="U58" si="751">IF(S58="","",IF(T58=1,"素焼土管",IF(T58=2,"合成樹脂管",IF(T58=3,"無孔管",""))))</f>
        <v/>
      </c>
      <c r="V58" s="29"/>
      <c r="W58" s="88"/>
      <c r="X58" s="89"/>
      <c r="Y58" s="90"/>
      <c r="Z58" s="41" t="str">
        <f t="shared" ref="Z58" si="752">IF(S58="","",IF(AND(T59=3,I58=""),Z56+Y58,IF(AND(Z56="",I56=""),I58+Y58,IF(AND(T59=3,I58&gt;0,Z56&gt;0),I58+Z56+Y58,IF(Z56="",I56+I58+X58+Y58,IF(I58="",Z56+X58+Y58,Z56+I58+X58+Y58))))))</f>
        <v/>
      </c>
      <c r="AA58" s="45" t="str">
        <f t="shared" ref="AA58" si="753">IF(AB58="",""," 1/")</f>
        <v/>
      </c>
      <c r="AB58" s="91"/>
      <c r="AC58" s="30" t="str">
        <f t="shared" ref="AC58" si="754">IF(S58="","",IF(T58="","",IF(T58=1,0.013,0.012)))</f>
        <v/>
      </c>
      <c r="AD58" s="31" t="str">
        <f t="shared" ref="AD58" si="755">IF(S58="","",IF(T58="","",(1/AC58*(W58/100/2)^(8/3)*(1/AB58*100)^(1/2)*1.65696)*100))</f>
        <v/>
      </c>
      <c r="AE58" s="31" t="str">
        <f t="shared" ref="AE58" si="756">IF(S58="","",IF(T58="","",1/AC58*(W58/100/2)^(2/3)*(1/AB58)^(1/2)*0.70541))</f>
        <v/>
      </c>
      <c r="AF58" s="31" t="str">
        <f t="shared" ref="AF58" si="757">IF(S58="","",IF(T58="","",ROUNDDOWN(AD58/($U$3/8.64),3)))</f>
        <v/>
      </c>
      <c r="AG58" s="32" t="str">
        <f t="shared" ref="AG58" si="758">IF(S58="","",IF(T58="","",ROUNDDOWN(AF58*10000/$AJ$3,0)))</f>
        <v/>
      </c>
      <c r="AH58" s="33" t="str">
        <f t="shared" ref="AH58" si="759">IF(S58="","",IF(T58="","",IF(AG58&gt;AI58,"＞","＜")))</f>
        <v/>
      </c>
      <c r="AI58" s="41" t="str">
        <f t="shared" ref="AI58" si="760">IF(S58="","",Z58)</f>
        <v/>
      </c>
      <c r="AJ58" s="43" t="str">
        <f t="shared" ref="AJ58" si="761">IF(S58="","",AI58*$AJ$3/10000)</f>
        <v/>
      </c>
      <c r="AK58" s="33" t="str">
        <f t="shared" ref="AK58" si="762">IF(S58="","",IF(T58="","",IF(AND(T58=1,AE58&gt;1),"NG",IF(AH58="＞","OK","NG"))))</f>
        <v/>
      </c>
    </row>
    <row r="59" spans="1:37" ht="15.75" customHeight="1" x14ac:dyDescent="0.15">
      <c r="A59" s="92"/>
      <c r="B59" s="93"/>
      <c r="C59" s="59"/>
      <c r="D59" s="61"/>
      <c r="E59" s="94"/>
      <c r="F59" s="95"/>
      <c r="G59" s="95"/>
      <c r="H59" s="96"/>
      <c r="I59" s="54"/>
      <c r="J59" s="46"/>
      <c r="K59" s="97"/>
      <c r="L59" s="57"/>
      <c r="M59" s="44"/>
      <c r="N59" s="44"/>
      <c r="O59" s="42"/>
      <c r="P59" s="50"/>
      <c r="Q59" s="42"/>
      <c r="R59" s="52"/>
      <c r="S59" s="98"/>
      <c r="T59" s="99">
        <v>2</v>
      </c>
      <c r="U59" s="34" t="str">
        <f t="shared" ref="U59" si="763">IF(S58="","",IF(T58=T59,"〃",IF(T59=1,"素焼土管",IF(T59=2,"合成樹脂管",IF(T59=3,"無孔管","")))))</f>
        <v/>
      </c>
      <c r="V59" s="35"/>
      <c r="W59" s="100"/>
      <c r="X59" s="101"/>
      <c r="Y59" s="95"/>
      <c r="Z59" s="42"/>
      <c r="AA59" s="46"/>
      <c r="AB59" s="97"/>
      <c r="AC59" s="36" t="str">
        <f t="shared" ref="AC59" si="764">IF(S58="","",IF(T59=1,0.013,0.012))</f>
        <v/>
      </c>
      <c r="AD59" s="37" t="str">
        <f t="shared" ref="AD59" si="765">IF(S58="","",(1/AC59*(W59/100/2)^(8/3)*(1/AB58*100)^(1/2)*1.65696)*100)</f>
        <v/>
      </c>
      <c r="AE59" s="37" t="str">
        <f t="shared" ref="AE59" si="766">IF(S58="","",1/AC59*(W59/100/2)^(2/3)*(1/AB58)^(1/2)*0.70541)</f>
        <v/>
      </c>
      <c r="AF59" s="37" t="str">
        <f t="shared" ref="AF59" si="767">IF(S58="","",ROUNDDOWN(AD59/($U$3/8.64),3))</f>
        <v/>
      </c>
      <c r="AG59" s="38" t="str">
        <f t="shared" ref="AG59" si="768">IF(S58="","",ROUNDDOWN(AF59*10000/$AJ$3,0))</f>
        <v/>
      </c>
      <c r="AH59" s="39" t="str">
        <f t="shared" ref="AH59" si="769">IF(S58="","",IF(AG59&gt;AI58,"＞",IF(AG59=AI58,"=","＜")))</f>
        <v/>
      </c>
      <c r="AI59" s="42"/>
      <c r="AJ59" s="44"/>
      <c r="AK59" s="39" t="str">
        <f t="shared" ref="AK59" si="770">IF(S58="","",IF(AND(T59=1,AE59&gt;1),"NG",IF(AH59="＞","OK","NG")))</f>
        <v/>
      </c>
    </row>
    <row r="60" spans="1:37" ht="15.75" customHeight="1" x14ac:dyDescent="0.15">
      <c r="A60" s="80"/>
      <c r="B60" s="81"/>
      <c r="C60" s="58" t="str">
        <f t="shared" ref="C60" si="771">IF(A60="","",IF(B60=1,"素　焼土　管",IF(B60=2,"合　成樹脂管",IF(B60=3,"無孔管",""))))</f>
        <v/>
      </c>
      <c r="D60" s="60"/>
      <c r="E60" s="82"/>
      <c r="F60" s="83"/>
      <c r="G60" s="83"/>
      <c r="H60" s="84"/>
      <c r="I60" s="53" t="str">
        <f t="shared" ref="I60" si="772">IF(A60="","",F60-G60+H60)</f>
        <v/>
      </c>
      <c r="J60" s="55" t="str">
        <f t="shared" ref="J60" si="773">IF(A60="",""," 1/")</f>
        <v/>
      </c>
      <c r="K60" s="85"/>
      <c r="L60" s="56" t="str">
        <f t="shared" ref="L60" si="774">IF(A60="","",IF(B60=1,0.013,0.012))</f>
        <v/>
      </c>
      <c r="M60" s="47" t="str">
        <f t="shared" ref="M60" si="775">IF(A60="","",(1/L60*(E60/100/2)^(8/3)*(1/K60*100)^(1/2)*1.65696)*100)</f>
        <v/>
      </c>
      <c r="N60" s="47" t="str">
        <f t="shared" ref="N60" si="776">IF(A60="","",1/L60*(E60/100/2)^(2/3)*(1/K60)^(1/2)*0.70541)</f>
        <v/>
      </c>
      <c r="O60" s="48" t="str">
        <f t="shared" ref="O60" si="777">IF(A60="","",ROUNDDOWN(M60/($U$3/8.64)*10000/$AJ$3,0))</f>
        <v/>
      </c>
      <c r="P60" s="49" t="str">
        <f t="shared" ref="P60" si="778">IF(A60="","",IF(O60&gt;Q60,"＞","＜"))</f>
        <v/>
      </c>
      <c r="Q60" s="48" t="str">
        <f t="shared" ref="Q60" si="779">IF(A60="","",I60)</f>
        <v/>
      </c>
      <c r="R60" s="51" t="str">
        <f t="shared" ref="R60" si="780">IF(A60="","",IF(P60="＞","OK","NG"))</f>
        <v/>
      </c>
      <c r="S60" s="86"/>
      <c r="T60" s="87"/>
      <c r="U60" s="28" t="str">
        <f t="shared" ref="U60" si="781">IF(S60="","",IF(T60=1,"素焼土管",IF(T60=2,"合成樹脂管",IF(T60=3,"無孔管",""))))</f>
        <v/>
      </c>
      <c r="V60" s="29"/>
      <c r="W60" s="88"/>
      <c r="X60" s="89"/>
      <c r="Y60" s="90"/>
      <c r="Z60" s="62" t="str">
        <f t="shared" ref="Z60" si="782">IF(S60="","",IF(AND(T61=3,I60=""),Z58+Y60,IF(AND(Z58="",I58=""),I60+Y60,IF(AND(T61=3,I60&gt;0,Z58&gt;0),I60+Z58+Y60,IF(Z58="",I58+I60+X60+Y60,IF(I60="",Z58+X60+Y60,Z58+I60+X60+Y60))))))</f>
        <v/>
      </c>
      <c r="AA60" s="45" t="str">
        <f t="shared" ref="AA60" si="783">IF(AB60="",""," 1/")</f>
        <v/>
      </c>
      <c r="AB60" s="91"/>
      <c r="AC60" s="30" t="str">
        <f t="shared" ref="AC60" si="784">IF(S60="","",IF(T60="","",IF(T60=1,0.013,0.012)))</f>
        <v/>
      </c>
      <c r="AD60" s="31" t="str">
        <f t="shared" ref="AD60" si="785">IF(S60="","",IF(T60="","",(1/AC60*(W60/100/2)^(8/3)*(1/AB60*100)^(1/2)*1.65696)*100))</f>
        <v/>
      </c>
      <c r="AE60" s="31" t="str">
        <f t="shared" ref="AE60" si="786">IF(S60="","",IF(T60="","",1/AC60*(W60/100/2)^(2/3)*(1/AB60)^(1/2)*0.70541))</f>
        <v/>
      </c>
      <c r="AF60" s="31" t="str">
        <f t="shared" ref="AF60" si="787">IF(S60="","",IF(T60="","",ROUNDDOWN(AD60/($U$3/8.64),3)))</f>
        <v/>
      </c>
      <c r="AG60" s="32" t="str">
        <f t="shared" ref="AG60" si="788">IF(S60="","",IF(T60="","",ROUNDDOWN(AF60*10000/$AJ$3,0)))</f>
        <v/>
      </c>
      <c r="AH60" s="33" t="str">
        <f t="shared" ref="AH60" si="789">IF(S60="","",IF(T60="","",IF(AG60&gt;AI60,"＞","＜")))</f>
        <v/>
      </c>
      <c r="AI60" s="41" t="str">
        <f t="shared" ref="AI60" si="790">IF(S60="","",Z60)</f>
        <v/>
      </c>
      <c r="AJ60" s="43" t="str">
        <f t="shared" ref="AJ60" si="791">IF(S60="","",AI60*$AJ$3/10000)</f>
        <v/>
      </c>
      <c r="AK60" s="33" t="str">
        <f t="shared" ref="AK60" si="792">IF(S60="","",IF(T60="","",IF(AND(T60=1,AE60&gt;1),"NG",IF(AH60="＞","OK","NG"))))</f>
        <v/>
      </c>
    </row>
    <row r="61" spans="1:37" ht="15.75" customHeight="1" x14ac:dyDescent="0.15">
      <c r="A61" s="92"/>
      <c r="B61" s="93"/>
      <c r="C61" s="59"/>
      <c r="D61" s="61"/>
      <c r="E61" s="94"/>
      <c r="F61" s="95"/>
      <c r="G61" s="95"/>
      <c r="H61" s="96"/>
      <c r="I61" s="54"/>
      <c r="J61" s="46"/>
      <c r="K61" s="97"/>
      <c r="L61" s="57"/>
      <c r="M61" s="44"/>
      <c r="N61" s="44"/>
      <c r="O61" s="42"/>
      <c r="P61" s="50"/>
      <c r="Q61" s="42"/>
      <c r="R61" s="52"/>
      <c r="S61" s="98"/>
      <c r="T61" s="99">
        <v>2</v>
      </c>
      <c r="U61" s="34" t="str">
        <f t="shared" ref="U61" si="793">IF(S60="","",IF(T60=T61,"〃",IF(T61=1,"素焼土管",IF(T61=2,"合成樹脂管",IF(T61=3,"無孔管","")))))</f>
        <v/>
      </c>
      <c r="V61" s="35"/>
      <c r="W61" s="100"/>
      <c r="X61" s="101"/>
      <c r="Y61" s="95"/>
      <c r="Z61" s="42"/>
      <c r="AA61" s="46"/>
      <c r="AB61" s="97"/>
      <c r="AC61" s="36" t="str">
        <f t="shared" ref="AC61" si="794">IF(S60="","",IF(T61=1,0.013,0.012))</f>
        <v/>
      </c>
      <c r="AD61" s="37" t="str">
        <f t="shared" ref="AD61" si="795">IF(S60="","",(1/AC61*(W61/100/2)^(8/3)*(1/AB60*100)^(1/2)*1.65696)*100)</f>
        <v/>
      </c>
      <c r="AE61" s="37" t="str">
        <f t="shared" ref="AE61" si="796">IF(S60="","",1/AC61*(W61/100/2)^(2/3)*(1/AB60)^(1/2)*0.70541)</f>
        <v/>
      </c>
      <c r="AF61" s="37" t="str">
        <f t="shared" ref="AF61" si="797">IF(S60="","",ROUNDDOWN(AD61/($U$3/8.64),3))</f>
        <v/>
      </c>
      <c r="AG61" s="38" t="str">
        <f t="shared" ref="AG61" si="798">IF(S60="","",ROUNDDOWN(AF61*10000/$AJ$3,0))</f>
        <v/>
      </c>
      <c r="AH61" s="39" t="str">
        <f t="shared" ref="AH61" si="799">IF(S60="","",IF(AG61&gt;AI60,"＞",IF(AG61=AI60,"=","＜")))</f>
        <v/>
      </c>
      <c r="AI61" s="42"/>
      <c r="AJ61" s="44"/>
      <c r="AK61" s="39" t="str">
        <f t="shared" ref="AK61" si="800">IF(S60="","",IF(AND(T61=1,AE61&gt;1),"NG",IF(AH61="＞","OK","NG")))</f>
        <v/>
      </c>
    </row>
    <row r="62" spans="1:37" ht="15.75" customHeight="1" x14ac:dyDescent="0.15">
      <c r="A62" s="80"/>
      <c r="B62" s="81"/>
      <c r="C62" s="58" t="str">
        <f t="shared" ref="C62" si="801">IF(A62="","",IF(B62=1,"素　焼土　管",IF(B62=2,"合　成樹脂管",IF(B62=3,"無孔管",""))))</f>
        <v/>
      </c>
      <c r="D62" s="60"/>
      <c r="E62" s="82"/>
      <c r="F62" s="83"/>
      <c r="G62" s="83"/>
      <c r="H62" s="84"/>
      <c r="I62" s="53" t="str">
        <f t="shared" ref="I62" si="802">IF(A62="","",F62-G62+H62)</f>
        <v/>
      </c>
      <c r="J62" s="55" t="str">
        <f t="shared" ref="J62" si="803">IF(A62="",""," 1/")</f>
        <v/>
      </c>
      <c r="K62" s="85"/>
      <c r="L62" s="56" t="str">
        <f t="shared" ref="L62" si="804">IF(A62="","",IF(B62=1,0.013,0.012))</f>
        <v/>
      </c>
      <c r="M62" s="47" t="str">
        <f t="shared" ref="M62" si="805">IF(A62="","",(1/L62*(E62/100/2)^(8/3)*(1/K62*100)^(1/2)*1.65696)*100)</f>
        <v/>
      </c>
      <c r="N62" s="47" t="str">
        <f t="shared" ref="N62" si="806">IF(A62="","",1/L62*(E62/100/2)^(2/3)*(1/K62)^(1/2)*0.70541)</f>
        <v/>
      </c>
      <c r="O62" s="48" t="str">
        <f t="shared" ref="O62" si="807">IF(A62="","",ROUNDDOWN(M62/($U$3/8.64)*10000/$AJ$3,0))</f>
        <v/>
      </c>
      <c r="P62" s="49" t="str">
        <f t="shared" ref="P62" si="808">IF(A62="","",IF(O62&gt;Q62,"＞","＜"))</f>
        <v/>
      </c>
      <c r="Q62" s="48" t="str">
        <f t="shared" ref="Q62" si="809">IF(A62="","",I62)</f>
        <v/>
      </c>
      <c r="R62" s="51" t="str">
        <f t="shared" ref="R62" si="810">IF(A62="","",IF(P62="＞","OK","NG"))</f>
        <v/>
      </c>
      <c r="S62" s="86"/>
      <c r="T62" s="87"/>
      <c r="U62" s="28" t="str">
        <f t="shared" ref="U62" si="811">IF(S62="","",IF(T62=1,"素焼土管",IF(T62=2,"合成樹脂管",IF(T62=3,"無孔管",""))))</f>
        <v/>
      </c>
      <c r="V62" s="29"/>
      <c r="W62" s="88"/>
      <c r="X62" s="89"/>
      <c r="Y62" s="90"/>
      <c r="Z62" s="41" t="str">
        <f t="shared" ref="Z62" si="812">IF(S62="","",IF(AND(T63=3,I62=""),Z60+Y62,IF(AND(Z60="",I60=""),I62+Y62,IF(AND(T63=3,I62&gt;0,Z60&gt;0),I62+Z60+Y62,IF(Z60="",I60+I62+X62+Y62,IF(I62="",Z60+X62+Y62,Z60+I62+X62+Y62))))))</f>
        <v/>
      </c>
      <c r="AA62" s="45" t="str">
        <f t="shared" ref="AA62" si="813">IF(AB62="",""," 1/")</f>
        <v/>
      </c>
      <c r="AB62" s="91"/>
      <c r="AC62" s="30" t="str">
        <f t="shared" ref="AC62" si="814">IF(S62="","",IF(T62="","",IF(T62=1,0.013,0.012)))</f>
        <v/>
      </c>
      <c r="AD62" s="31" t="str">
        <f t="shared" ref="AD62" si="815">IF(S62="","",IF(T62="","",(1/AC62*(W62/100/2)^(8/3)*(1/AB62*100)^(1/2)*1.65696)*100))</f>
        <v/>
      </c>
      <c r="AE62" s="31" t="str">
        <f t="shared" ref="AE62" si="816">IF(S62="","",IF(T62="","",1/AC62*(W62/100/2)^(2/3)*(1/AB62)^(1/2)*0.70541))</f>
        <v/>
      </c>
      <c r="AF62" s="31" t="str">
        <f t="shared" ref="AF62" si="817">IF(S62="","",IF(T62="","",ROUNDDOWN(AD62/($U$3/8.64),3)))</f>
        <v/>
      </c>
      <c r="AG62" s="32" t="str">
        <f t="shared" ref="AG62" si="818">IF(S62="","",IF(T62="","",ROUNDDOWN(AF62*10000/$AJ$3,0)))</f>
        <v/>
      </c>
      <c r="AH62" s="33" t="str">
        <f t="shared" ref="AH62" si="819">IF(S62="","",IF(T62="","",IF(AG62&gt;AI62,"＞","＜")))</f>
        <v/>
      </c>
      <c r="AI62" s="41" t="str">
        <f t="shared" ref="AI62" si="820">IF(S62="","",Z62)</f>
        <v/>
      </c>
      <c r="AJ62" s="43" t="str">
        <f t="shared" ref="AJ62" si="821">IF(S62="","",AI62*$AJ$3/10000)</f>
        <v/>
      </c>
      <c r="AK62" s="33" t="str">
        <f t="shared" ref="AK62" si="822">IF(S62="","",IF(T62="","",IF(AND(T62=1,AE62&gt;1),"NG",IF(AH62="＞","OK","NG"))))</f>
        <v/>
      </c>
    </row>
    <row r="63" spans="1:37" ht="15.75" customHeight="1" x14ac:dyDescent="0.15">
      <c r="A63" s="92"/>
      <c r="B63" s="93"/>
      <c r="C63" s="59"/>
      <c r="D63" s="61"/>
      <c r="E63" s="94"/>
      <c r="F63" s="95"/>
      <c r="G63" s="95"/>
      <c r="H63" s="96"/>
      <c r="I63" s="54"/>
      <c r="J63" s="46"/>
      <c r="K63" s="97"/>
      <c r="L63" s="57"/>
      <c r="M63" s="44"/>
      <c r="N63" s="44"/>
      <c r="O63" s="42"/>
      <c r="P63" s="50"/>
      <c r="Q63" s="42"/>
      <c r="R63" s="52"/>
      <c r="S63" s="98"/>
      <c r="T63" s="99">
        <v>2</v>
      </c>
      <c r="U63" s="34" t="str">
        <f t="shared" ref="U63" si="823">IF(S62="","",IF(T62=T63,"〃",IF(T63=1,"素焼土管",IF(T63=2,"合成樹脂管",IF(T63=3,"無孔管","")))))</f>
        <v/>
      </c>
      <c r="V63" s="35"/>
      <c r="W63" s="100"/>
      <c r="X63" s="101"/>
      <c r="Y63" s="95"/>
      <c r="Z63" s="42"/>
      <c r="AA63" s="46"/>
      <c r="AB63" s="97"/>
      <c r="AC63" s="36" t="str">
        <f t="shared" ref="AC63" si="824">IF(S62="","",IF(T63=1,0.013,0.012))</f>
        <v/>
      </c>
      <c r="AD63" s="37" t="str">
        <f t="shared" ref="AD63" si="825">IF(S62="","",(1/AC63*(W63/100/2)^(8/3)*(1/AB62*100)^(1/2)*1.65696)*100)</f>
        <v/>
      </c>
      <c r="AE63" s="37" t="str">
        <f t="shared" ref="AE63" si="826">IF(S62="","",1/AC63*(W63/100/2)^(2/3)*(1/AB62)^(1/2)*0.70541)</f>
        <v/>
      </c>
      <c r="AF63" s="37" t="str">
        <f t="shared" ref="AF63" si="827">IF(S62="","",ROUNDDOWN(AD63/($U$3/8.64),3))</f>
        <v/>
      </c>
      <c r="AG63" s="38" t="str">
        <f t="shared" ref="AG63" si="828">IF(S62="","",ROUNDDOWN(AF63*10000/$AJ$3,0))</f>
        <v/>
      </c>
      <c r="AH63" s="39" t="str">
        <f t="shared" ref="AH63" si="829">IF(S62="","",IF(AG63&gt;AI62,"＞",IF(AG63=AI62,"=","＜")))</f>
        <v/>
      </c>
      <c r="AI63" s="42"/>
      <c r="AJ63" s="44"/>
      <c r="AK63" s="39" t="str">
        <f t="shared" ref="AK63" si="830">IF(S62="","",IF(AND(T63=1,AE63&gt;1),"NG",IF(AH63="＞","OK","NG")))</f>
        <v/>
      </c>
    </row>
    <row r="64" spans="1:37" ht="15.75" customHeight="1" x14ac:dyDescent="0.15">
      <c r="A64" s="80"/>
      <c r="B64" s="81"/>
      <c r="C64" s="58" t="str">
        <f t="shared" ref="C64" si="831">IF(A64="","",IF(B64=1,"素　焼土　管",IF(B64=2,"合　成樹脂管",IF(B64=3,"無孔管",""))))</f>
        <v/>
      </c>
      <c r="D64" s="60"/>
      <c r="E64" s="82"/>
      <c r="F64" s="83"/>
      <c r="G64" s="83"/>
      <c r="H64" s="84"/>
      <c r="I64" s="53" t="str">
        <f t="shared" ref="I64" si="832">IF(A64="","",F64-G64+H64)</f>
        <v/>
      </c>
      <c r="J64" s="55" t="str">
        <f t="shared" ref="J64" si="833">IF(A64="",""," 1/")</f>
        <v/>
      </c>
      <c r="K64" s="85"/>
      <c r="L64" s="56" t="str">
        <f t="shared" ref="L64" si="834">IF(A64="","",IF(B64=1,0.013,0.012))</f>
        <v/>
      </c>
      <c r="M64" s="47" t="str">
        <f t="shared" ref="M64" si="835">IF(A64="","",(1/L64*(E64/100/2)^(8/3)*(1/K64*100)^(1/2)*1.65696)*100)</f>
        <v/>
      </c>
      <c r="N64" s="47" t="str">
        <f t="shared" ref="N64" si="836">IF(A64="","",1/L64*(E64/100/2)^(2/3)*(1/K64)^(1/2)*0.70541)</f>
        <v/>
      </c>
      <c r="O64" s="48" t="str">
        <f t="shared" ref="O64" si="837">IF(A64="","",ROUNDDOWN(M64/($U$3/8.64)*10000/$AJ$3,0))</f>
        <v/>
      </c>
      <c r="P64" s="49" t="str">
        <f t="shared" ref="P64" si="838">IF(A64="","",IF(O64&gt;Q64,"＞","＜"))</f>
        <v/>
      </c>
      <c r="Q64" s="48" t="str">
        <f t="shared" ref="Q64" si="839">IF(A64="","",I64)</f>
        <v/>
      </c>
      <c r="R64" s="51" t="str">
        <f t="shared" ref="R64" si="840">IF(A64="","",IF(P64="＞","OK","NG"))</f>
        <v/>
      </c>
      <c r="S64" s="86"/>
      <c r="T64" s="87"/>
      <c r="U64" s="28" t="str">
        <f t="shared" ref="U64" si="841">IF(S64="","",IF(T64=1,"素焼土管",IF(T64=2,"合成樹脂管",IF(T64=3,"無孔管",""))))</f>
        <v/>
      </c>
      <c r="V64" s="29"/>
      <c r="W64" s="88"/>
      <c r="X64" s="89"/>
      <c r="Y64" s="90"/>
      <c r="Z64" s="41" t="str">
        <f t="shared" ref="Z64" si="842">IF(S64="","",IF(AND(T65=3,I64=""),Z62+Y64,IF(AND(Z62="",I62=""),I64+Y64,IF(AND(T65=3,I64&gt;0,Z62&gt;0),I64+Z62+Y64,IF(Z62="",I62+I64+X64+Y64,IF(I64="",Z62+X64+Y64,Z62+I64+X64+Y64))))))</f>
        <v/>
      </c>
      <c r="AA64" s="45" t="str">
        <f t="shared" ref="AA64" si="843">IF(AB64="",""," 1/")</f>
        <v/>
      </c>
      <c r="AB64" s="91"/>
      <c r="AC64" s="30" t="str">
        <f t="shared" ref="AC64" si="844">IF(S64="","",IF(T64="","",IF(T64=1,0.013,0.012)))</f>
        <v/>
      </c>
      <c r="AD64" s="31" t="str">
        <f t="shared" ref="AD64" si="845">IF(S64="","",IF(T64="","",(1/AC64*(W64/100/2)^(8/3)*(1/AB64*100)^(1/2)*1.65696)*100))</f>
        <v/>
      </c>
      <c r="AE64" s="31" t="str">
        <f t="shared" ref="AE64" si="846">IF(S64="","",IF(T64="","",1/AC64*(W64/100/2)^(2/3)*(1/AB64)^(1/2)*0.70541))</f>
        <v/>
      </c>
      <c r="AF64" s="31" t="str">
        <f t="shared" ref="AF64" si="847">IF(S64="","",IF(T64="","",ROUNDDOWN(AD64/($U$3/8.64),3)))</f>
        <v/>
      </c>
      <c r="AG64" s="32" t="str">
        <f t="shared" ref="AG64" si="848">IF(S64="","",IF(T64="","",ROUNDDOWN(AF64*10000/$AJ$3,0)))</f>
        <v/>
      </c>
      <c r="AH64" s="33" t="str">
        <f t="shared" ref="AH64" si="849">IF(S64="","",IF(T64="","",IF(AG64&gt;AI64,"＞","＜")))</f>
        <v/>
      </c>
      <c r="AI64" s="41" t="str">
        <f t="shared" ref="AI64" si="850">IF(S64="","",Z64)</f>
        <v/>
      </c>
      <c r="AJ64" s="43" t="str">
        <f t="shared" ref="AJ64" si="851">IF(S64="","",AI64*$AJ$3/10000)</f>
        <v/>
      </c>
      <c r="AK64" s="33" t="str">
        <f t="shared" ref="AK64" si="852">IF(S64="","",IF(T64="","",IF(AND(T64=1,AE64&gt;1),"NG",IF(AH64="＞","OK","NG"))))</f>
        <v/>
      </c>
    </row>
    <row r="65" spans="1:37" ht="15.75" customHeight="1" x14ac:dyDescent="0.15">
      <c r="A65" s="92"/>
      <c r="B65" s="93"/>
      <c r="C65" s="59"/>
      <c r="D65" s="61"/>
      <c r="E65" s="94"/>
      <c r="F65" s="95"/>
      <c r="G65" s="95"/>
      <c r="H65" s="96"/>
      <c r="I65" s="54"/>
      <c r="J65" s="46"/>
      <c r="K65" s="97"/>
      <c r="L65" s="57"/>
      <c r="M65" s="44"/>
      <c r="N65" s="44"/>
      <c r="O65" s="42"/>
      <c r="P65" s="50"/>
      <c r="Q65" s="42"/>
      <c r="R65" s="52"/>
      <c r="S65" s="98"/>
      <c r="T65" s="99"/>
      <c r="U65" s="34" t="str">
        <f t="shared" ref="U65" si="853">IF(S64="","",IF(T64=T65,"〃",IF(T65=1,"素焼土管",IF(T65=2,"合成樹脂管",IF(T65=3,"無孔管","")))))</f>
        <v/>
      </c>
      <c r="V65" s="35"/>
      <c r="W65" s="100"/>
      <c r="X65" s="101"/>
      <c r="Y65" s="95"/>
      <c r="Z65" s="42"/>
      <c r="AA65" s="46"/>
      <c r="AB65" s="97"/>
      <c r="AC65" s="36" t="str">
        <f t="shared" ref="AC65" si="854">IF(S64="","",IF(T65=1,0.013,0.012))</f>
        <v/>
      </c>
      <c r="AD65" s="37" t="str">
        <f t="shared" ref="AD65" si="855">IF(S64="","",(1/AC65*(W65/100/2)^(8/3)*(1/AB64*100)^(1/2)*1.65696)*100)</f>
        <v/>
      </c>
      <c r="AE65" s="37" t="str">
        <f t="shared" ref="AE65" si="856">IF(S64="","",1/AC65*(W65/100/2)^(2/3)*(1/AB64)^(1/2)*0.70541)</f>
        <v/>
      </c>
      <c r="AF65" s="37" t="str">
        <f t="shared" ref="AF65" si="857">IF(S64="","",ROUNDDOWN(AD65/($U$3/8.64),3))</f>
        <v/>
      </c>
      <c r="AG65" s="38" t="str">
        <f t="shared" ref="AG65" si="858">IF(S64="","",ROUNDDOWN(AF65*10000/$AJ$3,0))</f>
        <v/>
      </c>
      <c r="AH65" s="39" t="str">
        <f t="shared" ref="AH65" si="859">IF(S64="","",IF(AG65&gt;AI64,"＞",IF(AG65=AI64,"=","＜")))</f>
        <v/>
      </c>
      <c r="AI65" s="42"/>
      <c r="AJ65" s="44"/>
      <c r="AK65" s="39" t="str">
        <f t="shared" ref="AK65" si="860">IF(S64="","",IF(AND(T65=1,AE65&gt;1),"NG",IF(AH65="＞","OK","NG")))</f>
        <v/>
      </c>
    </row>
    <row r="66" spans="1:37" ht="15.75" customHeight="1" x14ac:dyDescent="0.15">
      <c r="A66" s="80"/>
      <c r="B66" s="81">
        <v>2</v>
      </c>
      <c r="C66" s="58" t="str">
        <f t="shared" ref="C66" si="861">IF(A66="","",IF(B66=1,"素　焼土　管",IF(B66=2,"合　成樹脂管",IF(B66=3,"無孔管",""))))</f>
        <v/>
      </c>
      <c r="D66" s="60"/>
      <c r="E66" s="82"/>
      <c r="F66" s="83"/>
      <c r="G66" s="83"/>
      <c r="H66" s="84"/>
      <c r="I66" s="53" t="str">
        <f t="shared" ref="I66" si="862">IF(A66="","",F66-G66+H66)</f>
        <v/>
      </c>
      <c r="J66" s="55" t="str">
        <f t="shared" ref="J66" si="863">IF(A66="",""," 1/")</f>
        <v/>
      </c>
      <c r="K66" s="85"/>
      <c r="L66" s="56" t="str">
        <f t="shared" ref="L66" si="864">IF(A66="","",IF(B66=1,0.013,0.012))</f>
        <v/>
      </c>
      <c r="M66" s="47" t="str">
        <f t="shared" ref="M66" si="865">IF(A66="","",(1/L66*(E66/100/2)^(8/3)*(1/K66*100)^(1/2)*1.65696)*100)</f>
        <v/>
      </c>
      <c r="N66" s="47" t="str">
        <f t="shared" ref="N66" si="866">IF(A66="","",1/L66*(E66/100/2)^(2/3)*(1/K66)^(1/2)*0.70541)</f>
        <v/>
      </c>
      <c r="O66" s="48" t="str">
        <f t="shared" ref="O66" si="867">IF(A66="","",ROUNDDOWN(M66/($U$3/8.64)*10000/$AJ$3,0))</f>
        <v/>
      </c>
      <c r="P66" s="49" t="str">
        <f t="shared" ref="P66" si="868">IF(A66="","",IF(O66&gt;Q66,"＞","＜"))</f>
        <v/>
      </c>
      <c r="Q66" s="48" t="str">
        <f t="shared" ref="Q66" si="869">IF(A66="","",I66)</f>
        <v/>
      </c>
      <c r="R66" s="51" t="str">
        <f t="shared" ref="R66" si="870">IF(A66="","",IF(P66="＞","OK","NG"))</f>
        <v/>
      </c>
      <c r="S66" s="86"/>
      <c r="T66" s="87"/>
      <c r="U66" s="28" t="str">
        <f t="shared" ref="U66" si="871">IF(S66="","",IF(T66=1,"素焼土管",IF(T66=2,"合成樹脂管",IF(T66=3,"無孔管",""))))</f>
        <v/>
      </c>
      <c r="V66" s="29"/>
      <c r="W66" s="88"/>
      <c r="X66" s="89"/>
      <c r="Y66" s="90"/>
      <c r="Z66" s="41" t="str">
        <f t="shared" ref="Z66" si="872">IF(S66="","",IF(AND(T67=3,I66=""),Z64+Y66,IF(AND(Z64="",I64=""),I66+Y66,IF(AND(T67=3,I66&gt;0,Z64&gt;0),I66+Z64+Y66,IF(Z64="",I64+I66+X66+Y66,IF(I66="",Z64+X66+Y66,Z64+I66+X66+Y66))))))</f>
        <v/>
      </c>
      <c r="AA66" s="45" t="str">
        <f t="shared" ref="AA66" si="873">IF(AB66="",""," 1/")</f>
        <v/>
      </c>
      <c r="AB66" s="91"/>
      <c r="AC66" s="30" t="str">
        <f t="shared" ref="AC66" si="874">IF(S66="","",IF(T66="","",IF(T66=1,0.013,0.012)))</f>
        <v/>
      </c>
      <c r="AD66" s="31" t="str">
        <f t="shared" ref="AD66" si="875">IF(S66="","",IF(T66="","",(1/AC66*(W66/100/2)^(8/3)*(1/AB66*100)^(1/2)*1.65696)*100))</f>
        <v/>
      </c>
      <c r="AE66" s="31" t="str">
        <f t="shared" ref="AE66" si="876">IF(S66="","",IF(T66="","",1/AC66*(W66/100/2)^(2/3)*(1/AB66)^(1/2)*0.70541))</f>
        <v/>
      </c>
      <c r="AF66" s="31" t="str">
        <f t="shared" ref="AF66" si="877">IF(S66="","",IF(T66="","",ROUNDDOWN(AD66/($U$3/8.64),3)))</f>
        <v/>
      </c>
      <c r="AG66" s="32" t="str">
        <f t="shared" ref="AG66" si="878">IF(S66="","",IF(T66="","",ROUNDDOWN(AF66*10000/$AJ$3,0)))</f>
        <v/>
      </c>
      <c r="AH66" s="33" t="str">
        <f t="shared" ref="AH66" si="879">IF(S66="","",IF(T66="","",IF(AG66&gt;AI66,"＞","＜")))</f>
        <v/>
      </c>
      <c r="AI66" s="41" t="str">
        <f t="shared" ref="AI66" si="880">IF(S66="","",Z66)</f>
        <v/>
      </c>
      <c r="AJ66" s="43" t="str">
        <f t="shared" ref="AJ66" si="881">IF(S66="","",AI66*$AJ$3/10000)</f>
        <v/>
      </c>
      <c r="AK66" s="33" t="str">
        <f t="shared" ref="AK66" si="882">IF(S66="","",IF(T66="","",IF(AND(T66=1,AE66&gt;1),"NG",IF(AH66="＞","OK","NG"))))</f>
        <v/>
      </c>
    </row>
    <row r="67" spans="1:37" ht="15.75" customHeight="1" x14ac:dyDescent="0.15">
      <c r="A67" s="92"/>
      <c r="B67" s="93"/>
      <c r="C67" s="59"/>
      <c r="D67" s="61"/>
      <c r="E67" s="94"/>
      <c r="F67" s="95"/>
      <c r="G67" s="95"/>
      <c r="H67" s="96"/>
      <c r="I67" s="54"/>
      <c r="J67" s="46"/>
      <c r="K67" s="97"/>
      <c r="L67" s="57"/>
      <c r="M67" s="44"/>
      <c r="N67" s="44"/>
      <c r="O67" s="42"/>
      <c r="P67" s="50"/>
      <c r="Q67" s="42"/>
      <c r="R67" s="52"/>
      <c r="S67" s="98"/>
      <c r="T67" s="99">
        <v>2</v>
      </c>
      <c r="U67" s="34" t="str">
        <f t="shared" ref="U67" si="883">IF(S66="","",IF(T66=T67,"〃",IF(T67=1,"素焼土管",IF(T67=2,"合成樹脂管",IF(T67=3,"無孔管","")))))</f>
        <v/>
      </c>
      <c r="V67" s="35"/>
      <c r="W67" s="100"/>
      <c r="X67" s="101"/>
      <c r="Y67" s="95"/>
      <c r="Z67" s="42"/>
      <c r="AA67" s="46"/>
      <c r="AB67" s="97"/>
      <c r="AC67" s="36" t="str">
        <f t="shared" ref="AC67" si="884">IF(S66="","",IF(T67=1,0.013,0.012))</f>
        <v/>
      </c>
      <c r="AD67" s="37" t="str">
        <f t="shared" ref="AD67" si="885">IF(S66="","",(1/AC67*(W67/100/2)^(8/3)*(1/AB66*100)^(1/2)*1.65696)*100)</f>
        <v/>
      </c>
      <c r="AE67" s="37" t="str">
        <f t="shared" ref="AE67" si="886">IF(S66="","",1/AC67*(W67/100/2)^(2/3)*(1/AB66)^(1/2)*0.70541)</f>
        <v/>
      </c>
      <c r="AF67" s="37" t="str">
        <f t="shared" ref="AF67" si="887">IF(S66="","",ROUNDDOWN(AD67/($U$3/8.64),3))</f>
        <v/>
      </c>
      <c r="AG67" s="38" t="str">
        <f t="shared" ref="AG67" si="888">IF(S66="","",ROUNDDOWN(AF67*10000/$AJ$3,0))</f>
        <v/>
      </c>
      <c r="AH67" s="39" t="str">
        <f t="shared" ref="AH67" si="889">IF(S66="","",IF(AG67&gt;AI66,"＞",IF(AG67=AI66,"=","＜")))</f>
        <v/>
      </c>
      <c r="AI67" s="42"/>
      <c r="AJ67" s="44"/>
      <c r="AK67" s="39" t="str">
        <f t="shared" ref="AK67" si="890">IF(S66="","",IF(AND(T67=1,AE67&gt;1),"NG",IF(AH67="＞","OK","NG")))</f>
        <v/>
      </c>
    </row>
    <row r="68" spans="1:37" ht="15.75" customHeight="1" x14ac:dyDescent="0.15">
      <c r="A68" s="80"/>
      <c r="B68" s="81">
        <v>2</v>
      </c>
      <c r="C68" s="58" t="str">
        <f t="shared" ref="C68" si="891">IF(A68="","",IF(B68=1,"素　焼土　管",IF(B68=2,"合　成樹脂管",IF(B68=3,"無孔管",""))))</f>
        <v/>
      </c>
      <c r="D68" s="60"/>
      <c r="E68" s="82"/>
      <c r="F68" s="83"/>
      <c r="G68" s="83"/>
      <c r="H68" s="84"/>
      <c r="I68" s="53" t="str">
        <f t="shared" ref="I68" si="892">IF(A68="","",F68-G68+H68)</f>
        <v/>
      </c>
      <c r="J68" s="55" t="str">
        <f t="shared" ref="J68" si="893">IF(A68="",""," 1/")</f>
        <v/>
      </c>
      <c r="K68" s="85"/>
      <c r="L68" s="56" t="str">
        <f t="shared" ref="L68" si="894">IF(A68="","",IF(B68=1,0.013,0.012))</f>
        <v/>
      </c>
      <c r="M68" s="47" t="str">
        <f t="shared" ref="M68" si="895">IF(A68="","",(1/L68*(E68/100/2)^(8/3)*(1/K68*100)^(1/2)*1.65696)*100)</f>
        <v/>
      </c>
      <c r="N68" s="47" t="str">
        <f t="shared" ref="N68" si="896">IF(A68="","",1/L68*(E68/100/2)^(2/3)*(1/K68)^(1/2)*0.70541)</f>
        <v/>
      </c>
      <c r="O68" s="48" t="str">
        <f t="shared" ref="O68" si="897">IF(A68="","",ROUNDDOWN(M68/($U$3/8.64)*10000/$AJ$3,0))</f>
        <v/>
      </c>
      <c r="P68" s="49" t="str">
        <f t="shared" ref="P68" si="898">IF(A68="","",IF(O68&gt;Q68,"＞","＜"))</f>
        <v/>
      </c>
      <c r="Q68" s="48" t="str">
        <f t="shared" ref="Q68" si="899">IF(A68="","",I68)</f>
        <v/>
      </c>
      <c r="R68" s="51" t="str">
        <f t="shared" ref="R68" si="900">IF(A68="","",IF(P68="＞","OK","NG"))</f>
        <v/>
      </c>
      <c r="S68" s="86"/>
      <c r="T68" s="87"/>
      <c r="U68" s="28" t="str">
        <f t="shared" ref="U68" si="901">IF(S68="","",IF(T68=1,"素焼土管",IF(T68=2,"合成樹脂管",IF(T68=3,"無孔管",""))))</f>
        <v/>
      </c>
      <c r="V68" s="29"/>
      <c r="W68" s="88"/>
      <c r="X68" s="89"/>
      <c r="Y68" s="90"/>
      <c r="Z68" s="41" t="str">
        <f t="shared" ref="Z68" si="902">IF(S68="","",IF(AND(T69=3,I68=""),Z66+Y68,IF(AND(Z66="",I66=""),I68+Y68,IF(AND(T69=3,I68&gt;0,Z66&gt;0),I68+Z66+Y68,IF(Z66="",I66+I68+X68+Y68,IF(I68="",Z66+X68+Y68,Z66+I68+X68+Y68))))))</f>
        <v/>
      </c>
      <c r="AA68" s="45" t="str">
        <f t="shared" ref="AA68" si="903">IF(AB68="",""," 1/")</f>
        <v/>
      </c>
      <c r="AB68" s="91"/>
      <c r="AC68" s="30" t="str">
        <f t="shared" ref="AC68" si="904">IF(S68="","",IF(T68="","",IF(T68=1,0.013,0.012)))</f>
        <v/>
      </c>
      <c r="AD68" s="31" t="str">
        <f t="shared" ref="AD68" si="905">IF(S68="","",IF(T68="","",(1/AC68*(W68/100/2)^(8/3)*(1/AB68*100)^(1/2)*1.65696)*100))</f>
        <v/>
      </c>
      <c r="AE68" s="31" t="str">
        <f t="shared" ref="AE68" si="906">IF(S68="","",IF(T68="","",1/AC68*(W68/100/2)^(2/3)*(1/AB68)^(1/2)*0.70541))</f>
        <v/>
      </c>
      <c r="AF68" s="31" t="str">
        <f t="shared" ref="AF68" si="907">IF(S68="","",IF(T68="","",ROUNDDOWN(AD68/($U$3/8.64),3)))</f>
        <v/>
      </c>
      <c r="AG68" s="32" t="str">
        <f t="shared" ref="AG68" si="908">IF(S68="","",IF(T68="","",ROUNDDOWN(AF68*10000/$AJ$3,0)))</f>
        <v/>
      </c>
      <c r="AH68" s="33" t="str">
        <f t="shared" ref="AH68" si="909">IF(S68="","",IF(T68="","",IF(AG68&gt;AI68,"＞","＜")))</f>
        <v/>
      </c>
      <c r="AI68" s="41" t="str">
        <f t="shared" ref="AI68" si="910">IF(S68="","",Z68)</f>
        <v/>
      </c>
      <c r="AJ68" s="43" t="str">
        <f t="shared" ref="AJ68" si="911">IF(S68="","",AI68*$AJ$3/10000)</f>
        <v/>
      </c>
      <c r="AK68" s="33" t="str">
        <f t="shared" ref="AK68" si="912">IF(S68="","",IF(T68="","",IF(AND(T68=1,AE68&gt;1),"NG",IF(AH68="＞","OK","NG"))))</f>
        <v/>
      </c>
    </row>
    <row r="69" spans="1:37" ht="15.75" customHeight="1" x14ac:dyDescent="0.15">
      <c r="A69" s="92"/>
      <c r="B69" s="93"/>
      <c r="C69" s="59"/>
      <c r="D69" s="61"/>
      <c r="E69" s="94"/>
      <c r="F69" s="95"/>
      <c r="G69" s="95"/>
      <c r="H69" s="96"/>
      <c r="I69" s="54"/>
      <c r="J69" s="46"/>
      <c r="K69" s="97"/>
      <c r="L69" s="57"/>
      <c r="M69" s="44"/>
      <c r="N69" s="44"/>
      <c r="O69" s="42"/>
      <c r="P69" s="50"/>
      <c r="Q69" s="42"/>
      <c r="R69" s="52"/>
      <c r="S69" s="98"/>
      <c r="T69" s="99">
        <v>2</v>
      </c>
      <c r="U69" s="34" t="str">
        <f t="shared" ref="U69" si="913">IF(S68="","",IF(T68=T69,"〃",IF(T69=1,"素焼土管",IF(T69=2,"合成樹脂管",IF(T69=3,"無孔管","")))))</f>
        <v/>
      </c>
      <c r="V69" s="35"/>
      <c r="W69" s="100"/>
      <c r="X69" s="101"/>
      <c r="Y69" s="95"/>
      <c r="Z69" s="42"/>
      <c r="AA69" s="46"/>
      <c r="AB69" s="97"/>
      <c r="AC69" s="36" t="str">
        <f t="shared" ref="AC69" si="914">IF(S68="","",IF(T69=1,0.013,0.012))</f>
        <v/>
      </c>
      <c r="AD69" s="37" t="str">
        <f t="shared" ref="AD69" si="915">IF(S68="","",(1/AC69*(W69/100/2)^(8/3)*(1/AB68*100)^(1/2)*1.65696)*100)</f>
        <v/>
      </c>
      <c r="AE69" s="37" t="str">
        <f t="shared" ref="AE69" si="916">IF(S68="","",1/AC69*(W69/100/2)^(2/3)*(1/AB68)^(1/2)*0.70541)</f>
        <v/>
      </c>
      <c r="AF69" s="37" t="str">
        <f t="shared" ref="AF69" si="917">IF(S68="","",ROUNDDOWN(AD69/($U$3/8.64),3))</f>
        <v/>
      </c>
      <c r="AG69" s="38" t="str">
        <f t="shared" ref="AG69" si="918">IF(S68="","",ROUNDDOWN(AF69*10000/$AJ$3,0))</f>
        <v/>
      </c>
      <c r="AH69" s="39" t="str">
        <f t="shared" ref="AH69" si="919">IF(S68="","",IF(AG69&gt;AI68,"＞",IF(AG69=AI68,"=","＜")))</f>
        <v/>
      </c>
      <c r="AI69" s="42"/>
      <c r="AJ69" s="44"/>
      <c r="AK69" s="39" t="str">
        <f t="shared" ref="AK69" si="920">IF(S68="","",IF(AND(T69=1,AE69&gt;1),"NG",IF(AH69="＞","OK","NG")))</f>
        <v/>
      </c>
    </row>
    <row r="70" spans="1:37" ht="15.75" customHeight="1" x14ac:dyDescent="0.15">
      <c r="A70" s="80"/>
      <c r="B70" s="81">
        <v>2</v>
      </c>
      <c r="C70" s="58" t="str">
        <f t="shared" ref="C70" si="921">IF(A70="","",IF(B70=1,"素　焼土　管",IF(B70=2,"合　成樹脂管",IF(B70=3,"無孔管",""))))</f>
        <v/>
      </c>
      <c r="D70" s="60"/>
      <c r="E70" s="82"/>
      <c r="F70" s="83"/>
      <c r="G70" s="83"/>
      <c r="H70" s="84"/>
      <c r="I70" s="53" t="str">
        <f t="shared" ref="I70" si="922">IF(A70="","",F70-G70+H70)</f>
        <v/>
      </c>
      <c r="J70" s="55" t="str">
        <f t="shared" ref="J70" si="923">IF(A70="",""," 1/")</f>
        <v/>
      </c>
      <c r="K70" s="85"/>
      <c r="L70" s="56" t="str">
        <f t="shared" ref="L70" si="924">IF(A70="","",IF(B70=1,0.013,0.012))</f>
        <v/>
      </c>
      <c r="M70" s="47" t="str">
        <f t="shared" ref="M70" si="925">IF(A70="","",(1/L70*(E70/100/2)^(8/3)*(1/K70*100)^(1/2)*1.65696)*100)</f>
        <v/>
      </c>
      <c r="N70" s="47" t="str">
        <f t="shared" ref="N70" si="926">IF(A70="","",1/L70*(E70/100/2)^(2/3)*(1/K70)^(1/2)*0.70541)</f>
        <v/>
      </c>
      <c r="O70" s="48" t="str">
        <f t="shared" ref="O70" si="927">IF(A70="","",ROUNDDOWN(M70/($U$3/8.64)*10000/$AJ$3,0))</f>
        <v/>
      </c>
      <c r="P70" s="49" t="str">
        <f t="shared" ref="P70" si="928">IF(A70="","",IF(O70&gt;Q70,"＞","＜"))</f>
        <v/>
      </c>
      <c r="Q70" s="48" t="str">
        <f t="shared" ref="Q70" si="929">IF(A70="","",I70)</f>
        <v/>
      </c>
      <c r="R70" s="51" t="str">
        <f t="shared" ref="R70" si="930">IF(A70="","",IF(P70="＞","OK","NG"))</f>
        <v/>
      </c>
      <c r="S70" s="86"/>
      <c r="T70" s="87"/>
      <c r="U70" s="28" t="str">
        <f t="shared" ref="U70" si="931">IF(S70="","",IF(T70=1,"素焼土管",IF(T70=2,"合成樹脂管",IF(T70=3,"無孔管",""))))</f>
        <v/>
      </c>
      <c r="V70" s="29"/>
      <c r="W70" s="88"/>
      <c r="X70" s="89"/>
      <c r="Y70" s="90"/>
      <c r="Z70" s="41" t="str">
        <f t="shared" ref="Z70" si="932">IF(S70="","",IF(AND(T71=3,I70=""),Z68+Y70,IF(AND(Z68="",I68=""),I70+Y70,IF(AND(T71=3,I70&gt;0,Z68&gt;0),I70+Z68+Y70,IF(Z68="",I68+I70+X70+Y70,IF(I70="",Z68+X70+Y70,Z68+I70+X70+Y70))))))</f>
        <v/>
      </c>
      <c r="AA70" s="45" t="str">
        <f t="shared" ref="AA70" si="933">IF(AB70="",""," 1/")</f>
        <v/>
      </c>
      <c r="AB70" s="91"/>
      <c r="AC70" s="30" t="str">
        <f t="shared" ref="AC70" si="934">IF(S70="","",IF(T70="","",IF(T70=1,0.013,0.012)))</f>
        <v/>
      </c>
      <c r="AD70" s="31" t="str">
        <f t="shared" ref="AD70" si="935">IF(S70="","",IF(T70="","",(1/AC70*(W70/100/2)^(8/3)*(1/AB70*100)^(1/2)*1.65696)*100))</f>
        <v/>
      </c>
      <c r="AE70" s="31" t="str">
        <f t="shared" ref="AE70" si="936">IF(S70="","",IF(T70="","",1/AC70*(W70/100/2)^(2/3)*(1/AB70)^(1/2)*0.70541))</f>
        <v/>
      </c>
      <c r="AF70" s="31" t="str">
        <f t="shared" ref="AF70" si="937">IF(S70="","",IF(T70="","",ROUNDDOWN(AD70/($U$3/8.64),3)))</f>
        <v/>
      </c>
      <c r="AG70" s="32" t="str">
        <f t="shared" ref="AG70" si="938">IF(S70="","",IF(T70="","",ROUNDDOWN(AF70*10000/$AJ$3,0)))</f>
        <v/>
      </c>
      <c r="AH70" s="33" t="str">
        <f t="shared" ref="AH70" si="939">IF(S70="","",IF(T70="","",IF(AG70&gt;AI70,"＞","＜")))</f>
        <v/>
      </c>
      <c r="AI70" s="41" t="str">
        <f t="shared" ref="AI70" si="940">IF(S70="","",Z70)</f>
        <v/>
      </c>
      <c r="AJ70" s="43" t="str">
        <f t="shared" ref="AJ70" si="941">IF(S70="","",AI70*$AJ$3/10000)</f>
        <v/>
      </c>
      <c r="AK70" s="33" t="str">
        <f t="shared" ref="AK70" si="942">IF(S70="","",IF(T70="","",IF(AND(T70=1,AE70&gt;1),"NG",IF(AH70="＞","OK","NG"))))</f>
        <v/>
      </c>
    </row>
    <row r="71" spans="1:37" ht="15.75" customHeight="1" x14ac:dyDescent="0.15">
      <c r="A71" s="92"/>
      <c r="B71" s="93"/>
      <c r="C71" s="59"/>
      <c r="D71" s="61"/>
      <c r="E71" s="94"/>
      <c r="F71" s="95"/>
      <c r="G71" s="95"/>
      <c r="H71" s="96"/>
      <c r="I71" s="54"/>
      <c r="J71" s="46"/>
      <c r="K71" s="97"/>
      <c r="L71" s="57"/>
      <c r="M71" s="44"/>
      <c r="N71" s="44"/>
      <c r="O71" s="42"/>
      <c r="P71" s="50"/>
      <c r="Q71" s="42"/>
      <c r="R71" s="52"/>
      <c r="S71" s="98"/>
      <c r="T71" s="99">
        <v>2</v>
      </c>
      <c r="U71" s="34" t="str">
        <f t="shared" ref="U71" si="943">IF(S70="","",IF(T70=T71,"〃",IF(T71=1,"素焼土管",IF(T71=2,"合成樹脂管",IF(T71=3,"無孔管","")))))</f>
        <v/>
      </c>
      <c r="V71" s="35"/>
      <c r="W71" s="100"/>
      <c r="X71" s="101"/>
      <c r="Y71" s="95"/>
      <c r="Z71" s="42"/>
      <c r="AA71" s="46"/>
      <c r="AB71" s="97"/>
      <c r="AC71" s="36" t="str">
        <f t="shared" ref="AC71" si="944">IF(S70="","",IF(T71=1,0.013,0.012))</f>
        <v/>
      </c>
      <c r="AD71" s="37" t="str">
        <f t="shared" ref="AD71" si="945">IF(S70="","",(1/AC71*(W71/100/2)^(8/3)*(1/AB70*100)^(1/2)*1.65696)*100)</f>
        <v/>
      </c>
      <c r="AE71" s="37" t="str">
        <f t="shared" ref="AE71" si="946">IF(S70="","",1/AC71*(W71/100/2)^(2/3)*(1/AB70)^(1/2)*0.70541)</f>
        <v/>
      </c>
      <c r="AF71" s="37" t="str">
        <f t="shared" ref="AF71" si="947">IF(S70="","",ROUNDDOWN(AD71/($U$3/8.64),3))</f>
        <v/>
      </c>
      <c r="AG71" s="38" t="str">
        <f t="shared" ref="AG71" si="948">IF(S70="","",ROUNDDOWN(AF71*10000/$AJ$3,0))</f>
        <v/>
      </c>
      <c r="AH71" s="39" t="str">
        <f t="shared" ref="AH71" si="949">IF(S70="","",IF(AG71&gt;AI70,"＞",IF(AG71=AI70,"=","＜")))</f>
        <v/>
      </c>
      <c r="AI71" s="42"/>
      <c r="AJ71" s="44"/>
      <c r="AK71" s="39" t="str">
        <f t="shared" ref="AK71" si="950">IF(S70="","",IF(AND(T71=1,AE71&gt;1),"NG",IF(AH71="＞","OK","NG")))</f>
        <v/>
      </c>
    </row>
    <row r="72" spans="1:37" ht="15.75" customHeight="1" x14ac:dyDescent="0.15">
      <c r="A72" s="80"/>
      <c r="B72" s="81"/>
      <c r="C72" s="58" t="str">
        <f t="shared" ref="C72" si="951">IF(A72="","",IF(B72=1,"素　焼土　管",IF(B72=2,"合　成樹脂管",IF(B72=3,"無孔管",""))))</f>
        <v/>
      </c>
      <c r="D72" s="60"/>
      <c r="E72" s="82"/>
      <c r="F72" s="83"/>
      <c r="G72" s="83"/>
      <c r="H72" s="84"/>
      <c r="I72" s="53" t="str">
        <f t="shared" ref="I72" si="952">IF(A72="","",F72-G72+H72)</f>
        <v/>
      </c>
      <c r="J72" s="55" t="str">
        <f t="shared" ref="J72" si="953">IF(A72="",""," 1/")</f>
        <v/>
      </c>
      <c r="K72" s="85"/>
      <c r="L72" s="56" t="str">
        <f t="shared" ref="L72" si="954">IF(A72="","",IF(B72=1,0.013,0.012))</f>
        <v/>
      </c>
      <c r="M72" s="47" t="str">
        <f t="shared" ref="M72" si="955">IF(A72="","",(1/L72*(E72/100/2)^(8/3)*(1/K72*100)^(1/2)*1.65696)*100)</f>
        <v/>
      </c>
      <c r="N72" s="47" t="str">
        <f t="shared" ref="N72" si="956">IF(A72="","",1/L72*(E72/100/2)^(2/3)*(1/K72)^(1/2)*0.70541)</f>
        <v/>
      </c>
      <c r="O72" s="48" t="str">
        <f t="shared" ref="O72" si="957">IF(A72="","",ROUNDDOWN(M72/($U$3/8.64)*10000/$AJ$3,0))</f>
        <v/>
      </c>
      <c r="P72" s="49" t="str">
        <f t="shared" ref="P72" si="958">IF(A72="","",IF(O72&gt;Q72,"＞","＜"))</f>
        <v/>
      </c>
      <c r="Q72" s="48" t="str">
        <f t="shared" ref="Q72" si="959">IF(A72="","",I72)</f>
        <v/>
      </c>
      <c r="R72" s="51" t="str">
        <f t="shared" ref="R72" si="960">IF(A72="","",IF(P72="＞","OK","NG"))</f>
        <v/>
      </c>
      <c r="S72" s="86"/>
      <c r="T72" s="87"/>
      <c r="U72" s="28" t="str">
        <f t="shared" ref="U72" si="961">IF(S72="","",IF(T72=1,"素焼土管",IF(T72=2,"合成樹脂管",IF(T72=3,"無孔管",""))))</f>
        <v/>
      </c>
      <c r="V72" s="29"/>
      <c r="W72" s="88"/>
      <c r="X72" s="89"/>
      <c r="Y72" s="90"/>
      <c r="Z72" s="41" t="str">
        <f t="shared" ref="Z72" si="962">IF(S72="","",IF(AND(T73=3,I72=""),Z70+Y72,IF(AND(Z70="",I70=""),I72+Y72,IF(AND(T73=3,I72&gt;0,Z70&gt;0),I72+Z70+Y72,IF(Z70="",I70+I72+X72+Y72,IF(I72="",Z70+X72+Y72,Z70+I72+X72+Y72))))))</f>
        <v/>
      </c>
      <c r="AA72" s="45" t="str">
        <f t="shared" ref="AA72" si="963">IF(AB72="",""," 1/")</f>
        <v/>
      </c>
      <c r="AB72" s="91"/>
      <c r="AC72" s="30" t="str">
        <f t="shared" ref="AC72" si="964">IF(S72="","",IF(T72="","",IF(T72=1,0.013,0.012)))</f>
        <v/>
      </c>
      <c r="AD72" s="31" t="str">
        <f t="shared" ref="AD72" si="965">IF(S72="","",IF(T72="","",(1/AC72*(W72/100/2)^(8/3)*(1/AB72*100)^(1/2)*1.65696)*100))</f>
        <v/>
      </c>
      <c r="AE72" s="31" t="str">
        <f t="shared" ref="AE72" si="966">IF(S72="","",IF(T72="","",1/AC72*(W72/100/2)^(2/3)*(1/AB72)^(1/2)*0.70541))</f>
        <v/>
      </c>
      <c r="AF72" s="31" t="str">
        <f t="shared" ref="AF72" si="967">IF(S72="","",IF(T72="","",ROUNDDOWN(AD72/($U$3/8.64),3)))</f>
        <v/>
      </c>
      <c r="AG72" s="32" t="str">
        <f t="shared" ref="AG72" si="968">IF(S72="","",IF(T72="","",ROUNDDOWN(AF72*10000/$AJ$3,0)))</f>
        <v/>
      </c>
      <c r="AH72" s="33" t="str">
        <f t="shared" ref="AH72" si="969">IF(S72="","",IF(T72="","",IF(AG72&gt;AI72,"＞","＜")))</f>
        <v/>
      </c>
      <c r="AI72" s="41" t="str">
        <f t="shared" ref="AI72" si="970">IF(S72="","",Z72)</f>
        <v/>
      </c>
      <c r="AJ72" s="43" t="str">
        <f t="shared" ref="AJ72" si="971">IF(S72="","",AI72*$AJ$3/10000)</f>
        <v/>
      </c>
      <c r="AK72" s="33" t="str">
        <f t="shared" ref="AK72" si="972">IF(S72="","",IF(T72="","",IF(AND(T72=1,AE72&gt;1),"NG",IF(AH72="＞","OK","NG"))))</f>
        <v/>
      </c>
    </row>
    <row r="73" spans="1:37" ht="15.75" customHeight="1" x14ac:dyDescent="0.15">
      <c r="A73" s="92"/>
      <c r="B73" s="93"/>
      <c r="C73" s="59"/>
      <c r="D73" s="61"/>
      <c r="E73" s="94"/>
      <c r="F73" s="95"/>
      <c r="G73" s="95"/>
      <c r="H73" s="96"/>
      <c r="I73" s="54"/>
      <c r="J73" s="46"/>
      <c r="K73" s="97"/>
      <c r="L73" s="57"/>
      <c r="M73" s="44"/>
      <c r="N73" s="44"/>
      <c r="O73" s="42"/>
      <c r="P73" s="50"/>
      <c r="Q73" s="42"/>
      <c r="R73" s="52"/>
      <c r="S73" s="98"/>
      <c r="T73" s="99"/>
      <c r="U73" s="34" t="str">
        <f t="shared" ref="U73" si="973">IF(S72="","",IF(T72=T73,"〃",IF(T73=1,"素焼土管",IF(T73=2,"合成樹脂管",IF(T73=3,"無孔管","")))))</f>
        <v/>
      </c>
      <c r="V73" s="35"/>
      <c r="W73" s="100"/>
      <c r="X73" s="101"/>
      <c r="Y73" s="95"/>
      <c r="Z73" s="42"/>
      <c r="AA73" s="46"/>
      <c r="AB73" s="97"/>
      <c r="AC73" s="36" t="str">
        <f t="shared" ref="AC73" si="974">IF(S72="","",IF(T73=1,0.013,0.012))</f>
        <v/>
      </c>
      <c r="AD73" s="37" t="str">
        <f t="shared" ref="AD73" si="975">IF(S72="","",(1/AC73*(W73/100/2)^(8/3)*(1/AB72*100)^(1/2)*1.65696)*100)</f>
        <v/>
      </c>
      <c r="AE73" s="37" t="str">
        <f t="shared" ref="AE73" si="976">IF(S72="","",1/AC73*(W73/100/2)^(2/3)*(1/AB72)^(1/2)*0.70541)</f>
        <v/>
      </c>
      <c r="AF73" s="37" t="str">
        <f t="shared" ref="AF73" si="977">IF(S72="","",ROUNDDOWN(AD73/($U$3/8.64),3))</f>
        <v/>
      </c>
      <c r="AG73" s="38" t="str">
        <f t="shared" ref="AG73" si="978">IF(S72="","",ROUNDDOWN(AF73*10000/$AJ$3,0))</f>
        <v/>
      </c>
      <c r="AH73" s="39" t="str">
        <f t="shared" ref="AH73" si="979">IF(S72="","",IF(AG73&gt;AI72,"＞",IF(AG73=AI72,"=","＜")))</f>
        <v/>
      </c>
      <c r="AI73" s="42"/>
      <c r="AJ73" s="44"/>
      <c r="AK73" s="39" t="str">
        <f t="shared" ref="AK73" si="980">IF(S72="","",IF(AND(T73=1,AE73&gt;1),"NG",IF(AH73="＞","OK","NG")))</f>
        <v/>
      </c>
    </row>
    <row r="74" spans="1:37" ht="15.75" customHeight="1" x14ac:dyDescent="0.15">
      <c r="A74" s="80"/>
      <c r="B74" s="81"/>
      <c r="C74" s="58" t="str">
        <f t="shared" ref="C74" si="981">IF(A74="","",IF(B74=1,"素　焼土　管",IF(B74=2,"合　成樹脂管",IF(B74=3,"無孔管",""))))</f>
        <v/>
      </c>
      <c r="D74" s="60"/>
      <c r="E74" s="82"/>
      <c r="F74" s="83"/>
      <c r="G74" s="83"/>
      <c r="H74" s="84"/>
      <c r="I74" s="53" t="str">
        <f t="shared" ref="I74" si="982">IF(A74="","",F74-G74+H74)</f>
        <v/>
      </c>
      <c r="J74" s="55" t="str">
        <f t="shared" ref="J74" si="983">IF(A74="",""," 1/")</f>
        <v/>
      </c>
      <c r="K74" s="85"/>
      <c r="L74" s="56" t="str">
        <f t="shared" ref="L74" si="984">IF(A74="","",IF(B74=1,0.013,0.012))</f>
        <v/>
      </c>
      <c r="M74" s="47" t="str">
        <f t="shared" ref="M74" si="985">IF(A74="","",(1/L74*(E74/100/2)^(8/3)*(1/K74*100)^(1/2)*1.65696)*100)</f>
        <v/>
      </c>
      <c r="N74" s="47" t="str">
        <f t="shared" ref="N74" si="986">IF(A74="","",1/L74*(E74/100/2)^(2/3)*(1/K74)^(1/2)*0.70541)</f>
        <v/>
      </c>
      <c r="O74" s="48" t="str">
        <f t="shared" ref="O74" si="987">IF(A74="","",ROUNDDOWN(M74/($U$3/8.64)*10000/$AJ$3,0))</f>
        <v/>
      </c>
      <c r="P74" s="49" t="str">
        <f t="shared" ref="P74" si="988">IF(A74="","",IF(O74&gt;Q74,"＞","＜"))</f>
        <v/>
      </c>
      <c r="Q74" s="48" t="str">
        <f t="shared" ref="Q74" si="989">IF(A74="","",I74)</f>
        <v/>
      </c>
      <c r="R74" s="51" t="str">
        <f t="shared" ref="R74" si="990">IF(A74="","",IF(P74="＞","OK","NG"))</f>
        <v/>
      </c>
      <c r="S74" s="86"/>
      <c r="T74" s="87"/>
      <c r="U74" s="28" t="str">
        <f t="shared" ref="U74" si="991">IF(S74="","",IF(T74=1,"素焼土管",IF(T74=2,"合成樹脂管",IF(T74=3,"無孔管",""))))</f>
        <v/>
      </c>
      <c r="V74" s="29"/>
      <c r="W74" s="88"/>
      <c r="X74" s="89"/>
      <c r="Y74" s="90"/>
      <c r="Z74" s="41" t="str">
        <f t="shared" ref="Z74" si="992">IF(S74="","",IF(AND(T75=3,I74=""),Z72+Y74,IF(AND(Z72="",I72=""),I74+Y74,IF(AND(T75=3,I74&gt;0,Z72&gt;0),I74+Z72+Y74,IF(Z72="",I72+I74+X74+Y74,IF(I74="",Z72+X74+Y74,Z72+I74+X74+Y74))))))</f>
        <v/>
      </c>
      <c r="AA74" s="45" t="str">
        <f t="shared" ref="AA74" si="993">IF(AB74="",""," 1/")</f>
        <v/>
      </c>
      <c r="AB74" s="91"/>
      <c r="AC74" s="30" t="str">
        <f t="shared" ref="AC74" si="994">IF(S74="","",IF(T74="","",IF(T74=1,0.013,0.012)))</f>
        <v/>
      </c>
      <c r="AD74" s="31" t="str">
        <f t="shared" ref="AD74" si="995">IF(S74="","",IF(T74="","",(1/AC74*(W74/100/2)^(8/3)*(1/AB74*100)^(1/2)*1.65696)*100))</f>
        <v/>
      </c>
      <c r="AE74" s="31" t="str">
        <f t="shared" ref="AE74" si="996">IF(S74="","",IF(T74="","",1/AC74*(W74/100/2)^(2/3)*(1/AB74)^(1/2)*0.70541))</f>
        <v/>
      </c>
      <c r="AF74" s="31" t="str">
        <f t="shared" ref="AF74" si="997">IF(S74="","",IF(T74="","",ROUNDDOWN(AD74/($U$3/8.64),3)))</f>
        <v/>
      </c>
      <c r="AG74" s="32" t="str">
        <f t="shared" ref="AG74" si="998">IF(S74="","",IF(T74="","",ROUNDDOWN(AF74*10000/$AJ$3,0)))</f>
        <v/>
      </c>
      <c r="AH74" s="33" t="str">
        <f t="shared" ref="AH74" si="999">IF(S74="","",IF(T74="","",IF(AG74&gt;AI74,"＞","＜")))</f>
        <v/>
      </c>
      <c r="AI74" s="41" t="str">
        <f t="shared" ref="AI74" si="1000">IF(S74="","",Z74)</f>
        <v/>
      </c>
      <c r="AJ74" s="43" t="str">
        <f t="shared" ref="AJ74" si="1001">IF(S74="","",AI74*$AJ$3/10000)</f>
        <v/>
      </c>
      <c r="AK74" s="33" t="str">
        <f t="shared" ref="AK74" si="1002">IF(S74="","",IF(T74="","",IF(AND(T74=1,AE74&gt;1),"NG",IF(AH74="＞","OK","NG"))))</f>
        <v/>
      </c>
    </row>
    <row r="75" spans="1:37" ht="15.75" customHeight="1" x14ac:dyDescent="0.15">
      <c r="A75" s="92"/>
      <c r="B75" s="93"/>
      <c r="C75" s="59"/>
      <c r="D75" s="61"/>
      <c r="E75" s="94"/>
      <c r="F75" s="95"/>
      <c r="G75" s="95"/>
      <c r="H75" s="96"/>
      <c r="I75" s="54"/>
      <c r="J75" s="46"/>
      <c r="K75" s="97"/>
      <c r="L75" s="57"/>
      <c r="M75" s="44"/>
      <c r="N75" s="44"/>
      <c r="O75" s="42"/>
      <c r="P75" s="50"/>
      <c r="Q75" s="42"/>
      <c r="R75" s="52"/>
      <c r="S75" s="98"/>
      <c r="T75" s="99">
        <v>2</v>
      </c>
      <c r="U75" s="34" t="str">
        <f t="shared" ref="U75" si="1003">IF(S74="","",IF(T74=T75,"〃",IF(T75=1,"素焼土管",IF(T75=2,"合成樹脂管",IF(T75=3,"無孔管","")))))</f>
        <v/>
      </c>
      <c r="V75" s="35"/>
      <c r="W75" s="100"/>
      <c r="X75" s="101"/>
      <c r="Y75" s="95"/>
      <c r="Z75" s="42"/>
      <c r="AA75" s="46"/>
      <c r="AB75" s="97"/>
      <c r="AC75" s="36" t="str">
        <f t="shared" ref="AC75" si="1004">IF(S74="","",IF(T75=1,0.013,0.012))</f>
        <v/>
      </c>
      <c r="AD75" s="37" t="str">
        <f t="shared" ref="AD75" si="1005">IF(S74="","",(1/AC75*(W75/100/2)^(8/3)*(1/AB74*100)^(1/2)*1.65696)*100)</f>
        <v/>
      </c>
      <c r="AE75" s="37" t="str">
        <f t="shared" ref="AE75" si="1006">IF(S74="","",1/AC75*(W75/100/2)^(2/3)*(1/AB74)^(1/2)*0.70541)</f>
        <v/>
      </c>
      <c r="AF75" s="37" t="str">
        <f t="shared" ref="AF75" si="1007">IF(S74="","",ROUNDDOWN(AD75/($U$3/8.64),3))</f>
        <v/>
      </c>
      <c r="AG75" s="38" t="str">
        <f t="shared" ref="AG75" si="1008">IF(S74="","",ROUNDDOWN(AF75*10000/$AJ$3,0))</f>
        <v/>
      </c>
      <c r="AH75" s="39" t="str">
        <f t="shared" ref="AH75" si="1009">IF(S74="","",IF(AG75&gt;AI74,"＞",IF(AG75=AI74,"=","＜")))</f>
        <v/>
      </c>
      <c r="AI75" s="42"/>
      <c r="AJ75" s="44"/>
      <c r="AK75" s="39" t="str">
        <f t="shared" ref="AK75" si="1010">IF(S74="","",IF(AND(T75=1,AE75&gt;1),"NG",IF(AH75="＞","OK","NG")))</f>
        <v/>
      </c>
    </row>
    <row r="76" spans="1:37" ht="15.75" customHeight="1" x14ac:dyDescent="0.15">
      <c r="A76" s="80"/>
      <c r="B76" s="81">
        <v>2</v>
      </c>
      <c r="C76" s="58" t="str">
        <f t="shared" ref="C76" si="1011">IF(A76="","",IF(B76=1,"素　焼土　管",IF(B76=2,"合　成樹脂管",IF(B76=3,"無孔管",""))))</f>
        <v/>
      </c>
      <c r="D76" s="60"/>
      <c r="E76" s="82"/>
      <c r="F76" s="83"/>
      <c r="G76" s="83"/>
      <c r="H76" s="84"/>
      <c r="I76" s="53" t="str">
        <f t="shared" ref="I76" si="1012">IF(A76="","",F76-G76+H76)</f>
        <v/>
      </c>
      <c r="J76" s="55" t="str">
        <f t="shared" ref="J76" si="1013">IF(A76="",""," 1/")</f>
        <v/>
      </c>
      <c r="K76" s="85"/>
      <c r="L76" s="56" t="str">
        <f t="shared" ref="L76" si="1014">IF(A76="","",IF(B76=1,0.013,0.012))</f>
        <v/>
      </c>
      <c r="M76" s="47" t="str">
        <f t="shared" ref="M76" si="1015">IF(A76="","",(1/L76*(E76/100/2)^(8/3)*(1/K76*100)^(1/2)*1.65696)*100)</f>
        <v/>
      </c>
      <c r="N76" s="47" t="str">
        <f t="shared" ref="N76" si="1016">IF(A76="","",1/L76*(E76/100/2)^(2/3)*(1/K76)^(1/2)*0.70541)</f>
        <v/>
      </c>
      <c r="O76" s="48" t="str">
        <f t="shared" ref="O76" si="1017">IF(A76="","",ROUNDDOWN(M76/($U$3/8.64)*10000/$AJ$3,0))</f>
        <v/>
      </c>
      <c r="P76" s="49" t="str">
        <f t="shared" ref="P76" si="1018">IF(A76="","",IF(O76&gt;Q76,"＞","＜"))</f>
        <v/>
      </c>
      <c r="Q76" s="48" t="str">
        <f t="shared" ref="Q76" si="1019">IF(A76="","",I76)</f>
        <v/>
      </c>
      <c r="R76" s="51" t="str">
        <f t="shared" ref="R76" si="1020">IF(A76="","",IF(P76="＞","OK","NG"))</f>
        <v/>
      </c>
      <c r="S76" s="86"/>
      <c r="T76" s="87"/>
      <c r="U76" s="28" t="str">
        <f t="shared" ref="U76" si="1021">IF(S76="","",IF(T76=1,"素焼土管",IF(T76=2,"合成樹脂管",IF(T76=3,"無孔管",""))))</f>
        <v/>
      </c>
      <c r="V76" s="29"/>
      <c r="W76" s="88"/>
      <c r="X76" s="89"/>
      <c r="Y76" s="90"/>
      <c r="Z76" s="41" t="str">
        <f t="shared" ref="Z76" si="1022">IF(S76="","",IF(AND(T77=3,I76=""),Z74+Y76,IF(AND(Z74="",I74=""),I76+Y76,IF(AND(T77=3,I76&gt;0,Z74&gt;0),I76+Z74+Y76,IF(Z74="",I74+I76+X76+Y76,IF(I76="",Z74+X76+Y76,Z74+I76+X76+Y76))))))</f>
        <v/>
      </c>
      <c r="AA76" s="45" t="str">
        <f t="shared" ref="AA76" si="1023">IF(AB76="",""," 1/")</f>
        <v/>
      </c>
      <c r="AB76" s="91"/>
      <c r="AC76" s="30" t="str">
        <f t="shared" ref="AC76" si="1024">IF(S76="","",IF(T76="","",IF(T76=1,0.013,0.012)))</f>
        <v/>
      </c>
      <c r="AD76" s="31" t="str">
        <f t="shared" ref="AD76" si="1025">IF(S76="","",IF(T76="","",(1/AC76*(W76/100/2)^(8/3)*(1/AB76*100)^(1/2)*1.65696)*100))</f>
        <v/>
      </c>
      <c r="AE76" s="31" t="str">
        <f t="shared" ref="AE76" si="1026">IF(S76="","",IF(T76="","",1/AC76*(W76/100/2)^(2/3)*(1/AB76)^(1/2)*0.70541))</f>
        <v/>
      </c>
      <c r="AF76" s="31" t="str">
        <f t="shared" ref="AF76" si="1027">IF(S76="","",IF(T76="","",ROUNDDOWN(AD76/($U$3/8.64),3)))</f>
        <v/>
      </c>
      <c r="AG76" s="32" t="str">
        <f t="shared" ref="AG76" si="1028">IF(S76="","",IF(T76="","",ROUNDDOWN(AF76*10000/$AJ$3,0)))</f>
        <v/>
      </c>
      <c r="AH76" s="33" t="str">
        <f t="shared" ref="AH76" si="1029">IF(S76="","",IF(T76="","",IF(AG76&gt;AI76,"＞","＜")))</f>
        <v/>
      </c>
      <c r="AI76" s="41" t="str">
        <f t="shared" ref="AI76" si="1030">IF(S76="","",Z76)</f>
        <v/>
      </c>
      <c r="AJ76" s="43" t="str">
        <f t="shared" ref="AJ76" si="1031">IF(S76="","",AI76*$AJ$3/10000)</f>
        <v/>
      </c>
      <c r="AK76" s="33" t="str">
        <f t="shared" ref="AK76" si="1032">IF(S76="","",IF(T76="","",IF(AND(T76=1,AE76&gt;1),"NG",IF(AH76="＞","OK","NG"))))</f>
        <v/>
      </c>
    </row>
    <row r="77" spans="1:37" ht="15.75" customHeight="1" x14ac:dyDescent="0.15">
      <c r="A77" s="92"/>
      <c r="B77" s="93"/>
      <c r="C77" s="59"/>
      <c r="D77" s="61"/>
      <c r="E77" s="94"/>
      <c r="F77" s="95"/>
      <c r="G77" s="95"/>
      <c r="H77" s="96"/>
      <c r="I77" s="54"/>
      <c r="J77" s="46"/>
      <c r="K77" s="97"/>
      <c r="L77" s="57"/>
      <c r="M77" s="44"/>
      <c r="N77" s="44"/>
      <c r="O77" s="42"/>
      <c r="P77" s="50"/>
      <c r="Q77" s="42"/>
      <c r="R77" s="52"/>
      <c r="S77" s="98"/>
      <c r="T77" s="99">
        <v>2</v>
      </c>
      <c r="U77" s="34" t="str">
        <f t="shared" ref="U77" si="1033">IF(S76="","",IF(T76=T77,"〃",IF(T77=1,"素焼土管",IF(T77=2,"合成樹脂管",IF(T77=3,"無孔管","")))))</f>
        <v/>
      </c>
      <c r="V77" s="35"/>
      <c r="W77" s="100"/>
      <c r="X77" s="101"/>
      <c r="Y77" s="95"/>
      <c r="Z77" s="42"/>
      <c r="AA77" s="46"/>
      <c r="AB77" s="97"/>
      <c r="AC77" s="36" t="str">
        <f t="shared" ref="AC77" si="1034">IF(S76="","",IF(T77=1,0.013,0.012))</f>
        <v/>
      </c>
      <c r="AD77" s="37" t="str">
        <f t="shared" ref="AD77" si="1035">IF(S76="","",(1/AC77*(W77/100/2)^(8/3)*(1/AB76*100)^(1/2)*1.65696)*100)</f>
        <v/>
      </c>
      <c r="AE77" s="37" t="str">
        <f t="shared" ref="AE77" si="1036">IF(S76="","",1/AC77*(W77/100/2)^(2/3)*(1/AB76)^(1/2)*0.70541)</f>
        <v/>
      </c>
      <c r="AF77" s="37" t="str">
        <f t="shared" ref="AF77" si="1037">IF(S76="","",ROUNDDOWN(AD77/($U$3/8.64),3))</f>
        <v/>
      </c>
      <c r="AG77" s="38" t="str">
        <f t="shared" ref="AG77" si="1038">IF(S76="","",ROUNDDOWN(AF77*10000/$AJ$3,0))</f>
        <v/>
      </c>
      <c r="AH77" s="39" t="str">
        <f t="shared" ref="AH77" si="1039">IF(S76="","",IF(AG77&gt;AI76,"＞",IF(AG77=AI76,"=","＜")))</f>
        <v/>
      </c>
      <c r="AI77" s="42"/>
      <c r="AJ77" s="44"/>
      <c r="AK77" s="39" t="str">
        <f t="shared" ref="AK77" si="1040">IF(S76="","",IF(AND(T77=1,AE77&gt;1),"NG",IF(AH77="＞","OK","NG")))</f>
        <v/>
      </c>
    </row>
    <row r="78" spans="1:37" ht="15.75" customHeight="1" x14ac:dyDescent="0.15">
      <c r="A78" s="80"/>
      <c r="B78" s="81">
        <v>2</v>
      </c>
      <c r="C78" s="58" t="str">
        <f t="shared" ref="C78" si="1041">IF(A78="","",IF(B78=1,"素　焼土　管",IF(B78=2,"合　成樹脂管",IF(B78=3,"無孔管",""))))</f>
        <v/>
      </c>
      <c r="D78" s="60"/>
      <c r="E78" s="82"/>
      <c r="F78" s="83"/>
      <c r="G78" s="83"/>
      <c r="H78" s="84"/>
      <c r="I78" s="53" t="str">
        <f t="shared" ref="I78" si="1042">IF(A78="","",F78-G78+H78)</f>
        <v/>
      </c>
      <c r="J78" s="55" t="str">
        <f t="shared" ref="J78" si="1043">IF(A78="",""," 1/")</f>
        <v/>
      </c>
      <c r="K78" s="85"/>
      <c r="L78" s="56" t="str">
        <f t="shared" ref="L78" si="1044">IF(A78="","",IF(B78=1,0.013,0.012))</f>
        <v/>
      </c>
      <c r="M78" s="47" t="str">
        <f t="shared" ref="M78" si="1045">IF(A78="","",(1/L78*(E78/100/2)^(8/3)*(1/K78*100)^(1/2)*1.65696)*100)</f>
        <v/>
      </c>
      <c r="N78" s="47" t="str">
        <f t="shared" ref="N78" si="1046">IF(A78="","",1/L78*(E78/100/2)^(2/3)*(1/K78)^(1/2)*0.70541)</f>
        <v/>
      </c>
      <c r="O78" s="48" t="str">
        <f t="shared" ref="O78" si="1047">IF(A78="","",ROUNDDOWN(M78/($U$3/8.64)*10000/$AJ$3,0))</f>
        <v/>
      </c>
      <c r="P78" s="49" t="str">
        <f t="shared" ref="P78" si="1048">IF(A78="","",IF(O78&gt;Q78,"＞","＜"))</f>
        <v/>
      </c>
      <c r="Q78" s="48" t="str">
        <f t="shared" ref="Q78" si="1049">IF(A78="","",I78)</f>
        <v/>
      </c>
      <c r="R78" s="51" t="str">
        <f t="shared" ref="R78" si="1050">IF(A78="","",IF(P78="＞","OK","NG"))</f>
        <v/>
      </c>
      <c r="S78" s="86"/>
      <c r="T78" s="87"/>
      <c r="U78" s="28" t="str">
        <f t="shared" ref="U78" si="1051">IF(S78="","",IF(T78=1,"素焼土管",IF(T78=2,"合成樹脂管",IF(T78=3,"無孔管",""))))</f>
        <v/>
      </c>
      <c r="V78" s="29"/>
      <c r="W78" s="88"/>
      <c r="X78" s="89"/>
      <c r="Y78" s="90"/>
      <c r="Z78" s="41" t="str">
        <f t="shared" ref="Z78" si="1052">IF(S78="","",IF(AND(T79=3,I78=""),Z76+Y78,IF(AND(Z76="",I76=""),I78+Y78,IF(AND(T79=3,I78&gt;0,Z76&gt;0),I78+Z76+Y78,IF(Z76="",I76+I78+X78+Y78,IF(I78="",Z76+X78+Y78,Z76+I78+X78+Y78))))))</f>
        <v/>
      </c>
      <c r="AA78" s="45" t="str">
        <f t="shared" ref="AA78" si="1053">IF(AB78="",""," 1/")</f>
        <v/>
      </c>
      <c r="AB78" s="91"/>
      <c r="AC78" s="30" t="str">
        <f t="shared" ref="AC78" si="1054">IF(S78="","",IF(T78="","",IF(T78=1,0.013,0.012)))</f>
        <v/>
      </c>
      <c r="AD78" s="31" t="str">
        <f t="shared" ref="AD78" si="1055">IF(S78="","",IF(T78="","",(1/AC78*(W78/100/2)^(8/3)*(1/AB78*100)^(1/2)*1.65696)*100))</f>
        <v/>
      </c>
      <c r="AE78" s="31" t="str">
        <f t="shared" ref="AE78" si="1056">IF(S78="","",IF(T78="","",1/AC78*(W78/100/2)^(2/3)*(1/AB78)^(1/2)*0.70541))</f>
        <v/>
      </c>
      <c r="AF78" s="31" t="str">
        <f t="shared" ref="AF78" si="1057">IF(S78="","",IF(T78="","",ROUNDDOWN(AD78/($U$3/8.64),3)))</f>
        <v/>
      </c>
      <c r="AG78" s="32" t="str">
        <f t="shared" ref="AG78" si="1058">IF(S78="","",IF(T78="","",ROUNDDOWN(AF78*10000/$AJ$3,0)))</f>
        <v/>
      </c>
      <c r="AH78" s="33" t="str">
        <f t="shared" ref="AH78" si="1059">IF(S78="","",IF(T78="","",IF(AG78&gt;AI78,"＞","＜")))</f>
        <v/>
      </c>
      <c r="AI78" s="41" t="str">
        <f t="shared" ref="AI78" si="1060">IF(S78="","",Z78)</f>
        <v/>
      </c>
      <c r="AJ78" s="43" t="str">
        <f t="shared" ref="AJ78" si="1061">IF(S78="","",AI78*$AJ$3/10000)</f>
        <v/>
      </c>
      <c r="AK78" s="33" t="str">
        <f t="shared" ref="AK78" si="1062">IF(S78="","",IF(T78="","",IF(AND(T78=1,AE78&gt;1),"NG",IF(AH78="＞","OK","NG"))))</f>
        <v/>
      </c>
    </row>
    <row r="79" spans="1:37" ht="15.75" customHeight="1" x14ac:dyDescent="0.15">
      <c r="A79" s="92"/>
      <c r="B79" s="93"/>
      <c r="C79" s="59"/>
      <c r="D79" s="61"/>
      <c r="E79" s="94"/>
      <c r="F79" s="95"/>
      <c r="G79" s="95"/>
      <c r="H79" s="96"/>
      <c r="I79" s="54"/>
      <c r="J79" s="46"/>
      <c r="K79" s="97"/>
      <c r="L79" s="57"/>
      <c r="M79" s="44"/>
      <c r="N79" s="44"/>
      <c r="O79" s="42"/>
      <c r="P79" s="50"/>
      <c r="Q79" s="42"/>
      <c r="R79" s="52"/>
      <c r="S79" s="98"/>
      <c r="T79" s="99">
        <v>2</v>
      </c>
      <c r="U79" s="34" t="str">
        <f t="shared" ref="U79" si="1063">IF(S78="","",IF(T78=T79,"〃",IF(T79=1,"素焼土管",IF(T79=2,"合成樹脂管",IF(T79=3,"無孔管","")))))</f>
        <v/>
      </c>
      <c r="V79" s="35"/>
      <c r="W79" s="100"/>
      <c r="X79" s="101"/>
      <c r="Y79" s="95"/>
      <c r="Z79" s="42"/>
      <c r="AA79" s="46"/>
      <c r="AB79" s="97"/>
      <c r="AC79" s="36" t="str">
        <f t="shared" ref="AC79" si="1064">IF(S78="","",IF(T79=1,0.013,0.012))</f>
        <v/>
      </c>
      <c r="AD79" s="37" t="str">
        <f t="shared" ref="AD79" si="1065">IF(S78="","",(1/AC79*(W79/100/2)^(8/3)*(1/AB78*100)^(1/2)*1.65696)*100)</f>
        <v/>
      </c>
      <c r="AE79" s="37" t="str">
        <f t="shared" ref="AE79" si="1066">IF(S78="","",1/AC79*(W79/100/2)^(2/3)*(1/AB78)^(1/2)*0.70541)</f>
        <v/>
      </c>
      <c r="AF79" s="37" t="str">
        <f t="shared" ref="AF79" si="1067">IF(S78="","",ROUNDDOWN(AD79/($U$3/8.64),3))</f>
        <v/>
      </c>
      <c r="AG79" s="38" t="str">
        <f t="shared" ref="AG79" si="1068">IF(S78="","",ROUNDDOWN(AF79*10000/$AJ$3,0))</f>
        <v/>
      </c>
      <c r="AH79" s="39" t="str">
        <f t="shared" ref="AH79" si="1069">IF(S78="","",IF(AG79&gt;AI78,"＞",IF(AG79=AI78,"=","＜")))</f>
        <v/>
      </c>
      <c r="AI79" s="42"/>
      <c r="AJ79" s="44"/>
      <c r="AK79" s="39" t="str">
        <f t="shared" ref="AK79" si="1070">IF(S78="","",IF(AND(T79=1,AE79&gt;1),"NG",IF(AH79="＞","OK","NG")))</f>
        <v/>
      </c>
    </row>
    <row r="80" spans="1:37" ht="15.75" customHeight="1" x14ac:dyDescent="0.15">
      <c r="A80" s="80"/>
      <c r="B80" s="81">
        <v>2</v>
      </c>
      <c r="C80" s="58" t="str">
        <f t="shared" ref="C80" si="1071">IF(A80="","",IF(B80=1,"素　焼土　管",IF(B80=2,"合　成樹脂管",IF(B80=3,"無孔管",""))))</f>
        <v/>
      </c>
      <c r="D80" s="60"/>
      <c r="E80" s="82"/>
      <c r="F80" s="83"/>
      <c r="G80" s="83"/>
      <c r="H80" s="84"/>
      <c r="I80" s="53" t="str">
        <f t="shared" ref="I80" si="1072">IF(A80="","",F80-G80+H80)</f>
        <v/>
      </c>
      <c r="J80" s="55" t="str">
        <f t="shared" ref="J80" si="1073">IF(A80="",""," 1/")</f>
        <v/>
      </c>
      <c r="K80" s="85"/>
      <c r="L80" s="56" t="str">
        <f t="shared" ref="L80" si="1074">IF(A80="","",IF(B80=1,0.013,0.012))</f>
        <v/>
      </c>
      <c r="M80" s="47" t="str">
        <f t="shared" ref="M80" si="1075">IF(A80="","",(1/L80*(E80/100/2)^(8/3)*(1/K80*100)^(1/2)*1.65696)*100)</f>
        <v/>
      </c>
      <c r="N80" s="47" t="str">
        <f t="shared" ref="N80" si="1076">IF(A80="","",1/L80*(E80/100/2)^(2/3)*(1/K80)^(1/2)*0.70541)</f>
        <v/>
      </c>
      <c r="O80" s="48" t="str">
        <f t="shared" ref="O80" si="1077">IF(A80="","",ROUNDDOWN(M80/($U$3/8.64)*10000/$AJ$3,0))</f>
        <v/>
      </c>
      <c r="P80" s="49" t="str">
        <f t="shared" ref="P80" si="1078">IF(A80="","",IF(O80&gt;Q80,"＞","＜"))</f>
        <v/>
      </c>
      <c r="Q80" s="48" t="str">
        <f t="shared" ref="Q80" si="1079">IF(A80="","",I80)</f>
        <v/>
      </c>
      <c r="R80" s="51" t="str">
        <f t="shared" ref="R80" si="1080">IF(A80="","",IF(P80="＞","OK","NG"))</f>
        <v/>
      </c>
      <c r="S80" s="86"/>
      <c r="T80" s="87"/>
      <c r="U80" s="28" t="str">
        <f t="shared" ref="U80" si="1081">IF(S80="","",IF(T80=1,"素焼土管",IF(T80=2,"合成樹脂管",IF(T80=3,"無孔管",""))))</f>
        <v/>
      </c>
      <c r="V80" s="29"/>
      <c r="W80" s="88"/>
      <c r="X80" s="89"/>
      <c r="Y80" s="90"/>
      <c r="Z80" s="41" t="str">
        <f t="shared" ref="Z80" si="1082">IF(S80="","",IF(AND(T81=3,I80=""),Z78+Y80,IF(AND(Z78="",I78=""),I80+Y80,IF(AND(T81=3,I80&gt;0,Z78&gt;0),I80+Z78+Y80,IF(Z78="",I78+I80+X80+Y80,IF(I80="",Z78+X80+Y80,Z78+I80+X80+Y80))))))</f>
        <v/>
      </c>
      <c r="AA80" s="45" t="str">
        <f t="shared" ref="AA80" si="1083">IF(AB80="",""," 1/")</f>
        <v/>
      </c>
      <c r="AB80" s="91"/>
      <c r="AC80" s="30" t="str">
        <f t="shared" ref="AC80" si="1084">IF(S80="","",IF(T80="","",IF(T80=1,0.013,0.012)))</f>
        <v/>
      </c>
      <c r="AD80" s="31" t="str">
        <f t="shared" ref="AD80" si="1085">IF(S80="","",IF(T80="","",(1/AC80*(W80/100/2)^(8/3)*(1/AB80*100)^(1/2)*1.65696)*100))</f>
        <v/>
      </c>
      <c r="AE80" s="31" t="str">
        <f t="shared" ref="AE80" si="1086">IF(S80="","",IF(T80="","",1/AC80*(W80/100/2)^(2/3)*(1/AB80)^(1/2)*0.70541))</f>
        <v/>
      </c>
      <c r="AF80" s="31" t="str">
        <f t="shared" ref="AF80" si="1087">IF(S80="","",IF(T80="","",ROUNDDOWN(AD80/($U$3/8.64),3)))</f>
        <v/>
      </c>
      <c r="AG80" s="32" t="str">
        <f t="shared" ref="AG80" si="1088">IF(S80="","",IF(T80="","",ROUNDDOWN(AF80*10000/$AJ$3,0)))</f>
        <v/>
      </c>
      <c r="AH80" s="33" t="str">
        <f t="shared" ref="AH80" si="1089">IF(S80="","",IF(T80="","",IF(AG80&gt;AI80,"＞","＜")))</f>
        <v/>
      </c>
      <c r="AI80" s="41" t="str">
        <f t="shared" ref="AI80" si="1090">IF(S80="","",Z80)</f>
        <v/>
      </c>
      <c r="AJ80" s="43" t="str">
        <f t="shared" ref="AJ80" si="1091">IF(S80="","",AI80*$AJ$3/10000)</f>
        <v/>
      </c>
      <c r="AK80" s="33" t="str">
        <f t="shared" ref="AK80" si="1092">IF(S80="","",IF(T80="","",IF(AND(T80=1,AE80&gt;1),"NG",IF(AH80="＞","OK","NG"))))</f>
        <v/>
      </c>
    </row>
    <row r="81" spans="1:37" ht="15.75" customHeight="1" x14ac:dyDescent="0.15">
      <c r="A81" s="92"/>
      <c r="B81" s="93"/>
      <c r="C81" s="59"/>
      <c r="D81" s="61"/>
      <c r="E81" s="94"/>
      <c r="F81" s="95"/>
      <c r="G81" s="95"/>
      <c r="H81" s="96"/>
      <c r="I81" s="54"/>
      <c r="J81" s="46"/>
      <c r="K81" s="97"/>
      <c r="L81" s="57"/>
      <c r="M81" s="44"/>
      <c r="N81" s="44"/>
      <c r="O81" s="42"/>
      <c r="P81" s="50"/>
      <c r="Q81" s="42"/>
      <c r="R81" s="52"/>
      <c r="S81" s="98"/>
      <c r="T81" s="99">
        <v>2</v>
      </c>
      <c r="U81" s="34" t="str">
        <f t="shared" ref="U81" si="1093">IF(S80="","",IF(T80=T81,"〃",IF(T81=1,"素焼土管",IF(T81=2,"合成樹脂管",IF(T81=3,"無孔管","")))))</f>
        <v/>
      </c>
      <c r="V81" s="35"/>
      <c r="W81" s="100"/>
      <c r="X81" s="101"/>
      <c r="Y81" s="95"/>
      <c r="Z81" s="42"/>
      <c r="AA81" s="46"/>
      <c r="AB81" s="97"/>
      <c r="AC81" s="36" t="str">
        <f t="shared" ref="AC81" si="1094">IF(S80="","",IF(T81=1,0.013,0.012))</f>
        <v/>
      </c>
      <c r="AD81" s="37" t="str">
        <f t="shared" ref="AD81" si="1095">IF(S80="","",(1/AC81*(W81/100/2)^(8/3)*(1/AB80*100)^(1/2)*1.65696)*100)</f>
        <v/>
      </c>
      <c r="AE81" s="37" t="str">
        <f t="shared" ref="AE81" si="1096">IF(S80="","",1/AC81*(W81/100/2)^(2/3)*(1/AB80)^(1/2)*0.70541)</f>
        <v/>
      </c>
      <c r="AF81" s="37" t="str">
        <f t="shared" ref="AF81" si="1097">IF(S80="","",ROUNDDOWN(AD81/($U$3/8.64),3))</f>
        <v/>
      </c>
      <c r="AG81" s="38" t="str">
        <f t="shared" ref="AG81" si="1098">IF(S80="","",ROUNDDOWN(AF81*10000/$AJ$3,0))</f>
        <v/>
      </c>
      <c r="AH81" s="39" t="str">
        <f t="shared" ref="AH81" si="1099">IF(S80="","",IF(AG81&gt;AI80,"＞",IF(AG81=AI80,"=","＜")))</f>
        <v/>
      </c>
      <c r="AI81" s="42"/>
      <c r="AJ81" s="44"/>
      <c r="AK81" s="39" t="str">
        <f t="shared" ref="AK81" si="1100">IF(S80="","",IF(AND(T81=1,AE81&gt;1),"NG",IF(AH81="＞","OK","NG")))</f>
        <v/>
      </c>
    </row>
    <row r="82" spans="1:37" ht="15.75" customHeight="1" x14ac:dyDescent="0.15">
      <c r="A82" s="80"/>
      <c r="B82" s="81">
        <v>2</v>
      </c>
      <c r="C82" s="58" t="str">
        <f t="shared" ref="C82" si="1101">IF(A82="","",IF(B82=1,"素　焼土　管",IF(B82=2,"合　成樹脂管",IF(B82=3,"無孔管",""))))</f>
        <v/>
      </c>
      <c r="D82" s="60"/>
      <c r="E82" s="82"/>
      <c r="F82" s="83"/>
      <c r="G82" s="83"/>
      <c r="H82" s="84"/>
      <c r="I82" s="53" t="str">
        <f t="shared" ref="I82" si="1102">IF(A82="","",F82-G82+H82)</f>
        <v/>
      </c>
      <c r="J82" s="55" t="str">
        <f t="shared" ref="J82" si="1103">IF(A82="",""," 1/")</f>
        <v/>
      </c>
      <c r="K82" s="85"/>
      <c r="L82" s="56" t="str">
        <f t="shared" ref="L82" si="1104">IF(A82="","",IF(B82=1,0.013,0.012))</f>
        <v/>
      </c>
      <c r="M82" s="47" t="str">
        <f t="shared" ref="M82" si="1105">IF(A82="","",(1/L82*(E82/100/2)^(8/3)*(1/K82*100)^(1/2)*1.65696)*100)</f>
        <v/>
      </c>
      <c r="N82" s="47" t="str">
        <f t="shared" ref="N82" si="1106">IF(A82="","",1/L82*(E82/100/2)^(2/3)*(1/K82)^(1/2)*0.70541)</f>
        <v/>
      </c>
      <c r="O82" s="48" t="str">
        <f t="shared" ref="O82" si="1107">IF(A82="","",ROUNDDOWN(M82/($U$3/8.64)*10000/$AJ$3,0))</f>
        <v/>
      </c>
      <c r="P82" s="49" t="str">
        <f t="shared" ref="P82" si="1108">IF(A82="","",IF(O82&gt;Q82,"＞","＜"))</f>
        <v/>
      </c>
      <c r="Q82" s="48" t="str">
        <f t="shared" ref="Q82" si="1109">IF(A82="","",I82)</f>
        <v/>
      </c>
      <c r="R82" s="51" t="str">
        <f t="shared" ref="R82" si="1110">IF(A82="","",IF(P82="＞","OK","NG"))</f>
        <v/>
      </c>
      <c r="S82" s="86"/>
      <c r="T82" s="87"/>
      <c r="U82" s="28" t="str">
        <f t="shared" ref="U82" si="1111">IF(S82="","",IF(T82=1,"素焼土管",IF(T82=2,"合成樹脂管",IF(T82=3,"無孔管",""))))</f>
        <v/>
      </c>
      <c r="V82" s="29"/>
      <c r="W82" s="88"/>
      <c r="X82" s="89"/>
      <c r="Y82" s="90"/>
      <c r="Z82" s="41" t="str">
        <f t="shared" ref="Z82" si="1112">IF(S82="","",IF(AND(T83=3,I82=""),Z80+Y82,IF(AND(Z80="",I80=""),I82+Y82,IF(AND(T83=3,I82&gt;0,Z80&gt;0),I82+Z80+Y82,IF(Z80="",I80+I82+X82+Y82,IF(I82="",Z80+X82+Y82,Z80+I82+X82+Y82))))))</f>
        <v/>
      </c>
      <c r="AA82" s="45" t="str">
        <f t="shared" ref="AA82" si="1113">IF(AB82="",""," 1/")</f>
        <v/>
      </c>
      <c r="AB82" s="91"/>
      <c r="AC82" s="30" t="str">
        <f t="shared" ref="AC82" si="1114">IF(S82="","",IF(T82="","",IF(T82=1,0.013,0.012)))</f>
        <v/>
      </c>
      <c r="AD82" s="31" t="str">
        <f t="shared" ref="AD82" si="1115">IF(S82="","",IF(T82="","",(1/AC82*(W82/100/2)^(8/3)*(1/AB82*100)^(1/2)*1.65696)*100))</f>
        <v/>
      </c>
      <c r="AE82" s="31" t="str">
        <f t="shared" ref="AE82" si="1116">IF(S82="","",IF(T82="","",1/AC82*(W82/100/2)^(2/3)*(1/AB82)^(1/2)*0.70541))</f>
        <v/>
      </c>
      <c r="AF82" s="31" t="str">
        <f t="shared" ref="AF82" si="1117">IF(S82="","",IF(T82="","",ROUNDDOWN(AD82/($U$3/8.64),3)))</f>
        <v/>
      </c>
      <c r="AG82" s="32" t="str">
        <f t="shared" ref="AG82" si="1118">IF(S82="","",IF(T82="","",ROUNDDOWN(AF82*10000/$AJ$3,0)))</f>
        <v/>
      </c>
      <c r="AH82" s="33" t="str">
        <f t="shared" ref="AH82" si="1119">IF(S82="","",IF(T82="","",IF(AG82&gt;AI82,"＞","＜")))</f>
        <v/>
      </c>
      <c r="AI82" s="41" t="str">
        <f t="shared" ref="AI82" si="1120">IF(S82="","",Z82)</f>
        <v/>
      </c>
      <c r="AJ82" s="43" t="str">
        <f t="shared" ref="AJ82" si="1121">IF(S82="","",AI82*$AJ$3/10000)</f>
        <v/>
      </c>
      <c r="AK82" s="33" t="str">
        <f t="shared" ref="AK82" si="1122">IF(S82="","",IF(T82="","",IF(AND(T82=1,AE82&gt;1),"NG",IF(AH82="＞","OK","NG"))))</f>
        <v/>
      </c>
    </row>
    <row r="83" spans="1:37" ht="15.75" customHeight="1" x14ac:dyDescent="0.15">
      <c r="A83" s="92"/>
      <c r="B83" s="93"/>
      <c r="C83" s="59"/>
      <c r="D83" s="61"/>
      <c r="E83" s="94"/>
      <c r="F83" s="95"/>
      <c r="G83" s="95"/>
      <c r="H83" s="96"/>
      <c r="I83" s="54"/>
      <c r="J83" s="46"/>
      <c r="K83" s="97"/>
      <c r="L83" s="57"/>
      <c r="M83" s="44"/>
      <c r="N83" s="44"/>
      <c r="O83" s="42"/>
      <c r="P83" s="50"/>
      <c r="Q83" s="42"/>
      <c r="R83" s="52"/>
      <c r="S83" s="98"/>
      <c r="T83" s="99">
        <v>2</v>
      </c>
      <c r="U83" s="34" t="str">
        <f t="shared" ref="U83" si="1123">IF(S82="","",IF(T82=T83,"〃",IF(T83=1,"素焼土管",IF(T83=2,"合成樹脂管",IF(T83=3,"無孔管","")))))</f>
        <v/>
      </c>
      <c r="V83" s="35"/>
      <c r="W83" s="100"/>
      <c r="X83" s="101"/>
      <c r="Y83" s="95"/>
      <c r="Z83" s="42"/>
      <c r="AA83" s="46"/>
      <c r="AB83" s="97"/>
      <c r="AC83" s="36" t="str">
        <f t="shared" ref="AC83" si="1124">IF(S82="","",IF(T83=1,0.013,0.012))</f>
        <v/>
      </c>
      <c r="AD83" s="37" t="str">
        <f t="shared" ref="AD83" si="1125">IF(S82="","",(1/AC83*(W83/100/2)^(8/3)*(1/AB82*100)^(1/2)*1.65696)*100)</f>
        <v/>
      </c>
      <c r="AE83" s="37" t="str">
        <f t="shared" ref="AE83" si="1126">IF(S82="","",1/AC83*(W83/100/2)^(2/3)*(1/AB82)^(1/2)*0.70541)</f>
        <v/>
      </c>
      <c r="AF83" s="37" t="str">
        <f t="shared" ref="AF83" si="1127">IF(S82="","",ROUNDDOWN(AD83/($U$3/8.64),3))</f>
        <v/>
      </c>
      <c r="AG83" s="38" t="str">
        <f t="shared" ref="AG83" si="1128">IF(S82="","",ROUNDDOWN(AF83*10000/$AJ$3,0))</f>
        <v/>
      </c>
      <c r="AH83" s="39" t="str">
        <f t="shared" ref="AH83" si="1129">IF(S82="","",IF(AG83&gt;AI82,"＞",IF(AG83=AI82,"=","＜")))</f>
        <v/>
      </c>
      <c r="AI83" s="42"/>
      <c r="AJ83" s="44"/>
      <c r="AK83" s="39" t="str">
        <f t="shared" ref="AK83" si="1130">IF(S82="","",IF(AND(T83=1,AE83&gt;1),"NG",IF(AH83="＞","OK","NG")))</f>
        <v/>
      </c>
    </row>
    <row r="84" spans="1:37" ht="15.75" customHeight="1" x14ac:dyDescent="0.15">
      <c r="A84" s="80"/>
      <c r="B84" s="81">
        <v>2</v>
      </c>
      <c r="C84" s="58" t="str">
        <f t="shared" ref="C84" si="1131">IF(A84="","",IF(B84=1,"素　焼土　管",IF(B84=2,"合　成樹脂管",IF(B84=3,"無孔管",""))))</f>
        <v/>
      </c>
      <c r="D84" s="60"/>
      <c r="E84" s="82"/>
      <c r="F84" s="83"/>
      <c r="G84" s="83"/>
      <c r="H84" s="84"/>
      <c r="I84" s="53" t="str">
        <f t="shared" ref="I84" si="1132">IF(A84="","",F84-G84+H84)</f>
        <v/>
      </c>
      <c r="J84" s="55" t="str">
        <f t="shared" ref="J84" si="1133">IF(A84="",""," 1/")</f>
        <v/>
      </c>
      <c r="K84" s="85"/>
      <c r="L84" s="56" t="str">
        <f t="shared" ref="L84" si="1134">IF(A84="","",IF(B84=1,0.013,0.012))</f>
        <v/>
      </c>
      <c r="M84" s="47" t="str">
        <f t="shared" ref="M84" si="1135">IF(A84="","",(1/L84*(E84/100/2)^(8/3)*(1/K84*100)^(1/2)*1.65696)*100)</f>
        <v/>
      </c>
      <c r="N84" s="47" t="str">
        <f t="shared" ref="N84" si="1136">IF(A84="","",1/L84*(E84/100/2)^(2/3)*(1/K84)^(1/2)*0.70541)</f>
        <v/>
      </c>
      <c r="O84" s="48" t="str">
        <f t="shared" ref="O84" si="1137">IF(A84="","",ROUNDDOWN(M84/($U$3/8.64)*10000/$AJ$3,0))</f>
        <v/>
      </c>
      <c r="P84" s="49" t="str">
        <f t="shared" ref="P84" si="1138">IF(A84="","",IF(O84&gt;Q84,"＞","＜"))</f>
        <v/>
      </c>
      <c r="Q84" s="48" t="str">
        <f t="shared" ref="Q84" si="1139">IF(A84="","",I84)</f>
        <v/>
      </c>
      <c r="R84" s="51" t="str">
        <f t="shared" ref="R84" si="1140">IF(A84="","",IF(P84="＞","OK","NG"))</f>
        <v/>
      </c>
      <c r="S84" s="86"/>
      <c r="T84" s="87"/>
      <c r="U84" s="28" t="str">
        <f t="shared" ref="U84" si="1141">IF(S84="","",IF(T84=1,"素焼土管",IF(T84=2,"合成樹脂管",IF(T84=3,"無孔管",""))))</f>
        <v/>
      </c>
      <c r="V84" s="29"/>
      <c r="W84" s="88"/>
      <c r="X84" s="89"/>
      <c r="Y84" s="90"/>
      <c r="Z84" s="41" t="str">
        <f t="shared" ref="Z84" si="1142">IF(S84="","",IF(AND(T85=3,I84=""),Z82+Y84,IF(AND(Z82="",I82=""),I84+Y84,IF(AND(T85=3,I84&gt;0,Z82&gt;0),I84+Z82+Y84,IF(Z82="",I82+I84+X84+Y84,IF(I84="",Z82+X84+Y84,Z82+I84+X84+Y84))))))</f>
        <v/>
      </c>
      <c r="AA84" s="45" t="str">
        <f t="shared" ref="AA84" si="1143">IF(AB84="",""," 1/")</f>
        <v/>
      </c>
      <c r="AB84" s="91"/>
      <c r="AC84" s="30" t="str">
        <f t="shared" ref="AC84" si="1144">IF(S84="","",IF(T84="","",IF(T84=1,0.013,0.012)))</f>
        <v/>
      </c>
      <c r="AD84" s="31" t="str">
        <f t="shared" ref="AD84" si="1145">IF(S84="","",IF(T84="","",(1/AC84*(W84/100/2)^(8/3)*(1/AB84*100)^(1/2)*1.65696)*100))</f>
        <v/>
      </c>
      <c r="AE84" s="31" t="str">
        <f t="shared" ref="AE84" si="1146">IF(S84="","",IF(T84="","",1/AC84*(W84/100/2)^(2/3)*(1/AB84)^(1/2)*0.70541))</f>
        <v/>
      </c>
      <c r="AF84" s="31" t="str">
        <f t="shared" ref="AF84" si="1147">IF(S84="","",IF(T84="","",ROUNDDOWN(AD84/($U$3/8.64),3)))</f>
        <v/>
      </c>
      <c r="AG84" s="32" t="str">
        <f t="shared" ref="AG84" si="1148">IF(S84="","",IF(T84="","",ROUNDDOWN(AF84*10000/$AJ$3,0)))</f>
        <v/>
      </c>
      <c r="AH84" s="33" t="str">
        <f t="shared" ref="AH84" si="1149">IF(S84="","",IF(T84="","",IF(AG84&gt;AI84,"＞","＜")))</f>
        <v/>
      </c>
      <c r="AI84" s="41" t="str">
        <f t="shared" ref="AI84" si="1150">IF(S84="","",Z84)</f>
        <v/>
      </c>
      <c r="AJ84" s="43" t="str">
        <f t="shared" ref="AJ84" si="1151">IF(S84="","",AI84*$AJ$3/10000)</f>
        <v/>
      </c>
      <c r="AK84" s="33" t="str">
        <f t="shared" ref="AK84" si="1152">IF(S84="","",IF(T84="","",IF(AND(T84=1,AE84&gt;1),"NG",IF(AH84="＞","OK","NG"))))</f>
        <v/>
      </c>
    </row>
    <row r="85" spans="1:37" ht="15.75" customHeight="1" x14ac:dyDescent="0.15">
      <c r="A85" s="92"/>
      <c r="B85" s="93"/>
      <c r="C85" s="59"/>
      <c r="D85" s="61"/>
      <c r="E85" s="94"/>
      <c r="F85" s="95"/>
      <c r="G85" s="95"/>
      <c r="H85" s="96"/>
      <c r="I85" s="54"/>
      <c r="J85" s="46"/>
      <c r="K85" s="97"/>
      <c r="L85" s="57"/>
      <c r="M85" s="44"/>
      <c r="N85" s="44"/>
      <c r="O85" s="42"/>
      <c r="P85" s="50"/>
      <c r="Q85" s="42"/>
      <c r="R85" s="52"/>
      <c r="S85" s="98"/>
      <c r="T85" s="99">
        <v>2</v>
      </c>
      <c r="U85" s="34" t="str">
        <f t="shared" ref="U85" si="1153">IF(S84="","",IF(T84=T85,"〃",IF(T85=1,"素焼土管",IF(T85=2,"合成樹脂管",IF(T85=3,"無孔管","")))))</f>
        <v/>
      </c>
      <c r="V85" s="35"/>
      <c r="W85" s="100"/>
      <c r="X85" s="101"/>
      <c r="Y85" s="95"/>
      <c r="Z85" s="42"/>
      <c r="AA85" s="46"/>
      <c r="AB85" s="97"/>
      <c r="AC85" s="36" t="str">
        <f t="shared" ref="AC85" si="1154">IF(S84="","",IF(T85=1,0.013,0.012))</f>
        <v/>
      </c>
      <c r="AD85" s="37" t="str">
        <f t="shared" ref="AD85" si="1155">IF(S84="","",(1/AC85*(W85/100/2)^(8/3)*(1/AB84*100)^(1/2)*1.65696)*100)</f>
        <v/>
      </c>
      <c r="AE85" s="37" t="str">
        <f t="shared" ref="AE85" si="1156">IF(S84="","",1/AC85*(W85/100/2)^(2/3)*(1/AB84)^(1/2)*0.70541)</f>
        <v/>
      </c>
      <c r="AF85" s="37" t="str">
        <f t="shared" ref="AF85" si="1157">IF(S84="","",ROUNDDOWN(AD85/($U$3/8.64),3))</f>
        <v/>
      </c>
      <c r="AG85" s="38" t="str">
        <f t="shared" ref="AG85" si="1158">IF(S84="","",ROUNDDOWN(AF85*10000/$AJ$3,0))</f>
        <v/>
      </c>
      <c r="AH85" s="39" t="str">
        <f t="shared" ref="AH85" si="1159">IF(S84="","",IF(AG85&gt;AI84,"＞",IF(AG85=AI84,"=","＜")))</f>
        <v/>
      </c>
      <c r="AI85" s="42"/>
      <c r="AJ85" s="44"/>
      <c r="AK85" s="39" t="str">
        <f t="shared" ref="AK85" si="1160">IF(S84="","",IF(AND(T85=1,AE85&gt;1),"NG",IF(AH85="＞","OK","NG")))</f>
        <v/>
      </c>
    </row>
    <row r="86" spans="1:37" ht="15.75" customHeight="1" x14ac:dyDescent="0.15">
      <c r="A86" s="80"/>
      <c r="B86" s="81">
        <v>2</v>
      </c>
      <c r="C86" s="58" t="str">
        <f t="shared" ref="C86" si="1161">IF(A86="","",IF(B86=1,"素　焼土　管",IF(B86=2,"合　成樹脂管",IF(B86=3,"無孔管",""))))</f>
        <v/>
      </c>
      <c r="D86" s="60"/>
      <c r="E86" s="82"/>
      <c r="F86" s="83"/>
      <c r="G86" s="83"/>
      <c r="H86" s="84"/>
      <c r="I86" s="53" t="str">
        <f t="shared" ref="I86" si="1162">IF(A86="","",F86-G86+H86)</f>
        <v/>
      </c>
      <c r="J86" s="55" t="str">
        <f t="shared" ref="J86" si="1163">IF(A86="",""," 1/")</f>
        <v/>
      </c>
      <c r="K86" s="85"/>
      <c r="L86" s="56" t="str">
        <f t="shared" ref="L86" si="1164">IF(A86="","",IF(B86=1,0.013,0.012))</f>
        <v/>
      </c>
      <c r="M86" s="47" t="str">
        <f t="shared" ref="M86" si="1165">IF(A86="","",(1/L86*(E86/100/2)^(8/3)*(1/K86*100)^(1/2)*1.65696)*100)</f>
        <v/>
      </c>
      <c r="N86" s="47" t="str">
        <f t="shared" ref="N86" si="1166">IF(A86="","",1/L86*(E86/100/2)^(2/3)*(1/K86)^(1/2)*0.70541)</f>
        <v/>
      </c>
      <c r="O86" s="48" t="str">
        <f t="shared" ref="O86" si="1167">IF(A86="","",ROUNDDOWN(M86/($U$3/8.64)*10000/$AJ$3,0))</f>
        <v/>
      </c>
      <c r="P86" s="49" t="str">
        <f t="shared" ref="P86" si="1168">IF(A86="","",IF(O86&gt;Q86,"＞","＜"))</f>
        <v/>
      </c>
      <c r="Q86" s="48" t="str">
        <f t="shared" ref="Q86" si="1169">IF(A86="","",I86)</f>
        <v/>
      </c>
      <c r="R86" s="51" t="str">
        <f t="shared" ref="R86" si="1170">IF(A86="","",IF(P86="＞","OK","NG"))</f>
        <v/>
      </c>
      <c r="S86" s="86"/>
      <c r="T86" s="87"/>
      <c r="U86" s="28" t="str">
        <f t="shared" ref="U86" si="1171">IF(S86="","",IF(T86=1,"素焼土管",IF(T86=2,"合成樹脂管",IF(T86=3,"無孔管",""))))</f>
        <v/>
      </c>
      <c r="V86" s="29"/>
      <c r="W86" s="88"/>
      <c r="X86" s="89"/>
      <c r="Y86" s="90"/>
      <c r="Z86" s="41" t="str">
        <f t="shared" ref="Z86" si="1172">IF(S86="","",IF(AND(T87=3,I86=""),Z84+Y86,IF(AND(Z84="",I84=""),I86+Y86,IF(AND(T87=3,I86&gt;0,Z84&gt;0),I86+Z84+Y86,IF(Z84="",I84+I86+X86+Y86,IF(I86="",Z84+X86+Y86,Z84+I86+X86+Y86))))))</f>
        <v/>
      </c>
      <c r="AA86" s="45" t="str">
        <f t="shared" ref="AA86" si="1173">IF(AB86="",""," 1/")</f>
        <v/>
      </c>
      <c r="AB86" s="91"/>
      <c r="AC86" s="30" t="str">
        <f t="shared" ref="AC86" si="1174">IF(S86="","",IF(T86="","",IF(T86=1,0.013,0.012)))</f>
        <v/>
      </c>
      <c r="AD86" s="31" t="str">
        <f t="shared" ref="AD86" si="1175">IF(S86="","",IF(T86="","",(1/AC86*(W86/100/2)^(8/3)*(1/AB86*100)^(1/2)*1.65696)*100))</f>
        <v/>
      </c>
      <c r="AE86" s="31" t="str">
        <f t="shared" ref="AE86" si="1176">IF(S86="","",IF(T86="","",1/AC86*(W86/100/2)^(2/3)*(1/AB86)^(1/2)*0.70541))</f>
        <v/>
      </c>
      <c r="AF86" s="31" t="str">
        <f t="shared" ref="AF86" si="1177">IF(S86="","",IF(T86="","",ROUNDDOWN(AD86/($U$3/8.64),3)))</f>
        <v/>
      </c>
      <c r="AG86" s="32" t="str">
        <f t="shared" ref="AG86" si="1178">IF(S86="","",IF(T86="","",ROUNDDOWN(AF86*10000/$AJ$3,0)))</f>
        <v/>
      </c>
      <c r="AH86" s="33" t="str">
        <f t="shared" ref="AH86" si="1179">IF(S86="","",IF(T86="","",IF(AG86&gt;AI86,"＞","＜")))</f>
        <v/>
      </c>
      <c r="AI86" s="41" t="str">
        <f t="shared" ref="AI86" si="1180">IF(S86="","",Z86)</f>
        <v/>
      </c>
      <c r="AJ86" s="43" t="str">
        <f t="shared" ref="AJ86" si="1181">IF(S86="","",AI86*$AJ$3/10000)</f>
        <v/>
      </c>
      <c r="AK86" s="33" t="str">
        <f t="shared" ref="AK86" si="1182">IF(S86="","",IF(T86="","",IF(AND(T86=1,AE86&gt;1),"NG",IF(AH86="＞","OK","NG"))))</f>
        <v/>
      </c>
    </row>
    <row r="87" spans="1:37" ht="15.75" customHeight="1" x14ac:dyDescent="0.15">
      <c r="A87" s="92"/>
      <c r="B87" s="93"/>
      <c r="C87" s="59"/>
      <c r="D87" s="61"/>
      <c r="E87" s="94"/>
      <c r="F87" s="95"/>
      <c r="G87" s="95"/>
      <c r="H87" s="96"/>
      <c r="I87" s="54"/>
      <c r="J87" s="46"/>
      <c r="K87" s="97"/>
      <c r="L87" s="57"/>
      <c r="M87" s="44"/>
      <c r="N87" s="44"/>
      <c r="O87" s="42"/>
      <c r="P87" s="50"/>
      <c r="Q87" s="42"/>
      <c r="R87" s="52"/>
      <c r="S87" s="98"/>
      <c r="T87" s="99">
        <v>2</v>
      </c>
      <c r="U87" s="34" t="str">
        <f t="shared" ref="U87" si="1183">IF(S86="","",IF(T86=T87,"〃",IF(T87=1,"素焼土管",IF(T87=2,"合成樹脂管",IF(T87=3,"無孔管","")))))</f>
        <v/>
      </c>
      <c r="V87" s="35"/>
      <c r="W87" s="100"/>
      <c r="X87" s="101"/>
      <c r="Y87" s="95"/>
      <c r="Z87" s="42"/>
      <c r="AA87" s="46"/>
      <c r="AB87" s="97"/>
      <c r="AC87" s="36" t="str">
        <f t="shared" ref="AC87" si="1184">IF(S86="","",IF(T87=1,0.013,0.012))</f>
        <v/>
      </c>
      <c r="AD87" s="37" t="str">
        <f t="shared" ref="AD87" si="1185">IF(S86="","",(1/AC87*(W87/100/2)^(8/3)*(1/AB86*100)^(1/2)*1.65696)*100)</f>
        <v/>
      </c>
      <c r="AE87" s="37" t="str">
        <f t="shared" ref="AE87" si="1186">IF(S86="","",1/AC87*(W87/100/2)^(2/3)*(1/AB86)^(1/2)*0.70541)</f>
        <v/>
      </c>
      <c r="AF87" s="37" t="str">
        <f t="shared" ref="AF87" si="1187">IF(S86="","",ROUNDDOWN(AD87/($U$3/8.64),3))</f>
        <v/>
      </c>
      <c r="AG87" s="38" t="str">
        <f t="shared" ref="AG87" si="1188">IF(S86="","",ROUNDDOWN(AF87*10000/$AJ$3,0))</f>
        <v/>
      </c>
      <c r="AH87" s="39" t="str">
        <f t="shared" ref="AH87" si="1189">IF(S86="","",IF(AG87&gt;AI86,"＞",IF(AG87=AI86,"=","＜")))</f>
        <v/>
      </c>
      <c r="AI87" s="42"/>
      <c r="AJ87" s="44"/>
      <c r="AK87" s="39" t="str">
        <f t="shared" ref="AK87" si="1190">IF(S86="","",IF(AND(T87=1,AE87&gt;1),"NG",IF(AH87="＞","OK","NG")))</f>
        <v/>
      </c>
    </row>
    <row r="88" spans="1:37" ht="15.75" customHeight="1" x14ac:dyDescent="0.15">
      <c r="A88" s="80"/>
      <c r="B88" s="81">
        <v>2</v>
      </c>
      <c r="C88" s="58" t="str">
        <f t="shared" ref="C88" si="1191">IF(A88="","",IF(B88=1,"素　焼土　管",IF(B88=2,"合　成樹脂管",IF(B88=3,"無孔管",""))))</f>
        <v/>
      </c>
      <c r="D88" s="60"/>
      <c r="E88" s="82"/>
      <c r="F88" s="83"/>
      <c r="G88" s="83"/>
      <c r="H88" s="84"/>
      <c r="I88" s="53" t="str">
        <f t="shared" ref="I88" si="1192">IF(A88="","",F88-G88+H88)</f>
        <v/>
      </c>
      <c r="J88" s="55" t="str">
        <f t="shared" ref="J88" si="1193">IF(A88="",""," 1/")</f>
        <v/>
      </c>
      <c r="K88" s="85"/>
      <c r="L88" s="56" t="str">
        <f t="shared" ref="L88" si="1194">IF(A88="","",IF(B88=1,0.013,0.012))</f>
        <v/>
      </c>
      <c r="M88" s="47" t="str">
        <f t="shared" ref="M88" si="1195">IF(A88="","",(1/L88*(E88/100/2)^(8/3)*(1/K88*100)^(1/2)*1.65696)*100)</f>
        <v/>
      </c>
      <c r="N88" s="47" t="str">
        <f t="shared" ref="N88" si="1196">IF(A88="","",1/L88*(E88/100/2)^(2/3)*(1/K88)^(1/2)*0.70541)</f>
        <v/>
      </c>
      <c r="O88" s="48" t="str">
        <f t="shared" ref="O88" si="1197">IF(A88="","",ROUNDDOWN(M88/($U$3/8.64)*10000/$AJ$3,0))</f>
        <v/>
      </c>
      <c r="P88" s="49" t="str">
        <f t="shared" ref="P88" si="1198">IF(A88="","",IF(O88&gt;Q88,"＞","＜"))</f>
        <v/>
      </c>
      <c r="Q88" s="48" t="str">
        <f t="shared" ref="Q88" si="1199">IF(A88="","",I88)</f>
        <v/>
      </c>
      <c r="R88" s="51" t="str">
        <f t="shared" ref="R88" si="1200">IF(A88="","",IF(P88="＞","OK","NG"))</f>
        <v/>
      </c>
      <c r="S88" s="86"/>
      <c r="T88" s="87"/>
      <c r="U88" s="28" t="str">
        <f t="shared" ref="U88" si="1201">IF(S88="","",IF(T88=1,"素焼土管",IF(T88=2,"合成樹脂管",IF(T88=3,"無孔管",""))))</f>
        <v/>
      </c>
      <c r="V88" s="29"/>
      <c r="W88" s="88"/>
      <c r="X88" s="89"/>
      <c r="Y88" s="90"/>
      <c r="Z88" s="41" t="str">
        <f t="shared" ref="Z88" si="1202">IF(S88="","",IF(AND(T89=3,I88=""),Z86+Y88,IF(AND(Z86="",I86=""),I88+Y88,IF(AND(T89=3,I88&gt;0,Z86&gt;0),I88+Z86+Y88,IF(Z86="",I86+I88+X88+Y88,IF(I88="",Z86+X88+Y88,Z86+I88+X88+Y88))))))</f>
        <v/>
      </c>
      <c r="AA88" s="45" t="str">
        <f t="shared" ref="AA88" si="1203">IF(AB88="",""," 1/")</f>
        <v/>
      </c>
      <c r="AB88" s="91"/>
      <c r="AC88" s="30" t="str">
        <f t="shared" ref="AC88" si="1204">IF(S88="","",IF(T88="","",IF(T88=1,0.013,0.012)))</f>
        <v/>
      </c>
      <c r="AD88" s="31" t="str">
        <f t="shared" ref="AD88" si="1205">IF(S88="","",IF(T88="","",(1/AC88*(W88/100/2)^(8/3)*(1/AB88*100)^(1/2)*1.65696)*100))</f>
        <v/>
      </c>
      <c r="AE88" s="31" t="str">
        <f t="shared" ref="AE88" si="1206">IF(S88="","",IF(T88="","",1/AC88*(W88/100/2)^(2/3)*(1/AB88)^(1/2)*0.70541))</f>
        <v/>
      </c>
      <c r="AF88" s="31" t="str">
        <f t="shared" ref="AF88" si="1207">IF(S88="","",IF(T88="","",ROUNDDOWN(AD88/($U$3/8.64),3)))</f>
        <v/>
      </c>
      <c r="AG88" s="32" t="str">
        <f t="shared" ref="AG88" si="1208">IF(S88="","",IF(T88="","",ROUNDDOWN(AF88*10000/$AJ$3,0)))</f>
        <v/>
      </c>
      <c r="AH88" s="33" t="str">
        <f t="shared" ref="AH88" si="1209">IF(S88="","",IF(T88="","",IF(AG88&gt;AI88,"＞","＜")))</f>
        <v/>
      </c>
      <c r="AI88" s="41" t="str">
        <f t="shared" ref="AI88" si="1210">IF(S88="","",Z88)</f>
        <v/>
      </c>
      <c r="AJ88" s="43" t="str">
        <f t="shared" ref="AJ88" si="1211">IF(S88="","",AI88*$AJ$3/10000)</f>
        <v/>
      </c>
      <c r="AK88" s="33" t="str">
        <f t="shared" ref="AK88" si="1212">IF(S88="","",IF(T88="","",IF(AND(T88=1,AE88&gt;1),"NG",IF(AH88="＞","OK","NG"))))</f>
        <v/>
      </c>
    </row>
    <row r="89" spans="1:37" ht="15.75" customHeight="1" x14ac:dyDescent="0.15">
      <c r="A89" s="92"/>
      <c r="B89" s="93"/>
      <c r="C89" s="59"/>
      <c r="D89" s="61"/>
      <c r="E89" s="94"/>
      <c r="F89" s="95"/>
      <c r="G89" s="95"/>
      <c r="H89" s="96"/>
      <c r="I89" s="54"/>
      <c r="J89" s="46"/>
      <c r="K89" s="97"/>
      <c r="L89" s="57"/>
      <c r="M89" s="44"/>
      <c r="N89" s="44"/>
      <c r="O89" s="42"/>
      <c r="P89" s="50"/>
      <c r="Q89" s="42"/>
      <c r="R89" s="52"/>
      <c r="S89" s="98"/>
      <c r="T89" s="99">
        <v>2</v>
      </c>
      <c r="U89" s="34" t="str">
        <f t="shared" ref="U89" si="1213">IF(S88="","",IF(T88=T89,"〃",IF(T89=1,"素焼土管",IF(T89=2,"合成樹脂管",IF(T89=3,"無孔管","")))))</f>
        <v/>
      </c>
      <c r="V89" s="35"/>
      <c r="W89" s="100"/>
      <c r="X89" s="101"/>
      <c r="Y89" s="95"/>
      <c r="Z89" s="42"/>
      <c r="AA89" s="46"/>
      <c r="AB89" s="97"/>
      <c r="AC89" s="36" t="str">
        <f t="shared" ref="AC89" si="1214">IF(S88="","",IF(T89=1,0.013,0.012))</f>
        <v/>
      </c>
      <c r="AD89" s="37" t="str">
        <f t="shared" ref="AD89" si="1215">IF(S88="","",(1/AC89*(W89/100/2)^(8/3)*(1/AB88*100)^(1/2)*1.65696)*100)</f>
        <v/>
      </c>
      <c r="AE89" s="37" t="str">
        <f t="shared" ref="AE89" si="1216">IF(S88="","",1/AC89*(W89/100/2)^(2/3)*(1/AB88)^(1/2)*0.70541)</f>
        <v/>
      </c>
      <c r="AF89" s="37" t="str">
        <f t="shared" ref="AF89" si="1217">IF(S88="","",ROUNDDOWN(AD89/($U$3/8.64),3))</f>
        <v/>
      </c>
      <c r="AG89" s="38" t="str">
        <f t="shared" ref="AG89" si="1218">IF(S88="","",ROUNDDOWN(AF89*10000/$AJ$3,0))</f>
        <v/>
      </c>
      <c r="AH89" s="39" t="str">
        <f t="shared" ref="AH89" si="1219">IF(S88="","",IF(AG89&gt;AI88,"＞",IF(AG89=AI88,"=","＜")))</f>
        <v/>
      </c>
      <c r="AI89" s="42"/>
      <c r="AJ89" s="44"/>
      <c r="AK89" s="39" t="str">
        <f t="shared" ref="AK89" si="1220">IF(S88="","",IF(AND(T89=1,AE89&gt;1),"NG",IF(AH89="＞","OK","NG")))</f>
        <v/>
      </c>
    </row>
    <row r="90" spans="1:37" ht="15.75" customHeight="1" x14ac:dyDescent="0.15">
      <c r="A90" s="80"/>
      <c r="B90" s="81">
        <v>2</v>
      </c>
      <c r="C90" s="58" t="str">
        <f t="shared" ref="C90" si="1221">IF(A90="","",IF(B90=1,"素　焼土　管",IF(B90=2,"合　成樹脂管",IF(B90=3,"無孔管",""))))</f>
        <v/>
      </c>
      <c r="D90" s="60"/>
      <c r="E90" s="82"/>
      <c r="F90" s="83"/>
      <c r="G90" s="83"/>
      <c r="H90" s="84"/>
      <c r="I90" s="53" t="str">
        <f t="shared" ref="I90" si="1222">IF(A90="","",F90-G90+H90)</f>
        <v/>
      </c>
      <c r="J90" s="55" t="str">
        <f t="shared" ref="J90" si="1223">IF(A90="",""," 1/")</f>
        <v/>
      </c>
      <c r="K90" s="85"/>
      <c r="L90" s="56" t="str">
        <f t="shared" ref="L90" si="1224">IF(A90="","",IF(B90=1,0.013,0.012))</f>
        <v/>
      </c>
      <c r="M90" s="47" t="str">
        <f t="shared" ref="M90" si="1225">IF(A90="","",(1/L90*(E90/100/2)^(8/3)*(1/K90*100)^(1/2)*1.65696)*100)</f>
        <v/>
      </c>
      <c r="N90" s="47" t="str">
        <f t="shared" ref="N90" si="1226">IF(A90="","",1/L90*(E90/100/2)^(2/3)*(1/K90)^(1/2)*0.70541)</f>
        <v/>
      </c>
      <c r="O90" s="48" t="str">
        <f t="shared" ref="O90" si="1227">IF(A90="","",ROUNDDOWN(M90/($U$3/8.64)*10000/$AJ$3,0))</f>
        <v/>
      </c>
      <c r="P90" s="49" t="str">
        <f t="shared" ref="P90" si="1228">IF(A90="","",IF(O90&gt;Q90,"＞","＜"))</f>
        <v/>
      </c>
      <c r="Q90" s="48" t="str">
        <f t="shared" ref="Q90" si="1229">IF(A90="","",I90)</f>
        <v/>
      </c>
      <c r="R90" s="51" t="str">
        <f t="shared" ref="R90" si="1230">IF(A90="","",IF(P90="＞","OK","NG"))</f>
        <v/>
      </c>
      <c r="S90" s="86"/>
      <c r="T90" s="87"/>
      <c r="U90" s="28" t="str">
        <f t="shared" ref="U90" si="1231">IF(S90="","",IF(T90=1,"素焼土管",IF(T90=2,"合成樹脂管",IF(T90=3,"無孔管",""))))</f>
        <v/>
      </c>
      <c r="V90" s="29"/>
      <c r="W90" s="88"/>
      <c r="X90" s="89"/>
      <c r="Y90" s="90"/>
      <c r="Z90" s="41" t="str">
        <f t="shared" ref="Z90" si="1232">IF(S90="","",IF(AND(T91=3,I90=""),Z88+Y90,IF(AND(Z88="",I88=""),I90+Y90,IF(AND(T91=3,I90&gt;0,Z88&gt;0),I90+Z88+Y90,IF(Z88="",I88+I90+X90+Y90,IF(I90="",Z88+X90+Y90,Z88+I90+X90+Y90))))))</f>
        <v/>
      </c>
      <c r="AA90" s="45" t="str">
        <f t="shared" ref="AA90" si="1233">IF(AB90="",""," 1/")</f>
        <v/>
      </c>
      <c r="AB90" s="91"/>
      <c r="AC90" s="30" t="str">
        <f t="shared" ref="AC90" si="1234">IF(S90="","",IF(T90="","",IF(T90=1,0.013,0.012)))</f>
        <v/>
      </c>
      <c r="AD90" s="31" t="str">
        <f t="shared" ref="AD90" si="1235">IF(S90="","",IF(T90="","",(1/AC90*(W90/100/2)^(8/3)*(1/AB90*100)^(1/2)*1.65696)*100))</f>
        <v/>
      </c>
      <c r="AE90" s="31" t="str">
        <f t="shared" ref="AE90" si="1236">IF(S90="","",IF(T90="","",1/AC90*(W90/100/2)^(2/3)*(1/AB90)^(1/2)*0.70541))</f>
        <v/>
      </c>
      <c r="AF90" s="31" t="str">
        <f t="shared" ref="AF90" si="1237">IF(S90="","",IF(T90="","",ROUNDDOWN(AD90/($U$3/8.64),3)))</f>
        <v/>
      </c>
      <c r="AG90" s="32" t="str">
        <f t="shared" ref="AG90" si="1238">IF(S90="","",IF(T90="","",ROUNDDOWN(AF90*10000/$AJ$3,0)))</f>
        <v/>
      </c>
      <c r="AH90" s="33" t="str">
        <f t="shared" ref="AH90" si="1239">IF(S90="","",IF(T90="","",IF(AG90&gt;AI90,"＞","＜")))</f>
        <v/>
      </c>
      <c r="AI90" s="41" t="str">
        <f t="shared" ref="AI90" si="1240">IF(S90="","",Z90)</f>
        <v/>
      </c>
      <c r="AJ90" s="43" t="str">
        <f t="shared" ref="AJ90" si="1241">IF(S90="","",AI90*$AJ$3/10000)</f>
        <v/>
      </c>
      <c r="AK90" s="33" t="str">
        <f t="shared" ref="AK90" si="1242">IF(S90="","",IF(T90="","",IF(AND(T90=1,AE90&gt;1),"NG",IF(AH90="＞","OK","NG"))))</f>
        <v/>
      </c>
    </row>
    <row r="91" spans="1:37" ht="15.75" customHeight="1" x14ac:dyDescent="0.15">
      <c r="A91" s="92"/>
      <c r="B91" s="93"/>
      <c r="C91" s="59"/>
      <c r="D91" s="61"/>
      <c r="E91" s="94"/>
      <c r="F91" s="95"/>
      <c r="G91" s="95"/>
      <c r="H91" s="96"/>
      <c r="I91" s="54"/>
      <c r="J91" s="46"/>
      <c r="K91" s="97"/>
      <c r="L91" s="57"/>
      <c r="M91" s="44"/>
      <c r="N91" s="44"/>
      <c r="O91" s="42"/>
      <c r="P91" s="50"/>
      <c r="Q91" s="42"/>
      <c r="R91" s="52"/>
      <c r="S91" s="98"/>
      <c r="T91" s="99">
        <v>2</v>
      </c>
      <c r="U91" s="34" t="str">
        <f t="shared" ref="U91" si="1243">IF(S90="","",IF(T90=T91,"〃",IF(T91=1,"素焼土管",IF(T91=2,"合成樹脂管",IF(T91=3,"無孔管","")))))</f>
        <v/>
      </c>
      <c r="V91" s="35"/>
      <c r="W91" s="100"/>
      <c r="X91" s="101"/>
      <c r="Y91" s="95"/>
      <c r="Z91" s="42"/>
      <c r="AA91" s="46"/>
      <c r="AB91" s="97"/>
      <c r="AC91" s="36" t="str">
        <f t="shared" ref="AC91" si="1244">IF(S90="","",IF(T91=1,0.013,0.012))</f>
        <v/>
      </c>
      <c r="AD91" s="37" t="str">
        <f t="shared" ref="AD91" si="1245">IF(S90="","",(1/AC91*(W91/100/2)^(8/3)*(1/AB90*100)^(1/2)*1.65696)*100)</f>
        <v/>
      </c>
      <c r="AE91" s="37" t="str">
        <f t="shared" ref="AE91" si="1246">IF(S90="","",1/AC91*(W91/100/2)^(2/3)*(1/AB90)^(1/2)*0.70541)</f>
        <v/>
      </c>
      <c r="AF91" s="37" t="str">
        <f t="shared" ref="AF91" si="1247">IF(S90="","",ROUNDDOWN(AD91/($U$3/8.64),3))</f>
        <v/>
      </c>
      <c r="AG91" s="38" t="str">
        <f t="shared" ref="AG91" si="1248">IF(S90="","",ROUNDDOWN(AF91*10000/$AJ$3,0))</f>
        <v/>
      </c>
      <c r="AH91" s="39" t="str">
        <f t="shared" ref="AH91" si="1249">IF(S90="","",IF(AG91&gt;AI90,"＞",IF(AG91=AI90,"=","＜")))</f>
        <v/>
      </c>
      <c r="AI91" s="42"/>
      <c r="AJ91" s="44"/>
      <c r="AK91" s="39" t="str">
        <f t="shared" ref="AK91" si="1250">IF(S90="","",IF(AND(T91=1,AE91&gt;1),"NG",IF(AH91="＞","OK","NG")))</f>
        <v/>
      </c>
    </row>
    <row r="92" spans="1:37" ht="15.75" customHeight="1" x14ac:dyDescent="0.15">
      <c r="A92" s="80"/>
      <c r="B92" s="81">
        <v>2</v>
      </c>
      <c r="C92" s="58" t="str">
        <f t="shared" ref="C92" si="1251">IF(A92="","",IF(B92=1,"素　焼土　管",IF(B92=2,"合　成樹脂管",IF(B92=3,"無孔管",""))))</f>
        <v/>
      </c>
      <c r="D92" s="60"/>
      <c r="E92" s="82"/>
      <c r="F92" s="83"/>
      <c r="G92" s="83"/>
      <c r="H92" s="84"/>
      <c r="I92" s="53" t="str">
        <f t="shared" ref="I92" si="1252">IF(A92="","",F92-G92+H92)</f>
        <v/>
      </c>
      <c r="J92" s="55" t="str">
        <f t="shared" ref="J92" si="1253">IF(A92="",""," 1/")</f>
        <v/>
      </c>
      <c r="K92" s="85"/>
      <c r="L92" s="56" t="str">
        <f t="shared" ref="L92" si="1254">IF(A92="","",IF(B92=1,0.013,0.012))</f>
        <v/>
      </c>
      <c r="M92" s="47" t="str">
        <f t="shared" ref="M92" si="1255">IF(A92="","",(1/L92*(E92/100/2)^(8/3)*(1/K92*100)^(1/2)*1.65696)*100)</f>
        <v/>
      </c>
      <c r="N92" s="47" t="str">
        <f t="shared" ref="N92" si="1256">IF(A92="","",1/L92*(E92/100/2)^(2/3)*(1/K92)^(1/2)*0.70541)</f>
        <v/>
      </c>
      <c r="O92" s="48" t="str">
        <f t="shared" ref="O92" si="1257">IF(A92="","",ROUNDDOWN(M92/($U$3/8.64)*10000/$AJ$3,0))</f>
        <v/>
      </c>
      <c r="P92" s="49" t="str">
        <f t="shared" ref="P92" si="1258">IF(A92="","",IF(O92&gt;Q92,"＞","＜"))</f>
        <v/>
      </c>
      <c r="Q92" s="48" t="str">
        <f t="shared" ref="Q92" si="1259">IF(A92="","",I92)</f>
        <v/>
      </c>
      <c r="R92" s="51" t="str">
        <f t="shared" ref="R92" si="1260">IF(A92="","",IF(P92="＞","OK","NG"))</f>
        <v/>
      </c>
      <c r="S92" s="86"/>
      <c r="T92" s="87"/>
      <c r="U92" s="28" t="str">
        <f t="shared" ref="U92" si="1261">IF(S92="","",IF(T92=1,"素焼土管",IF(T92=2,"合成樹脂管",IF(T92=3,"無孔管",""))))</f>
        <v/>
      </c>
      <c r="V92" s="29"/>
      <c r="W92" s="88"/>
      <c r="X92" s="89"/>
      <c r="Y92" s="90"/>
      <c r="Z92" s="41" t="str">
        <f t="shared" ref="Z92" si="1262">IF(S92="","",IF(AND(T93=3,I92=""),Z90+Y92,IF(AND(Z90="",I90=""),I92+Y92,IF(AND(T93=3,I92&gt;0,Z90&gt;0),I92+Z90+Y92,IF(Z90="",I90+I92+X92+Y92,IF(I92="",Z90+X92+Y92,Z90+I92+X92+Y92))))))</f>
        <v/>
      </c>
      <c r="AA92" s="45" t="str">
        <f t="shared" ref="AA92" si="1263">IF(AB92="",""," 1/")</f>
        <v/>
      </c>
      <c r="AB92" s="91"/>
      <c r="AC92" s="30" t="str">
        <f t="shared" ref="AC92" si="1264">IF(S92="","",IF(T92="","",IF(T92=1,0.013,0.012)))</f>
        <v/>
      </c>
      <c r="AD92" s="31" t="str">
        <f t="shared" ref="AD92" si="1265">IF(S92="","",IF(T92="","",(1/AC92*(W92/100/2)^(8/3)*(1/AB92*100)^(1/2)*1.65696)*100))</f>
        <v/>
      </c>
      <c r="AE92" s="31" t="str">
        <f t="shared" ref="AE92" si="1266">IF(S92="","",IF(T92="","",1/AC92*(W92/100/2)^(2/3)*(1/AB92)^(1/2)*0.70541))</f>
        <v/>
      </c>
      <c r="AF92" s="31" t="str">
        <f t="shared" ref="AF92" si="1267">IF(S92="","",IF(T92="","",ROUNDDOWN(AD92/($U$3/8.64),3)))</f>
        <v/>
      </c>
      <c r="AG92" s="32" t="str">
        <f t="shared" ref="AG92" si="1268">IF(S92="","",IF(T92="","",ROUNDDOWN(AF92*10000/$AJ$3,0)))</f>
        <v/>
      </c>
      <c r="AH92" s="33" t="str">
        <f t="shared" ref="AH92" si="1269">IF(S92="","",IF(T92="","",IF(AG92&gt;AI92,"＞","＜")))</f>
        <v/>
      </c>
      <c r="AI92" s="41" t="str">
        <f t="shared" ref="AI92" si="1270">IF(S92="","",Z92)</f>
        <v/>
      </c>
      <c r="AJ92" s="43" t="str">
        <f t="shared" ref="AJ92" si="1271">IF(S92="","",AI92*$AJ$3/10000)</f>
        <v/>
      </c>
      <c r="AK92" s="33" t="str">
        <f t="shared" ref="AK92" si="1272">IF(S92="","",IF(T92="","",IF(AND(T92=1,AE92&gt;1),"NG",IF(AH92="＞","OK","NG"))))</f>
        <v/>
      </c>
    </row>
    <row r="93" spans="1:37" ht="15.75" customHeight="1" x14ac:dyDescent="0.15">
      <c r="A93" s="92"/>
      <c r="B93" s="93"/>
      <c r="C93" s="59"/>
      <c r="D93" s="61"/>
      <c r="E93" s="94"/>
      <c r="F93" s="95"/>
      <c r="G93" s="95"/>
      <c r="H93" s="96"/>
      <c r="I93" s="54"/>
      <c r="J93" s="46"/>
      <c r="K93" s="97"/>
      <c r="L93" s="57"/>
      <c r="M93" s="44"/>
      <c r="N93" s="44"/>
      <c r="O93" s="42"/>
      <c r="P93" s="50"/>
      <c r="Q93" s="42"/>
      <c r="R93" s="52"/>
      <c r="S93" s="98"/>
      <c r="T93" s="99">
        <v>2</v>
      </c>
      <c r="U93" s="34" t="str">
        <f t="shared" ref="U93" si="1273">IF(S92="","",IF(T92=T93,"〃",IF(T93=1,"素焼土管",IF(T93=2,"合成樹脂管",IF(T93=3,"無孔管","")))))</f>
        <v/>
      </c>
      <c r="V93" s="35"/>
      <c r="W93" s="100"/>
      <c r="X93" s="101"/>
      <c r="Y93" s="95"/>
      <c r="Z93" s="42"/>
      <c r="AA93" s="46"/>
      <c r="AB93" s="97"/>
      <c r="AC93" s="36" t="str">
        <f t="shared" ref="AC93" si="1274">IF(S92="","",IF(T93=1,0.013,0.012))</f>
        <v/>
      </c>
      <c r="AD93" s="37" t="str">
        <f t="shared" ref="AD93" si="1275">IF(S92="","",(1/AC93*(W93/100/2)^(8/3)*(1/AB92*100)^(1/2)*1.65696)*100)</f>
        <v/>
      </c>
      <c r="AE93" s="37" t="str">
        <f t="shared" ref="AE93" si="1276">IF(S92="","",1/AC93*(W93/100/2)^(2/3)*(1/AB92)^(1/2)*0.70541)</f>
        <v/>
      </c>
      <c r="AF93" s="37" t="str">
        <f t="shared" ref="AF93" si="1277">IF(S92="","",ROUNDDOWN(AD93/($U$3/8.64),3))</f>
        <v/>
      </c>
      <c r="AG93" s="38" t="str">
        <f t="shared" ref="AG93" si="1278">IF(S92="","",ROUNDDOWN(AF93*10000/$AJ$3,0))</f>
        <v/>
      </c>
      <c r="AH93" s="39" t="str">
        <f t="shared" ref="AH93" si="1279">IF(S92="","",IF(AG93&gt;AI92,"＞",IF(AG93=AI92,"=","＜")))</f>
        <v/>
      </c>
      <c r="AI93" s="42"/>
      <c r="AJ93" s="44"/>
      <c r="AK93" s="39" t="str">
        <f t="shared" ref="AK93" si="1280">IF(S92="","",IF(AND(T93=1,AE93&gt;1),"NG",IF(AH93="＞","OK","NG")))</f>
        <v/>
      </c>
    </row>
    <row r="94" spans="1:37" ht="15.75" customHeight="1" x14ac:dyDescent="0.15">
      <c r="A94" s="80"/>
      <c r="B94" s="81">
        <v>2</v>
      </c>
      <c r="C94" s="58" t="str">
        <f t="shared" ref="C94" si="1281">IF(A94="","",IF(B94=1,"素　焼土　管",IF(B94=2,"合　成樹脂管",IF(B94=3,"無孔管",""))))</f>
        <v/>
      </c>
      <c r="D94" s="60"/>
      <c r="E94" s="82"/>
      <c r="F94" s="83"/>
      <c r="G94" s="83"/>
      <c r="H94" s="84"/>
      <c r="I94" s="53" t="str">
        <f t="shared" ref="I94" si="1282">IF(A94="","",F94-G94+H94)</f>
        <v/>
      </c>
      <c r="J94" s="55" t="str">
        <f t="shared" ref="J94" si="1283">IF(A94="",""," 1/")</f>
        <v/>
      </c>
      <c r="K94" s="85"/>
      <c r="L94" s="56" t="str">
        <f t="shared" ref="L94" si="1284">IF(A94="","",IF(B94=1,0.013,0.012))</f>
        <v/>
      </c>
      <c r="M94" s="47" t="str">
        <f t="shared" ref="M94" si="1285">IF(A94="","",(1/L94*(E94/100/2)^(8/3)*(1/K94*100)^(1/2)*1.65696)*100)</f>
        <v/>
      </c>
      <c r="N94" s="47" t="str">
        <f t="shared" ref="N94" si="1286">IF(A94="","",1/L94*(E94/100/2)^(2/3)*(1/K94)^(1/2)*0.70541)</f>
        <v/>
      </c>
      <c r="O94" s="48" t="str">
        <f t="shared" ref="O94" si="1287">IF(A94="","",ROUNDDOWN(M94/($U$3/8.64)*10000/$AJ$3,0))</f>
        <v/>
      </c>
      <c r="P94" s="49" t="str">
        <f t="shared" ref="P94" si="1288">IF(A94="","",IF(O94&gt;Q94,"＞","＜"))</f>
        <v/>
      </c>
      <c r="Q94" s="48" t="str">
        <f t="shared" ref="Q94" si="1289">IF(A94="","",I94)</f>
        <v/>
      </c>
      <c r="R94" s="51" t="str">
        <f t="shared" ref="R94" si="1290">IF(A94="","",IF(P94="＞","OK","NG"))</f>
        <v/>
      </c>
      <c r="S94" s="86"/>
      <c r="T94" s="87"/>
      <c r="U94" s="28" t="str">
        <f t="shared" ref="U94" si="1291">IF(S94="","",IF(T94=1,"素焼土管",IF(T94=2,"合成樹脂管",IF(T94=3,"無孔管",""))))</f>
        <v/>
      </c>
      <c r="V94" s="29"/>
      <c r="W94" s="88"/>
      <c r="X94" s="89"/>
      <c r="Y94" s="90"/>
      <c r="Z94" s="41" t="str">
        <f t="shared" ref="Z94" si="1292">IF(S94="","",IF(AND(T95=3,I94=""),Z92+Y94,IF(AND(Z92="",I92=""),I94+Y94,IF(AND(T95=3,I94&gt;0,Z92&gt;0),I94+Z92+Y94,IF(Z92="",I92+I94+X94+Y94,IF(I94="",Z92+X94+Y94,Z92+I94+X94+Y94))))))</f>
        <v/>
      </c>
      <c r="AA94" s="45" t="str">
        <f t="shared" ref="AA94" si="1293">IF(AB94="",""," 1/")</f>
        <v/>
      </c>
      <c r="AB94" s="91"/>
      <c r="AC94" s="30" t="str">
        <f t="shared" ref="AC94" si="1294">IF(S94="","",IF(T94="","",IF(T94=1,0.013,0.012)))</f>
        <v/>
      </c>
      <c r="AD94" s="31" t="str">
        <f t="shared" ref="AD94" si="1295">IF(S94="","",IF(T94="","",(1/AC94*(W94/100/2)^(8/3)*(1/AB94*100)^(1/2)*1.65696)*100))</f>
        <v/>
      </c>
      <c r="AE94" s="31" t="str">
        <f t="shared" ref="AE94" si="1296">IF(S94="","",IF(T94="","",1/AC94*(W94/100/2)^(2/3)*(1/AB94)^(1/2)*0.70541))</f>
        <v/>
      </c>
      <c r="AF94" s="31" t="str">
        <f t="shared" ref="AF94" si="1297">IF(S94="","",IF(T94="","",ROUNDDOWN(AD94/($U$3/8.64),3)))</f>
        <v/>
      </c>
      <c r="AG94" s="32" t="str">
        <f t="shared" ref="AG94" si="1298">IF(S94="","",IF(T94="","",ROUNDDOWN(AF94*10000/$AJ$3,0)))</f>
        <v/>
      </c>
      <c r="AH94" s="33" t="str">
        <f t="shared" ref="AH94" si="1299">IF(S94="","",IF(T94="","",IF(AG94&gt;AI94,"＞","＜")))</f>
        <v/>
      </c>
      <c r="AI94" s="41" t="str">
        <f t="shared" ref="AI94" si="1300">IF(S94="","",Z94)</f>
        <v/>
      </c>
      <c r="AJ94" s="43" t="str">
        <f t="shared" ref="AJ94" si="1301">IF(S94="","",AI94*$AJ$3/10000)</f>
        <v/>
      </c>
      <c r="AK94" s="33" t="str">
        <f t="shared" ref="AK94" si="1302">IF(S94="","",IF(T94="","",IF(AND(T94=1,AE94&gt;1),"NG",IF(AH94="＞","OK","NG"))))</f>
        <v/>
      </c>
    </row>
    <row r="95" spans="1:37" ht="15.75" customHeight="1" x14ac:dyDescent="0.15">
      <c r="A95" s="92"/>
      <c r="B95" s="93"/>
      <c r="C95" s="59"/>
      <c r="D95" s="61"/>
      <c r="E95" s="94"/>
      <c r="F95" s="95"/>
      <c r="G95" s="95"/>
      <c r="H95" s="96"/>
      <c r="I95" s="54"/>
      <c r="J95" s="46"/>
      <c r="K95" s="97"/>
      <c r="L95" s="57"/>
      <c r="M95" s="44"/>
      <c r="N95" s="44"/>
      <c r="O95" s="42"/>
      <c r="P95" s="50"/>
      <c r="Q95" s="42"/>
      <c r="R95" s="52"/>
      <c r="S95" s="98"/>
      <c r="T95" s="99">
        <v>2</v>
      </c>
      <c r="U95" s="34" t="str">
        <f t="shared" ref="U95" si="1303">IF(S94="","",IF(T94=T95,"〃",IF(T95=1,"素焼土管",IF(T95=2,"合成樹脂管",IF(T95=3,"無孔管","")))))</f>
        <v/>
      </c>
      <c r="V95" s="35"/>
      <c r="W95" s="100"/>
      <c r="X95" s="101"/>
      <c r="Y95" s="95"/>
      <c r="Z95" s="42"/>
      <c r="AA95" s="46"/>
      <c r="AB95" s="97"/>
      <c r="AC95" s="36" t="str">
        <f t="shared" ref="AC95" si="1304">IF(S94="","",IF(T95=1,0.013,0.012))</f>
        <v/>
      </c>
      <c r="AD95" s="37" t="str">
        <f t="shared" ref="AD95" si="1305">IF(S94="","",(1/AC95*(W95/100/2)^(8/3)*(1/AB94*100)^(1/2)*1.65696)*100)</f>
        <v/>
      </c>
      <c r="AE95" s="37" t="str">
        <f t="shared" ref="AE95" si="1306">IF(S94="","",1/AC95*(W95/100/2)^(2/3)*(1/AB94)^(1/2)*0.70541)</f>
        <v/>
      </c>
      <c r="AF95" s="37" t="str">
        <f t="shared" ref="AF95" si="1307">IF(S94="","",ROUNDDOWN(AD95/($U$3/8.64),3))</f>
        <v/>
      </c>
      <c r="AG95" s="38" t="str">
        <f t="shared" ref="AG95" si="1308">IF(S94="","",ROUNDDOWN(AF95*10000/$AJ$3,0))</f>
        <v/>
      </c>
      <c r="AH95" s="39" t="str">
        <f t="shared" ref="AH95" si="1309">IF(S94="","",IF(AG95&gt;AI94,"＞",IF(AG95=AI94,"=","＜")))</f>
        <v/>
      </c>
      <c r="AI95" s="42"/>
      <c r="AJ95" s="44"/>
      <c r="AK95" s="39" t="str">
        <f t="shared" ref="AK95" si="1310">IF(S94="","",IF(AND(T95=1,AE95&gt;1),"NG",IF(AH95="＞","OK","NG")))</f>
        <v/>
      </c>
    </row>
    <row r="96" spans="1:37" ht="15.75" customHeight="1" x14ac:dyDescent="0.15">
      <c r="A96" s="80"/>
      <c r="B96" s="81">
        <v>2</v>
      </c>
      <c r="C96" s="58" t="str">
        <f t="shared" ref="C96" si="1311">IF(A96="","",IF(B96=1,"素　焼土　管",IF(B96=2,"合　成樹脂管",IF(B96=3,"無孔管",""))))</f>
        <v/>
      </c>
      <c r="D96" s="60"/>
      <c r="E96" s="82"/>
      <c r="F96" s="83"/>
      <c r="G96" s="83"/>
      <c r="H96" s="84"/>
      <c r="I96" s="53" t="str">
        <f t="shared" ref="I96" si="1312">IF(A96="","",F96-G96+H96)</f>
        <v/>
      </c>
      <c r="J96" s="55" t="str">
        <f t="shared" ref="J96" si="1313">IF(A96="",""," 1/")</f>
        <v/>
      </c>
      <c r="K96" s="85"/>
      <c r="L96" s="56" t="str">
        <f t="shared" ref="L96" si="1314">IF(A96="","",IF(B96=1,0.013,0.012))</f>
        <v/>
      </c>
      <c r="M96" s="47" t="str">
        <f t="shared" ref="M96" si="1315">IF(A96="","",(1/L96*(E96/100/2)^(8/3)*(1/K96*100)^(1/2)*1.65696)*100)</f>
        <v/>
      </c>
      <c r="N96" s="47" t="str">
        <f t="shared" ref="N96" si="1316">IF(A96="","",1/L96*(E96/100/2)^(2/3)*(1/K96)^(1/2)*0.70541)</f>
        <v/>
      </c>
      <c r="O96" s="48" t="str">
        <f t="shared" ref="O96" si="1317">IF(A96="","",ROUNDDOWN(M96/($U$3/8.64)*10000/$AJ$3,0))</f>
        <v/>
      </c>
      <c r="P96" s="49" t="str">
        <f t="shared" ref="P96" si="1318">IF(A96="","",IF(O96&gt;Q96,"＞","＜"))</f>
        <v/>
      </c>
      <c r="Q96" s="48" t="str">
        <f t="shared" ref="Q96" si="1319">IF(A96="","",I96)</f>
        <v/>
      </c>
      <c r="R96" s="51" t="str">
        <f t="shared" ref="R96" si="1320">IF(A96="","",IF(P96="＞","OK","NG"))</f>
        <v/>
      </c>
      <c r="S96" s="86"/>
      <c r="T96" s="87"/>
      <c r="U96" s="28" t="str">
        <f t="shared" ref="U96" si="1321">IF(S96="","",IF(T96=1,"素焼土管",IF(T96=2,"合成樹脂管",IF(T96=3,"無孔管",""))))</f>
        <v/>
      </c>
      <c r="V96" s="29"/>
      <c r="W96" s="88"/>
      <c r="X96" s="89"/>
      <c r="Y96" s="90"/>
      <c r="Z96" s="41" t="str">
        <f t="shared" ref="Z96" si="1322">IF(S96="","",IF(AND(T97=3,I96=""),Z94+Y96,IF(AND(Z94="",I94=""),I96+Y96,IF(AND(T97=3,I96&gt;0,Z94&gt;0),I96+Z94+Y96,IF(Z94="",I94+I96+X96+Y96,IF(I96="",Z94+X96+Y96,Z94+I96+X96+Y96))))))</f>
        <v/>
      </c>
      <c r="AA96" s="45" t="str">
        <f t="shared" ref="AA96" si="1323">IF(AB96="",""," 1/")</f>
        <v/>
      </c>
      <c r="AB96" s="91"/>
      <c r="AC96" s="30" t="str">
        <f t="shared" ref="AC96" si="1324">IF(S96="","",IF(T96="","",IF(T96=1,0.013,0.012)))</f>
        <v/>
      </c>
      <c r="AD96" s="31" t="str">
        <f t="shared" ref="AD96" si="1325">IF(S96="","",IF(T96="","",(1/AC96*(W96/100/2)^(8/3)*(1/AB96*100)^(1/2)*1.65696)*100))</f>
        <v/>
      </c>
      <c r="AE96" s="31" t="str">
        <f t="shared" ref="AE96" si="1326">IF(S96="","",IF(T96="","",1/AC96*(W96/100/2)^(2/3)*(1/AB96)^(1/2)*0.70541))</f>
        <v/>
      </c>
      <c r="AF96" s="31" t="str">
        <f t="shared" ref="AF96" si="1327">IF(S96="","",IF(T96="","",ROUNDDOWN(AD96/($U$3/8.64),3)))</f>
        <v/>
      </c>
      <c r="AG96" s="32" t="str">
        <f t="shared" ref="AG96" si="1328">IF(S96="","",IF(T96="","",ROUNDDOWN(AF96*10000/$AJ$3,0)))</f>
        <v/>
      </c>
      <c r="AH96" s="33" t="str">
        <f t="shared" ref="AH96" si="1329">IF(S96="","",IF(T96="","",IF(AG96&gt;AI96,"＞","＜")))</f>
        <v/>
      </c>
      <c r="AI96" s="41" t="str">
        <f t="shared" ref="AI96" si="1330">IF(S96="","",Z96)</f>
        <v/>
      </c>
      <c r="AJ96" s="43" t="str">
        <f t="shared" ref="AJ96" si="1331">IF(S96="","",AI96*$AJ$3/10000)</f>
        <v/>
      </c>
      <c r="AK96" s="33" t="str">
        <f t="shared" ref="AK96" si="1332">IF(S96="","",IF(T96="","",IF(AND(T96=1,AE96&gt;1),"NG",IF(AH96="＞","OK","NG"))))</f>
        <v/>
      </c>
    </row>
    <row r="97" spans="1:37" ht="15.75" customHeight="1" x14ac:dyDescent="0.15">
      <c r="A97" s="92"/>
      <c r="B97" s="93"/>
      <c r="C97" s="59"/>
      <c r="D97" s="61"/>
      <c r="E97" s="94"/>
      <c r="F97" s="95"/>
      <c r="G97" s="95"/>
      <c r="H97" s="96"/>
      <c r="I97" s="54"/>
      <c r="J97" s="46"/>
      <c r="K97" s="97"/>
      <c r="L97" s="57"/>
      <c r="M97" s="44"/>
      <c r="N97" s="44"/>
      <c r="O97" s="42"/>
      <c r="P97" s="50"/>
      <c r="Q97" s="42"/>
      <c r="R97" s="52"/>
      <c r="S97" s="98"/>
      <c r="T97" s="99">
        <v>2</v>
      </c>
      <c r="U97" s="34" t="str">
        <f t="shared" ref="U97" si="1333">IF(S96="","",IF(T96=T97,"〃",IF(T97=1,"素焼土管",IF(T97=2,"合成樹脂管",IF(T97=3,"無孔管","")))))</f>
        <v/>
      </c>
      <c r="V97" s="35"/>
      <c r="W97" s="100"/>
      <c r="X97" s="101"/>
      <c r="Y97" s="95"/>
      <c r="Z97" s="42"/>
      <c r="AA97" s="46"/>
      <c r="AB97" s="97"/>
      <c r="AC97" s="36" t="str">
        <f t="shared" ref="AC97" si="1334">IF(S96="","",IF(T97=1,0.013,0.012))</f>
        <v/>
      </c>
      <c r="AD97" s="37" t="str">
        <f t="shared" ref="AD97" si="1335">IF(S96="","",(1/AC97*(W97/100/2)^(8/3)*(1/AB96*100)^(1/2)*1.65696)*100)</f>
        <v/>
      </c>
      <c r="AE97" s="37" t="str">
        <f t="shared" ref="AE97" si="1336">IF(S96="","",1/AC97*(W97/100/2)^(2/3)*(1/AB96)^(1/2)*0.70541)</f>
        <v/>
      </c>
      <c r="AF97" s="37" t="str">
        <f t="shared" ref="AF97" si="1337">IF(S96="","",ROUNDDOWN(AD97/($U$3/8.64),3))</f>
        <v/>
      </c>
      <c r="AG97" s="38" t="str">
        <f t="shared" ref="AG97" si="1338">IF(S96="","",ROUNDDOWN(AF97*10000/$AJ$3,0))</f>
        <v/>
      </c>
      <c r="AH97" s="39" t="str">
        <f t="shared" ref="AH97" si="1339">IF(S96="","",IF(AG97&gt;AI96,"＞",IF(AG97=AI96,"=","＜")))</f>
        <v/>
      </c>
      <c r="AI97" s="42"/>
      <c r="AJ97" s="44"/>
      <c r="AK97" s="39" t="str">
        <f t="shared" ref="AK97" si="1340">IF(S96="","",IF(AND(T97=1,AE97&gt;1),"NG",IF(AH97="＞","OK","NG")))</f>
        <v/>
      </c>
    </row>
    <row r="98" spans="1:37" ht="15.75" customHeight="1" x14ac:dyDescent="0.15">
      <c r="A98" s="80"/>
      <c r="B98" s="81">
        <v>2</v>
      </c>
      <c r="C98" s="58" t="str">
        <f t="shared" ref="C98" si="1341">IF(A98="","",IF(B98=1,"素　焼土　管",IF(B98=2,"合　成樹脂管",IF(B98=3,"無孔管",""))))</f>
        <v/>
      </c>
      <c r="D98" s="60"/>
      <c r="E98" s="82"/>
      <c r="F98" s="83"/>
      <c r="G98" s="83"/>
      <c r="H98" s="84"/>
      <c r="I98" s="53" t="str">
        <f t="shared" ref="I98" si="1342">IF(A98="","",F98-G98+H98)</f>
        <v/>
      </c>
      <c r="J98" s="55" t="str">
        <f t="shared" ref="J98" si="1343">IF(A98="",""," 1/")</f>
        <v/>
      </c>
      <c r="K98" s="85"/>
      <c r="L98" s="56" t="str">
        <f t="shared" ref="L98" si="1344">IF(A98="","",IF(B98=1,0.013,0.012))</f>
        <v/>
      </c>
      <c r="M98" s="47" t="str">
        <f t="shared" ref="M98" si="1345">IF(A98="","",(1/L98*(E98/100/2)^(8/3)*(1/K98*100)^(1/2)*1.65696)*100)</f>
        <v/>
      </c>
      <c r="N98" s="47" t="str">
        <f t="shared" ref="N98" si="1346">IF(A98="","",1/L98*(E98/100/2)^(2/3)*(1/K98)^(1/2)*0.70541)</f>
        <v/>
      </c>
      <c r="O98" s="48" t="str">
        <f t="shared" ref="O98" si="1347">IF(A98="","",ROUNDDOWN(M98/($U$3/8.64)*10000/$AJ$3,0))</f>
        <v/>
      </c>
      <c r="P98" s="49" t="str">
        <f t="shared" ref="P98" si="1348">IF(A98="","",IF(O98&gt;Q98,"＞","＜"))</f>
        <v/>
      </c>
      <c r="Q98" s="48" t="str">
        <f t="shared" ref="Q98" si="1349">IF(A98="","",I98)</f>
        <v/>
      </c>
      <c r="R98" s="51" t="str">
        <f t="shared" ref="R98" si="1350">IF(A98="","",IF(P98="＞","OK","NG"))</f>
        <v/>
      </c>
      <c r="S98" s="86"/>
      <c r="T98" s="87"/>
      <c r="U98" s="28" t="str">
        <f t="shared" ref="U98" si="1351">IF(S98="","",IF(T98=1,"素焼土管",IF(T98=2,"合成樹脂管",IF(T98=3,"無孔管",""))))</f>
        <v/>
      </c>
      <c r="V98" s="29"/>
      <c r="W98" s="88"/>
      <c r="X98" s="89"/>
      <c r="Y98" s="90"/>
      <c r="Z98" s="41" t="str">
        <f t="shared" ref="Z98" si="1352">IF(S98="","",IF(AND(T99=3,I98=""),Z96+Y98,IF(AND(Z96="",I96=""),I98+Y98,IF(AND(T99=3,I98&gt;0,Z96&gt;0),I98+Z96+Y98,IF(Z96="",I96+I98+X98+Y98,IF(I98="",Z96+X98+Y98,Z96+I98+X98+Y98))))))</f>
        <v/>
      </c>
      <c r="AA98" s="45" t="str">
        <f t="shared" ref="AA98" si="1353">IF(AB98="",""," 1/")</f>
        <v/>
      </c>
      <c r="AB98" s="91"/>
      <c r="AC98" s="30" t="str">
        <f t="shared" ref="AC98" si="1354">IF(S98="","",IF(T98="","",IF(T98=1,0.013,0.012)))</f>
        <v/>
      </c>
      <c r="AD98" s="31" t="str">
        <f t="shared" ref="AD98" si="1355">IF(S98="","",IF(T98="","",(1/AC98*(W98/100/2)^(8/3)*(1/AB98*100)^(1/2)*1.65696)*100))</f>
        <v/>
      </c>
      <c r="AE98" s="31" t="str">
        <f t="shared" ref="AE98" si="1356">IF(S98="","",IF(T98="","",1/AC98*(W98/100/2)^(2/3)*(1/AB98)^(1/2)*0.70541))</f>
        <v/>
      </c>
      <c r="AF98" s="31" t="str">
        <f t="shared" ref="AF98" si="1357">IF(S98="","",IF(T98="","",ROUNDDOWN(AD98/($U$3/8.64),3)))</f>
        <v/>
      </c>
      <c r="AG98" s="32" t="str">
        <f t="shared" ref="AG98" si="1358">IF(S98="","",IF(T98="","",ROUNDDOWN(AF98*10000/$AJ$3,0)))</f>
        <v/>
      </c>
      <c r="AH98" s="33" t="str">
        <f t="shared" ref="AH98" si="1359">IF(S98="","",IF(T98="","",IF(AG98&gt;AI98,"＞","＜")))</f>
        <v/>
      </c>
      <c r="AI98" s="41" t="str">
        <f t="shared" ref="AI98" si="1360">IF(S98="","",Z98)</f>
        <v/>
      </c>
      <c r="AJ98" s="43" t="str">
        <f t="shared" ref="AJ98" si="1361">IF(S98="","",AI98*$AJ$3/10000)</f>
        <v/>
      </c>
      <c r="AK98" s="33" t="str">
        <f t="shared" ref="AK98" si="1362">IF(S98="","",IF(T98="","",IF(AND(T98=1,AE98&gt;1),"NG",IF(AH98="＞","OK","NG"))))</f>
        <v/>
      </c>
    </row>
    <row r="99" spans="1:37" ht="15.75" customHeight="1" x14ac:dyDescent="0.15">
      <c r="A99" s="92"/>
      <c r="B99" s="93"/>
      <c r="C99" s="59"/>
      <c r="D99" s="61"/>
      <c r="E99" s="94"/>
      <c r="F99" s="95"/>
      <c r="G99" s="95"/>
      <c r="H99" s="96"/>
      <c r="I99" s="54"/>
      <c r="J99" s="46"/>
      <c r="K99" s="97"/>
      <c r="L99" s="57"/>
      <c r="M99" s="44"/>
      <c r="N99" s="44"/>
      <c r="O99" s="42"/>
      <c r="P99" s="50"/>
      <c r="Q99" s="42"/>
      <c r="R99" s="52"/>
      <c r="S99" s="98"/>
      <c r="T99" s="99">
        <v>2</v>
      </c>
      <c r="U99" s="34" t="str">
        <f t="shared" ref="U99" si="1363">IF(S98="","",IF(T98=T99,"〃",IF(T99=1,"素焼土管",IF(T99=2,"合成樹脂管",IF(T99=3,"無孔管","")))))</f>
        <v/>
      </c>
      <c r="V99" s="35"/>
      <c r="W99" s="100"/>
      <c r="X99" s="101"/>
      <c r="Y99" s="95"/>
      <c r="Z99" s="42"/>
      <c r="AA99" s="46"/>
      <c r="AB99" s="97"/>
      <c r="AC99" s="36" t="str">
        <f t="shared" ref="AC99" si="1364">IF(S98="","",IF(T99=1,0.013,0.012))</f>
        <v/>
      </c>
      <c r="AD99" s="37" t="str">
        <f t="shared" ref="AD99" si="1365">IF(S98="","",(1/AC99*(W99/100/2)^(8/3)*(1/AB98*100)^(1/2)*1.65696)*100)</f>
        <v/>
      </c>
      <c r="AE99" s="37" t="str">
        <f t="shared" ref="AE99" si="1366">IF(S98="","",1/AC99*(W99/100/2)^(2/3)*(1/AB98)^(1/2)*0.70541)</f>
        <v/>
      </c>
      <c r="AF99" s="37" t="str">
        <f t="shared" ref="AF99" si="1367">IF(S98="","",ROUNDDOWN(AD99/($U$3/8.64),3))</f>
        <v/>
      </c>
      <c r="AG99" s="38" t="str">
        <f t="shared" ref="AG99" si="1368">IF(S98="","",ROUNDDOWN(AF99*10000/$AJ$3,0))</f>
        <v/>
      </c>
      <c r="AH99" s="39" t="str">
        <f t="shared" ref="AH99" si="1369">IF(S98="","",IF(AG99&gt;AI98,"＞",IF(AG99=AI98,"=","＜")))</f>
        <v/>
      </c>
      <c r="AI99" s="42"/>
      <c r="AJ99" s="44"/>
      <c r="AK99" s="39" t="str">
        <f t="shared" ref="AK99" si="1370">IF(S98="","",IF(AND(T99=1,AE99&gt;1),"NG",IF(AH99="＞","OK","NG")))</f>
        <v/>
      </c>
    </row>
    <row r="100" spans="1:37" ht="15.75" customHeight="1" x14ac:dyDescent="0.15">
      <c r="A100" s="80"/>
      <c r="B100" s="81">
        <v>2</v>
      </c>
      <c r="C100" s="58" t="str">
        <f t="shared" ref="C100" si="1371">IF(A100="","",IF(B100=1,"素　焼土　管",IF(B100=2,"合　成樹脂管",IF(B100=3,"無孔管",""))))</f>
        <v/>
      </c>
      <c r="D100" s="60"/>
      <c r="E100" s="82"/>
      <c r="F100" s="83"/>
      <c r="G100" s="83"/>
      <c r="H100" s="84"/>
      <c r="I100" s="53" t="str">
        <f t="shared" ref="I100" si="1372">IF(A100="","",F100-G100+H100)</f>
        <v/>
      </c>
      <c r="J100" s="55" t="str">
        <f t="shared" ref="J100" si="1373">IF(A100="",""," 1/")</f>
        <v/>
      </c>
      <c r="K100" s="85"/>
      <c r="L100" s="56" t="str">
        <f t="shared" ref="L100" si="1374">IF(A100="","",IF(B100=1,0.013,0.012))</f>
        <v/>
      </c>
      <c r="M100" s="47" t="str">
        <f t="shared" ref="M100" si="1375">IF(A100="","",(1/L100*(E100/100/2)^(8/3)*(1/K100*100)^(1/2)*1.65696)*100)</f>
        <v/>
      </c>
      <c r="N100" s="47" t="str">
        <f t="shared" ref="N100" si="1376">IF(A100="","",1/L100*(E100/100/2)^(2/3)*(1/K100)^(1/2)*0.70541)</f>
        <v/>
      </c>
      <c r="O100" s="48" t="str">
        <f t="shared" ref="O100" si="1377">IF(A100="","",ROUNDDOWN(M100/($U$3/8.64)*10000/$AJ$3,0))</f>
        <v/>
      </c>
      <c r="P100" s="49" t="str">
        <f t="shared" ref="P100" si="1378">IF(A100="","",IF(O100&gt;Q100,"＞","＜"))</f>
        <v/>
      </c>
      <c r="Q100" s="48" t="str">
        <f t="shared" ref="Q100" si="1379">IF(A100="","",I100)</f>
        <v/>
      </c>
      <c r="R100" s="51" t="str">
        <f t="shared" ref="R100" si="1380">IF(A100="","",IF(P100="＞","OK","NG"))</f>
        <v/>
      </c>
      <c r="S100" s="86"/>
      <c r="T100" s="87"/>
      <c r="U100" s="28" t="str">
        <f t="shared" ref="U100" si="1381">IF(S100="","",IF(T100=1,"素焼土管",IF(T100=2,"合成樹脂管",IF(T100=3,"無孔管",""))))</f>
        <v/>
      </c>
      <c r="V100" s="29"/>
      <c r="W100" s="88"/>
      <c r="X100" s="89"/>
      <c r="Y100" s="90"/>
      <c r="Z100" s="41" t="str">
        <f t="shared" ref="Z100" si="1382">IF(S100="","",IF(AND(T101=3,I100=""),Z98+Y100,IF(AND(Z98="",I98=""),I100+Y100,IF(AND(T101=3,I100&gt;0,Z98&gt;0),I100+Z98+Y100,IF(Z98="",I98+I100+X100+Y100,IF(I100="",Z98+X100+Y100,Z98+I100+X100+Y100))))))</f>
        <v/>
      </c>
      <c r="AA100" s="45" t="str">
        <f t="shared" ref="AA100" si="1383">IF(AB100="",""," 1/")</f>
        <v/>
      </c>
      <c r="AB100" s="91"/>
      <c r="AC100" s="30" t="str">
        <f t="shared" ref="AC100" si="1384">IF(S100="","",IF(T100="","",IF(T100=1,0.013,0.012)))</f>
        <v/>
      </c>
      <c r="AD100" s="31" t="str">
        <f t="shared" ref="AD100" si="1385">IF(S100="","",IF(T100="","",(1/AC100*(W100/100/2)^(8/3)*(1/AB100*100)^(1/2)*1.65696)*100))</f>
        <v/>
      </c>
      <c r="AE100" s="31" t="str">
        <f t="shared" ref="AE100" si="1386">IF(S100="","",IF(T100="","",1/AC100*(W100/100/2)^(2/3)*(1/AB100)^(1/2)*0.70541))</f>
        <v/>
      </c>
      <c r="AF100" s="31" t="str">
        <f t="shared" ref="AF100" si="1387">IF(S100="","",IF(T100="","",ROUNDDOWN(AD100/($U$3/8.64),3)))</f>
        <v/>
      </c>
      <c r="AG100" s="32" t="str">
        <f t="shared" ref="AG100" si="1388">IF(S100="","",IF(T100="","",ROUNDDOWN(AF100*10000/$AJ$3,0)))</f>
        <v/>
      </c>
      <c r="AH100" s="33" t="str">
        <f t="shared" ref="AH100" si="1389">IF(S100="","",IF(T100="","",IF(AG100&gt;AI100,"＞","＜")))</f>
        <v/>
      </c>
      <c r="AI100" s="41" t="str">
        <f t="shared" ref="AI100" si="1390">IF(S100="","",Z100)</f>
        <v/>
      </c>
      <c r="AJ100" s="43" t="str">
        <f t="shared" ref="AJ100" si="1391">IF(S100="","",AI100*$AJ$3/10000)</f>
        <v/>
      </c>
      <c r="AK100" s="33" t="str">
        <f t="shared" ref="AK100" si="1392">IF(S100="","",IF(T100="","",IF(AND(T100=1,AE100&gt;1),"NG",IF(AH100="＞","OK","NG"))))</f>
        <v/>
      </c>
    </row>
    <row r="101" spans="1:37" ht="15.75" customHeight="1" x14ac:dyDescent="0.15">
      <c r="A101" s="92"/>
      <c r="B101" s="93"/>
      <c r="C101" s="59"/>
      <c r="D101" s="61"/>
      <c r="E101" s="94"/>
      <c r="F101" s="95"/>
      <c r="G101" s="95"/>
      <c r="H101" s="96"/>
      <c r="I101" s="54"/>
      <c r="J101" s="46"/>
      <c r="K101" s="97"/>
      <c r="L101" s="57"/>
      <c r="M101" s="44"/>
      <c r="N101" s="44"/>
      <c r="O101" s="42"/>
      <c r="P101" s="50"/>
      <c r="Q101" s="42"/>
      <c r="R101" s="52"/>
      <c r="S101" s="98"/>
      <c r="T101" s="99">
        <v>2</v>
      </c>
      <c r="U101" s="34" t="str">
        <f t="shared" ref="U101" si="1393">IF(S100="","",IF(T100=T101,"〃",IF(T101=1,"素焼土管",IF(T101=2,"合成樹脂管",IF(T101=3,"無孔管","")))))</f>
        <v/>
      </c>
      <c r="V101" s="35"/>
      <c r="W101" s="100"/>
      <c r="X101" s="101"/>
      <c r="Y101" s="95"/>
      <c r="Z101" s="42"/>
      <c r="AA101" s="46"/>
      <c r="AB101" s="97"/>
      <c r="AC101" s="36" t="str">
        <f t="shared" ref="AC101" si="1394">IF(S100="","",IF(T101=1,0.013,0.012))</f>
        <v/>
      </c>
      <c r="AD101" s="37" t="str">
        <f t="shared" ref="AD101" si="1395">IF(S100="","",(1/AC101*(W101/100/2)^(8/3)*(1/AB100*100)^(1/2)*1.65696)*100)</f>
        <v/>
      </c>
      <c r="AE101" s="37" t="str">
        <f t="shared" ref="AE101" si="1396">IF(S100="","",1/AC101*(W101/100/2)^(2/3)*(1/AB100)^(1/2)*0.70541)</f>
        <v/>
      </c>
      <c r="AF101" s="37" t="str">
        <f t="shared" ref="AF101" si="1397">IF(S100="","",ROUNDDOWN(AD101/($U$3/8.64),3))</f>
        <v/>
      </c>
      <c r="AG101" s="38" t="str">
        <f t="shared" ref="AG101" si="1398">IF(S100="","",ROUNDDOWN(AF101*10000/$AJ$3,0))</f>
        <v/>
      </c>
      <c r="AH101" s="39" t="str">
        <f t="shared" ref="AH101" si="1399">IF(S100="","",IF(AG101&gt;AI100,"＞",IF(AG101=AI100,"=","＜")))</f>
        <v/>
      </c>
      <c r="AI101" s="42"/>
      <c r="AJ101" s="44"/>
      <c r="AK101" s="39" t="str">
        <f t="shared" ref="AK101" si="1400">IF(S100="","",IF(AND(T101=1,AE101&gt;1),"NG",IF(AH101="＞","OK","NG")))</f>
        <v/>
      </c>
    </row>
    <row r="102" spans="1:37" ht="15.75" customHeight="1" x14ac:dyDescent="0.15">
      <c r="A102" s="80"/>
      <c r="B102" s="81">
        <v>2</v>
      </c>
      <c r="C102" s="58" t="str">
        <f t="shared" ref="C102" si="1401">IF(A102="","",IF(B102=1,"素　焼土　管",IF(B102=2,"合　成樹脂管",IF(B102=3,"無孔管",""))))</f>
        <v/>
      </c>
      <c r="D102" s="60"/>
      <c r="E102" s="82"/>
      <c r="F102" s="83"/>
      <c r="G102" s="83"/>
      <c r="H102" s="84"/>
      <c r="I102" s="53" t="str">
        <f t="shared" ref="I102" si="1402">IF(A102="","",F102-G102+H102)</f>
        <v/>
      </c>
      <c r="J102" s="55" t="str">
        <f t="shared" ref="J102" si="1403">IF(A102="",""," 1/")</f>
        <v/>
      </c>
      <c r="K102" s="85"/>
      <c r="L102" s="56" t="str">
        <f t="shared" ref="L102" si="1404">IF(A102="","",IF(B102=1,0.013,0.012))</f>
        <v/>
      </c>
      <c r="M102" s="47" t="str">
        <f t="shared" ref="M102" si="1405">IF(A102="","",(1/L102*(E102/100/2)^(8/3)*(1/K102*100)^(1/2)*1.65696)*100)</f>
        <v/>
      </c>
      <c r="N102" s="47" t="str">
        <f t="shared" ref="N102" si="1406">IF(A102="","",1/L102*(E102/100/2)^(2/3)*(1/K102)^(1/2)*0.70541)</f>
        <v/>
      </c>
      <c r="O102" s="48" t="str">
        <f t="shared" ref="O102" si="1407">IF(A102="","",ROUNDDOWN(M102/($U$3/8.64)*10000/$AJ$3,0))</f>
        <v/>
      </c>
      <c r="P102" s="49" t="str">
        <f t="shared" ref="P102" si="1408">IF(A102="","",IF(O102&gt;Q102,"＞","＜"))</f>
        <v/>
      </c>
      <c r="Q102" s="48" t="str">
        <f t="shared" ref="Q102" si="1409">IF(A102="","",I102)</f>
        <v/>
      </c>
      <c r="R102" s="51" t="str">
        <f t="shared" ref="R102" si="1410">IF(A102="","",IF(P102="＞","OK","NG"))</f>
        <v/>
      </c>
      <c r="S102" s="86"/>
      <c r="T102" s="87"/>
      <c r="U102" s="28" t="str">
        <f t="shared" ref="U102" si="1411">IF(S102="","",IF(T102=1,"素焼土管",IF(T102=2,"合成樹脂管",IF(T102=3,"無孔管",""))))</f>
        <v/>
      </c>
      <c r="V102" s="29"/>
      <c r="W102" s="88"/>
      <c r="X102" s="89"/>
      <c r="Y102" s="90"/>
      <c r="Z102" s="41" t="str">
        <f t="shared" ref="Z102" si="1412">IF(S102="","",IF(AND(T103=3,I102=""),Z100+Y102,IF(AND(Z100="",I100=""),I102+Y102,IF(AND(T103=3,I102&gt;0,Z100&gt;0),I102+Z100+Y102,IF(Z100="",I100+I102+X102+Y102,IF(I102="",Z100+X102+Y102,Z100+I102+X102+Y102))))))</f>
        <v/>
      </c>
      <c r="AA102" s="45" t="str">
        <f t="shared" ref="AA102" si="1413">IF(AB102="",""," 1/")</f>
        <v/>
      </c>
      <c r="AB102" s="91"/>
      <c r="AC102" s="30" t="str">
        <f t="shared" ref="AC102" si="1414">IF(S102="","",IF(T102="","",IF(T102=1,0.013,0.012)))</f>
        <v/>
      </c>
      <c r="AD102" s="31" t="str">
        <f t="shared" ref="AD102" si="1415">IF(S102="","",IF(T102="","",(1/AC102*(W102/100/2)^(8/3)*(1/AB102*100)^(1/2)*1.65696)*100))</f>
        <v/>
      </c>
      <c r="AE102" s="31" t="str">
        <f t="shared" ref="AE102" si="1416">IF(S102="","",IF(T102="","",1/AC102*(W102/100/2)^(2/3)*(1/AB102)^(1/2)*0.70541))</f>
        <v/>
      </c>
      <c r="AF102" s="31" t="str">
        <f t="shared" ref="AF102" si="1417">IF(S102="","",IF(T102="","",ROUNDDOWN(AD102/($U$3/8.64),3)))</f>
        <v/>
      </c>
      <c r="AG102" s="32" t="str">
        <f t="shared" ref="AG102" si="1418">IF(S102="","",IF(T102="","",ROUNDDOWN(AF102*10000/$AJ$3,0)))</f>
        <v/>
      </c>
      <c r="AH102" s="33" t="str">
        <f t="shared" ref="AH102" si="1419">IF(S102="","",IF(T102="","",IF(AG102&gt;AI102,"＞","＜")))</f>
        <v/>
      </c>
      <c r="AI102" s="41" t="str">
        <f t="shared" ref="AI102" si="1420">IF(S102="","",Z102)</f>
        <v/>
      </c>
      <c r="AJ102" s="43" t="str">
        <f t="shared" ref="AJ102" si="1421">IF(S102="","",AI102*$AJ$3/10000)</f>
        <v/>
      </c>
      <c r="AK102" s="33" t="str">
        <f t="shared" ref="AK102" si="1422">IF(S102="","",IF(T102="","",IF(AND(T102=1,AE102&gt;1),"NG",IF(AH102="＞","OK","NG"))))</f>
        <v/>
      </c>
    </row>
    <row r="103" spans="1:37" ht="15.75" customHeight="1" x14ac:dyDescent="0.15">
      <c r="A103" s="92"/>
      <c r="B103" s="93"/>
      <c r="C103" s="59"/>
      <c r="D103" s="61"/>
      <c r="E103" s="94"/>
      <c r="F103" s="95"/>
      <c r="G103" s="95"/>
      <c r="H103" s="96"/>
      <c r="I103" s="54"/>
      <c r="J103" s="46"/>
      <c r="K103" s="97"/>
      <c r="L103" s="57"/>
      <c r="M103" s="44"/>
      <c r="N103" s="44"/>
      <c r="O103" s="42"/>
      <c r="P103" s="50"/>
      <c r="Q103" s="42"/>
      <c r="R103" s="52"/>
      <c r="S103" s="98"/>
      <c r="T103" s="99">
        <v>2</v>
      </c>
      <c r="U103" s="34" t="str">
        <f t="shared" ref="U103" si="1423">IF(S102="","",IF(T102=T103,"〃",IF(T103=1,"素焼土管",IF(T103=2,"合成樹脂管",IF(T103=3,"無孔管","")))))</f>
        <v/>
      </c>
      <c r="V103" s="35"/>
      <c r="W103" s="100"/>
      <c r="X103" s="101"/>
      <c r="Y103" s="95"/>
      <c r="Z103" s="42"/>
      <c r="AA103" s="46"/>
      <c r="AB103" s="97"/>
      <c r="AC103" s="36" t="str">
        <f t="shared" ref="AC103" si="1424">IF(S102="","",IF(T103=1,0.013,0.012))</f>
        <v/>
      </c>
      <c r="AD103" s="37" t="str">
        <f t="shared" ref="AD103" si="1425">IF(S102="","",(1/AC103*(W103/100/2)^(8/3)*(1/AB102*100)^(1/2)*1.65696)*100)</f>
        <v/>
      </c>
      <c r="AE103" s="37" t="str">
        <f t="shared" ref="AE103" si="1426">IF(S102="","",1/AC103*(W103/100/2)^(2/3)*(1/AB102)^(1/2)*0.70541)</f>
        <v/>
      </c>
      <c r="AF103" s="37" t="str">
        <f t="shared" ref="AF103" si="1427">IF(S102="","",ROUNDDOWN(AD103/($U$3/8.64),3))</f>
        <v/>
      </c>
      <c r="AG103" s="38" t="str">
        <f t="shared" ref="AG103" si="1428">IF(S102="","",ROUNDDOWN(AF103*10000/$AJ$3,0))</f>
        <v/>
      </c>
      <c r="AH103" s="39" t="str">
        <f t="shared" ref="AH103" si="1429">IF(S102="","",IF(AG103&gt;AI102,"＞",IF(AG103=AI102,"=","＜")))</f>
        <v/>
      </c>
      <c r="AI103" s="42"/>
      <c r="AJ103" s="44"/>
      <c r="AK103" s="39" t="str">
        <f t="shared" ref="AK103" si="1430">IF(S102="","",IF(AND(T103=1,AE103&gt;1),"NG",IF(AH103="＞","OK","NG")))</f>
        <v/>
      </c>
    </row>
    <row r="104" spans="1:37" ht="15.75" customHeight="1" x14ac:dyDescent="0.15">
      <c r="A104" s="80"/>
      <c r="B104" s="81">
        <v>2</v>
      </c>
      <c r="C104" s="58" t="str">
        <f t="shared" ref="C104" si="1431">IF(A104="","",IF(B104=1,"素　焼土　管",IF(B104=2,"合　成樹脂管",IF(B104=3,"無孔管",""))))</f>
        <v/>
      </c>
      <c r="D104" s="60"/>
      <c r="E104" s="82"/>
      <c r="F104" s="83"/>
      <c r="G104" s="83"/>
      <c r="H104" s="84"/>
      <c r="I104" s="53" t="str">
        <f t="shared" ref="I104" si="1432">IF(A104="","",F104-G104+H104)</f>
        <v/>
      </c>
      <c r="J104" s="55" t="str">
        <f t="shared" ref="J104" si="1433">IF(A104="",""," 1/")</f>
        <v/>
      </c>
      <c r="K104" s="85"/>
      <c r="L104" s="56" t="str">
        <f t="shared" ref="L104" si="1434">IF(A104="","",IF(B104=1,0.013,0.012))</f>
        <v/>
      </c>
      <c r="M104" s="47" t="str">
        <f t="shared" ref="M104" si="1435">IF(A104="","",(1/L104*(E104/100/2)^(8/3)*(1/K104*100)^(1/2)*1.65696)*100)</f>
        <v/>
      </c>
      <c r="N104" s="47" t="str">
        <f t="shared" ref="N104" si="1436">IF(A104="","",1/L104*(E104/100/2)^(2/3)*(1/K104)^(1/2)*0.70541)</f>
        <v/>
      </c>
      <c r="O104" s="48" t="str">
        <f t="shared" ref="O104" si="1437">IF(A104="","",ROUNDDOWN(M104/($U$3/8.64)*10000/$AJ$3,0))</f>
        <v/>
      </c>
      <c r="P104" s="49" t="str">
        <f t="shared" ref="P104" si="1438">IF(A104="","",IF(O104&gt;Q104,"＞","＜"))</f>
        <v/>
      </c>
      <c r="Q104" s="48" t="str">
        <f t="shared" ref="Q104" si="1439">IF(A104="","",I104)</f>
        <v/>
      </c>
      <c r="R104" s="51" t="str">
        <f t="shared" ref="R104" si="1440">IF(A104="","",IF(P104="＞","OK","NG"))</f>
        <v/>
      </c>
      <c r="S104" s="86"/>
      <c r="T104" s="87"/>
      <c r="U104" s="28" t="str">
        <f t="shared" ref="U104" si="1441">IF(S104="","",IF(T104=1,"素焼土管",IF(T104=2,"合成樹脂管",IF(T104=3,"無孔管",""))))</f>
        <v/>
      </c>
      <c r="V104" s="29"/>
      <c r="W104" s="88"/>
      <c r="X104" s="89"/>
      <c r="Y104" s="90"/>
      <c r="Z104" s="41" t="str">
        <f t="shared" ref="Z104" si="1442">IF(S104="","",IF(AND(T105=3,I104=""),Z102+Y104,IF(AND(Z102="",I102=""),I104+Y104,IF(AND(T105=3,I104&gt;0,Z102&gt;0),I104+Z102+Y104,IF(Z102="",I102+I104+X104+Y104,IF(I104="",Z102+X104+Y104,Z102+I104+X104+Y104))))))</f>
        <v/>
      </c>
      <c r="AA104" s="45" t="str">
        <f t="shared" ref="AA104" si="1443">IF(AB104="",""," 1/")</f>
        <v/>
      </c>
      <c r="AB104" s="91"/>
      <c r="AC104" s="30" t="str">
        <f t="shared" ref="AC104" si="1444">IF(S104="","",IF(T104="","",IF(T104=1,0.013,0.012)))</f>
        <v/>
      </c>
      <c r="AD104" s="31" t="str">
        <f t="shared" ref="AD104" si="1445">IF(S104="","",IF(T104="","",(1/AC104*(W104/100/2)^(8/3)*(1/AB104*100)^(1/2)*1.65696)*100))</f>
        <v/>
      </c>
      <c r="AE104" s="31" t="str">
        <f t="shared" ref="AE104" si="1446">IF(S104="","",IF(T104="","",1/AC104*(W104/100/2)^(2/3)*(1/AB104)^(1/2)*0.70541))</f>
        <v/>
      </c>
      <c r="AF104" s="31" t="str">
        <f t="shared" ref="AF104" si="1447">IF(S104="","",IF(T104="","",ROUNDDOWN(AD104/($U$3/8.64),3)))</f>
        <v/>
      </c>
      <c r="AG104" s="32" t="str">
        <f t="shared" ref="AG104" si="1448">IF(S104="","",IF(T104="","",ROUNDDOWN(AF104*10000/$AJ$3,0)))</f>
        <v/>
      </c>
      <c r="AH104" s="33" t="str">
        <f t="shared" ref="AH104" si="1449">IF(S104="","",IF(T104="","",IF(AG104&gt;AI104,"＞","＜")))</f>
        <v/>
      </c>
      <c r="AI104" s="41" t="str">
        <f t="shared" ref="AI104" si="1450">IF(S104="","",Z104)</f>
        <v/>
      </c>
      <c r="AJ104" s="43" t="str">
        <f t="shared" ref="AJ104" si="1451">IF(S104="","",AI104*$AJ$3/10000)</f>
        <v/>
      </c>
      <c r="AK104" s="33" t="str">
        <f t="shared" ref="AK104" si="1452">IF(S104="","",IF(T104="","",IF(AND(T104=1,AE104&gt;1),"NG",IF(AH104="＞","OK","NG"))))</f>
        <v/>
      </c>
    </row>
    <row r="105" spans="1:37" ht="15.75" customHeight="1" x14ac:dyDescent="0.15">
      <c r="A105" s="92"/>
      <c r="B105" s="93"/>
      <c r="C105" s="59"/>
      <c r="D105" s="61"/>
      <c r="E105" s="94"/>
      <c r="F105" s="95"/>
      <c r="G105" s="95"/>
      <c r="H105" s="96"/>
      <c r="I105" s="54"/>
      <c r="J105" s="46"/>
      <c r="K105" s="97"/>
      <c r="L105" s="57"/>
      <c r="M105" s="44"/>
      <c r="N105" s="44"/>
      <c r="O105" s="42"/>
      <c r="P105" s="50"/>
      <c r="Q105" s="42"/>
      <c r="R105" s="52"/>
      <c r="S105" s="98"/>
      <c r="T105" s="99">
        <v>2</v>
      </c>
      <c r="U105" s="34" t="str">
        <f t="shared" ref="U105" si="1453">IF(S104="","",IF(T104=T105,"〃",IF(T105=1,"素焼土管",IF(T105=2,"合成樹脂管",IF(T105=3,"無孔管","")))))</f>
        <v/>
      </c>
      <c r="V105" s="35"/>
      <c r="W105" s="100"/>
      <c r="X105" s="101"/>
      <c r="Y105" s="95"/>
      <c r="Z105" s="42"/>
      <c r="AA105" s="46"/>
      <c r="AB105" s="97"/>
      <c r="AC105" s="36" t="str">
        <f t="shared" ref="AC105" si="1454">IF(S104="","",IF(T105=1,0.013,0.012))</f>
        <v/>
      </c>
      <c r="AD105" s="37" t="str">
        <f t="shared" ref="AD105" si="1455">IF(S104="","",(1/AC105*(W105/100/2)^(8/3)*(1/AB104*100)^(1/2)*1.65696)*100)</f>
        <v/>
      </c>
      <c r="AE105" s="37" t="str">
        <f t="shared" ref="AE105" si="1456">IF(S104="","",1/AC105*(W105/100/2)^(2/3)*(1/AB104)^(1/2)*0.70541)</f>
        <v/>
      </c>
      <c r="AF105" s="37" t="str">
        <f t="shared" ref="AF105" si="1457">IF(S104="","",ROUNDDOWN(AD105/($U$3/8.64),3))</f>
        <v/>
      </c>
      <c r="AG105" s="38" t="str">
        <f t="shared" ref="AG105" si="1458">IF(S104="","",ROUNDDOWN(AF105*10000/$AJ$3,0))</f>
        <v/>
      </c>
      <c r="AH105" s="39" t="str">
        <f t="shared" ref="AH105" si="1459">IF(S104="","",IF(AG105&gt;AI104,"＞",IF(AG105=AI104,"=","＜")))</f>
        <v/>
      </c>
      <c r="AI105" s="42"/>
      <c r="AJ105" s="44"/>
      <c r="AK105" s="39" t="str">
        <f t="shared" ref="AK105" si="1460">IF(S104="","",IF(AND(T105=1,AE105&gt;1),"NG",IF(AH105="＞","OK","NG")))</f>
        <v/>
      </c>
    </row>
    <row r="106" spans="1:37" ht="15.75" customHeight="1" x14ac:dyDescent="0.15">
      <c r="A106" s="80"/>
      <c r="B106" s="81">
        <v>2</v>
      </c>
      <c r="C106" s="58" t="str">
        <f t="shared" ref="C106" si="1461">IF(A106="","",IF(B106=1,"素　焼土　管",IF(B106=2,"合　成樹脂管",IF(B106=3,"無孔管",""))))</f>
        <v/>
      </c>
      <c r="D106" s="60"/>
      <c r="E106" s="82"/>
      <c r="F106" s="83"/>
      <c r="G106" s="83"/>
      <c r="H106" s="84"/>
      <c r="I106" s="53" t="str">
        <f t="shared" ref="I106" si="1462">IF(A106="","",F106-G106+H106)</f>
        <v/>
      </c>
      <c r="J106" s="55" t="str">
        <f t="shared" ref="J106" si="1463">IF(A106="",""," 1/")</f>
        <v/>
      </c>
      <c r="K106" s="85"/>
      <c r="L106" s="56" t="str">
        <f t="shared" ref="L106" si="1464">IF(A106="","",IF(B106=1,0.013,0.012))</f>
        <v/>
      </c>
      <c r="M106" s="47" t="str">
        <f t="shared" ref="M106" si="1465">IF(A106="","",(1/L106*(E106/100/2)^(8/3)*(1/K106*100)^(1/2)*1.65696)*100)</f>
        <v/>
      </c>
      <c r="N106" s="47" t="str">
        <f t="shared" ref="N106" si="1466">IF(A106="","",1/L106*(E106/100/2)^(2/3)*(1/K106)^(1/2)*0.70541)</f>
        <v/>
      </c>
      <c r="O106" s="48" t="str">
        <f t="shared" ref="O106" si="1467">IF(A106="","",ROUNDDOWN(M106/($U$3/8.64)*10000/$AJ$3,0))</f>
        <v/>
      </c>
      <c r="P106" s="49" t="str">
        <f t="shared" ref="P106" si="1468">IF(A106="","",IF(O106&gt;Q106,"＞","＜"))</f>
        <v/>
      </c>
      <c r="Q106" s="48" t="str">
        <f t="shared" ref="Q106" si="1469">IF(A106="","",I106)</f>
        <v/>
      </c>
      <c r="R106" s="51" t="str">
        <f t="shared" ref="R106" si="1470">IF(A106="","",IF(P106="＞","OK","NG"))</f>
        <v/>
      </c>
      <c r="S106" s="86"/>
      <c r="T106" s="87"/>
      <c r="U106" s="28" t="str">
        <f t="shared" ref="U106" si="1471">IF(S106="","",IF(T106=1,"素焼土管",IF(T106=2,"合成樹脂管",IF(T106=3,"無孔管",""))))</f>
        <v/>
      </c>
      <c r="V106" s="29"/>
      <c r="W106" s="88"/>
      <c r="X106" s="89"/>
      <c r="Y106" s="90"/>
      <c r="Z106" s="41" t="str">
        <f t="shared" ref="Z106" si="1472">IF(S106="","",IF(AND(T107=3,I106=""),Z104+Y106,IF(AND(Z104="",I104=""),I106+Y106,IF(AND(T107=3,I106&gt;0,Z104&gt;0),I106+Z104+Y106,IF(Z104="",I104+I106+X106+Y106,IF(I106="",Z104+X106+Y106,Z104+I106+X106+Y106))))))</f>
        <v/>
      </c>
      <c r="AA106" s="45" t="str">
        <f t="shared" ref="AA106" si="1473">IF(AB106="",""," 1/")</f>
        <v/>
      </c>
      <c r="AB106" s="91"/>
      <c r="AC106" s="30" t="str">
        <f t="shared" ref="AC106" si="1474">IF(S106="","",IF(T106="","",IF(T106=1,0.013,0.012)))</f>
        <v/>
      </c>
      <c r="AD106" s="31" t="str">
        <f t="shared" ref="AD106" si="1475">IF(S106="","",IF(T106="","",(1/AC106*(W106/100/2)^(8/3)*(1/AB106*100)^(1/2)*1.65696)*100))</f>
        <v/>
      </c>
      <c r="AE106" s="31" t="str">
        <f t="shared" ref="AE106" si="1476">IF(S106="","",IF(T106="","",1/AC106*(W106/100/2)^(2/3)*(1/AB106)^(1/2)*0.70541))</f>
        <v/>
      </c>
      <c r="AF106" s="31" t="str">
        <f t="shared" ref="AF106" si="1477">IF(S106="","",IF(T106="","",ROUNDDOWN(AD106/($U$3/8.64),3)))</f>
        <v/>
      </c>
      <c r="AG106" s="32" t="str">
        <f t="shared" ref="AG106" si="1478">IF(S106="","",IF(T106="","",ROUNDDOWN(AF106*10000/$AJ$3,0)))</f>
        <v/>
      </c>
      <c r="AH106" s="33" t="str">
        <f t="shared" ref="AH106" si="1479">IF(S106="","",IF(T106="","",IF(AG106&gt;AI106,"＞","＜")))</f>
        <v/>
      </c>
      <c r="AI106" s="41" t="str">
        <f t="shared" ref="AI106" si="1480">IF(S106="","",Z106)</f>
        <v/>
      </c>
      <c r="AJ106" s="43" t="str">
        <f t="shared" ref="AJ106" si="1481">IF(S106="","",AI106*$AJ$3/10000)</f>
        <v/>
      </c>
      <c r="AK106" s="33" t="str">
        <f t="shared" ref="AK106" si="1482">IF(S106="","",IF(T106="","",IF(AND(T106=1,AE106&gt;1),"NG",IF(AH106="＞","OK","NG"))))</f>
        <v/>
      </c>
    </row>
    <row r="107" spans="1:37" ht="15.75" customHeight="1" x14ac:dyDescent="0.15">
      <c r="A107" s="92"/>
      <c r="B107" s="93"/>
      <c r="C107" s="59"/>
      <c r="D107" s="61"/>
      <c r="E107" s="94"/>
      <c r="F107" s="95"/>
      <c r="G107" s="95"/>
      <c r="H107" s="96"/>
      <c r="I107" s="54"/>
      <c r="J107" s="46"/>
      <c r="K107" s="97"/>
      <c r="L107" s="57"/>
      <c r="M107" s="44"/>
      <c r="N107" s="44"/>
      <c r="O107" s="42"/>
      <c r="P107" s="50"/>
      <c r="Q107" s="42"/>
      <c r="R107" s="52"/>
      <c r="S107" s="98"/>
      <c r="T107" s="99">
        <v>2</v>
      </c>
      <c r="U107" s="34" t="str">
        <f t="shared" ref="U107" si="1483">IF(S106="","",IF(T106=T107,"〃",IF(T107=1,"素焼土管",IF(T107=2,"合成樹脂管",IF(T107=3,"無孔管","")))))</f>
        <v/>
      </c>
      <c r="V107" s="35"/>
      <c r="W107" s="100"/>
      <c r="X107" s="101"/>
      <c r="Y107" s="95"/>
      <c r="Z107" s="42"/>
      <c r="AA107" s="46"/>
      <c r="AB107" s="97"/>
      <c r="AC107" s="36" t="str">
        <f t="shared" ref="AC107" si="1484">IF(S106="","",IF(T107=1,0.013,0.012))</f>
        <v/>
      </c>
      <c r="AD107" s="37" t="str">
        <f t="shared" ref="AD107" si="1485">IF(S106="","",(1/AC107*(W107/100/2)^(8/3)*(1/AB106*100)^(1/2)*1.65696)*100)</f>
        <v/>
      </c>
      <c r="AE107" s="37" t="str">
        <f t="shared" ref="AE107" si="1486">IF(S106="","",1/AC107*(W107/100/2)^(2/3)*(1/AB106)^(1/2)*0.70541)</f>
        <v/>
      </c>
      <c r="AF107" s="37" t="str">
        <f t="shared" ref="AF107" si="1487">IF(S106="","",ROUNDDOWN(AD107/($U$3/8.64),3))</f>
        <v/>
      </c>
      <c r="AG107" s="38" t="str">
        <f t="shared" ref="AG107" si="1488">IF(S106="","",ROUNDDOWN(AF107*10000/$AJ$3,0))</f>
        <v/>
      </c>
      <c r="AH107" s="39" t="str">
        <f t="shared" ref="AH107" si="1489">IF(S106="","",IF(AG107&gt;AI106,"＞",IF(AG107=AI106,"=","＜")))</f>
        <v/>
      </c>
      <c r="AI107" s="42"/>
      <c r="AJ107" s="44"/>
      <c r="AK107" s="39" t="str">
        <f t="shared" ref="AK107" si="1490">IF(S106="","",IF(AND(T107=1,AE107&gt;1),"NG",IF(AH107="＞","OK","NG")))</f>
        <v/>
      </c>
    </row>
    <row r="108" spans="1:37" ht="15.75" customHeight="1" x14ac:dyDescent="0.15">
      <c r="A108" s="80"/>
      <c r="B108" s="81">
        <v>2</v>
      </c>
      <c r="C108" s="58" t="str">
        <f t="shared" ref="C108" si="1491">IF(A108="","",IF(B108=1,"素　焼土　管",IF(B108=2,"合　成樹脂管",IF(B108=3,"無孔管",""))))</f>
        <v/>
      </c>
      <c r="D108" s="60"/>
      <c r="E108" s="82"/>
      <c r="F108" s="83"/>
      <c r="G108" s="83"/>
      <c r="H108" s="84"/>
      <c r="I108" s="53" t="str">
        <f t="shared" ref="I108" si="1492">IF(A108="","",F108-G108+H108)</f>
        <v/>
      </c>
      <c r="J108" s="55" t="str">
        <f t="shared" ref="J108" si="1493">IF(A108="",""," 1/")</f>
        <v/>
      </c>
      <c r="K108" s="85"/>
      <c r="L108" s="56" t="str">
        <f t="shared" ref="L108" si="1494">IF(A108="","",IF(B108=1,0.013,0.012))</f>
        <v/>
      </c>
      <c r="M108" s="47" t="str">
        <f t="shared" ref="M108" si="1495">IF(A108="","",(1/L108*(E108/100/2)^(8/3)*(1/K108*100)^(1/2)*1.65696)*100)</f>
        <v/>
      </c>
      <c r="N108" s="47" t="str">
        <f t="shared" ref="N108" si="1496">IF(A108="","",1/L108*(E108/100/2)^(2/3)*(1/K108)^(1/2)*0.70541)</f>
        <v/>
      </c>
      <c r="O108" s="48" t="str">
        <f t="shared" ref="O108" si="1497">IF(A108="","",ROUNDDOWN(M108/($U$3/8.64)*10000/$AJ$3,0))</f>
        <v/>
      </c>
      <c r="P108" s="49" t="str">
        <f t="shared" ref="P108" si="1498">IF(A108="","",IF(O108&gt;Q108,"＞","＜"))</f>
        <v/>
      </c>
      <c r="Q108" s="48" t="str">
        <f t="shared" ref="Q108" si="1499">IF(A108="","",I108)</f>
        <v/>
      </c>
      <c r="R108" s="51" t="str">
        <f t="shared" ref="R108" si="1500">IF(A108="","",IF(P108="＞","OK","NG"))</f>
        <v/>
      </c>
      <c r="S108" s="86"/>
      <c r="T108" s="87"/>
      <c r="U108" s="28" t="str">
        <f t="shared" ref="U108" si="1501">IF(S108="","",IF(T108=1,"素焼土管",IF(T108=2,"合成樹脂管",IF(T108=3,"無孔管",""))))</f>
        <v/>
      </c>
      <c r="V108" s="29"/>
      <c r="W108" s="88"/>
      <c r="X108" s="89"/>
      <c r="Y108" s="90"/>
      <c r="Z108" s="41" t="str">
        <f t="shared" ref="Z108" si="1502">IF(S108="","",IF(AND(T109=3,I108=""),Z106+Y108,IF(AND(Z106="",I106=""),I108+Y108,IF(AND(T109=3,I108&gt;0,Z106&gt;0),I108+Z106+Y108,IF(Z106="",I106+I108+X108+Y108,IF(I108="",Z106+X108+Y108,Z106+I108+X108+Y108))))))</f>
        <v/>
      </c>
      <c r="AA108" s="45" t="str">
        <f t="shared" ref="AA108" si="1503">IF(AB108="",""," 1/")</f>
        <v/>
      </c>
      <c r="AB108" s="91"/>
      <c r="AC108" s="30" t="str">
        <f t="shared" ref="AC108" si="1504">IF(S108="","",IF(T108="","",IF(T108=1,0.013,0.012)))</f>
        <v/>
      </c>
      <c r="AD108" s="31" t="str">
        <f t="shared" ref="AD108" si="1505">IF(S108="","",IF(T108="","",(1/AC108*(W108/100/2)^(8/3)*(1/AB108*100)^(1/2)*1.65696)*100))</f>
        <v/>
      </c>
      <c r="AE108" s="31" t="str">
        <f t="shared" ref="AE108" si="1506">IF(S108="","",IF(T108="","",1/AC108*(W108/100/2)^(2/3)*(1/AB108)^(1/2)*0.70541))</f>
        <v/>
      </c>
      <c r="AF108" s="31" t="str">
        <f t="shared" ref="AF108" si="1507">IF(S108="","",IF(T108="","",ROUNDDOWN(AD108/($U$3/8.64),3)))</f>
        <v/>
      </c>
      <c r="AG108" s="32" t="str">
        <f t="shared" ref="AG108" si="1508">IF(S108="","",IF(T108="","",ROUNDDOWN(AF108*10000/$AJ$3,0)))</f>
        <v/>
      </c>
      <c r="AH108" s="33" t="str">
        <f t="shared" ref="AH108" si="1509">IF(S108="","",IF(T108="","",IF(AG108&gt;AI108,"＞","＜")))</f>
        <v/>
      </c>
      <c r="AI108" s="41" t="str">
        <f t="shared" ref="AI108" si="1510">IF(S108="","",Z108)</f>
        <v/>
      </c>
      <c r="AJ108" s="43" t="str">
        <f t="shared" ref="AJ108" si="1511">IF(S108="","",AI108*$AJ$3/10000)</f>
        <v/>
      </c>
      <c r="AK108" s="33" t="str">
        <f t="shared" ref="AK108" si="1512">IF(S108="","",IF(T108="","",IF(AND(T108=1,AE108&gt;1),"NG",IF(AH108="＞","OK","NG"))))</f>
        <v/>
      </c>
    </row>
    <row r="109" spans="1:37" ht="15.75" customHeight="1" x14ac:dyDescent="0.15">
      <c r="A109" s="92"/>
      <c r="B109" s="93"/>
      <c r="C109" s="59"/>
      <c r="D109" s="61"/>
      <c r="E109" s="94"/>
      <c r="F109" s="95"/>
      <c r="G109" s="95"/>
      <c r="H109" s="96"/>
      <c r="I109" s="54"/>
      <c r="J109" s="46"/>
      <c r="K109" s="97"/>
      <c r="L109" s="57"/>
      <c r="M109" s="44"/>
      <c r="N109" s="44"/>
      <c r="O109" s="42"/>
      <c r="P109" s="50"/>
      <c r="Q109" s="42"/>
      <c r="R109" s="52"/>
      <c r="S109" s="98"/>
      <c r="T109" s="99">
        <v>2</v>
      </c>
      <c r="U109" s="34" t="str">
        <f t="shared" ref="U109" si="1513">IF(S108="","",IF(T108=T109,"〃",IF(T109=1,"素焼土管",IF(T109=2,"合成樹脂管",IF(T109=3,"無孔管","")))))</f>
        <v/>
      </c>
      <c r="V109" s="35"/>
      <c r="W109" s="100"/>
      <c r="X109" s="101"/>
      <c r="Y109" s="95"/>
      <c r="Z109" s="42"/>
      <c r="AA109" s="46"/>
      <c r="AB109" s="97"/>
      <c r="AC109" s="36" t="str">
        <f t="shared" ref="AC109" si="1514">IF(S108="","",IF(T109=1,0.013,0.012))</f>
        <v/>
      </c>
      <c r="AD109" s="37" t="str">
        <f t="shared" ref="AD109" si="1515">IF(S108="","",(1/AC109*(W109/100/2)^(8/3)*(1/AB108*100)^(1/2)*1.65696)*100)</f>
        <v/>
      </c>
      <c r="AE109" s="37" t="str">
        <f t="shared" ref="AE109" si="1516">IF(S108="","",1/AC109*(W109/100/2)^(2/3)*(1/AB108)^(1/2)*0.70541)</f>
        <v/>
      </c>
      <c r="AF109" s="37" t="str">
        <f t="shared" ref="AF109" si="1517">IF(S108="","",ROUNDDOWN(AD109/($U$3/8.64),3))</f>
        <v/>
      </c>
      <c r="AG109" s="38" t="str">
        <f t="shared" ref="AG109" si="1518">IF(S108="","",ROUNDDOWN(AF109*10000/$AJ$3,0))</f>
        <v/>
      </c>
      <c r="AH109" s="39" t="str">
        <f t="shared" ref="AH109" si="1519">IF(S108="","",IF(AG109&gt;AI108,"＞",IF(AG109=AI108,"=","＜")))</f>
        <v/>
      </c>
      <c r="AI109" s="42"/>
      <c r="AJ109" s="44"/>
      <c r="AK109" s="39" t="str">
        <f t="shared" ref="AK109" si="1520">IF(S108="","",IF(AND(T109=1,AE109&gt;1),"NG",IF(AH109="＞","OK","NG")))</f>
        <v/>
      </c>
    </row>
    <row r="110" spans="1:37" ht="15.75" customHeight="1" x14ac:dyDescent="0.15">
      <c r="A110" s="80"/>
      <c r="B110" s="81">
        <v>2</v>
      </c>
      <c r="C110" s="58" t="str">
        <f t="shared" ref="C110" si="1521">IF(A110="","",IF(B110=1,"素　焼土　管",IF(B110=2,"合　成樹脂管",IF(B110=3,"無孔管",""))))</f>
        <v/>
      </c>
      <c r="D110" s="60"/>
      <c r="E110" s="82"/>
      <c r="F110" s="83"/>
      <c r="G110" s="83"/>
      <c r="H110" s="84"/>
      <c r="I110" s="53" t="str">
        <f t="shared" ref="I110" si="1522">IF(A110="","",F110-G110+H110)</f>
        <v/>
      </c>
      <c r="J110" s="55" t="str">
        <f t="shared" ref="J110" si="1523">IF(A110="",""," 1/")</f>
        <v/>
      </c>
      <c r="K110" s="85"/>
      <c r="L110" s="56" t="str">
        <f t="shared" ref="L110" si="1524">IF(A110="","",IF(B110=1,0.013,0.012))</f>
        <v/>
      </c>
      <c r="M110" s="47" t="str">
        <f t="shared" ref="M110" si="1525">IF(A110="","",(1/L110*(E110/100/2)^(8/3)*(1/K110*100)^(1/2)*1.65696)*100)</f>
        <v/>
      </c>
      <c r="N110" s="47" t="str">
        <f t="shared" ref="N110" si="1526">IF(A110="","",1/L110*(E110/100/2)^(2/3)*(1/K110)^(1/2)*0.70541)</f>
        <v/>
      </c>
      <c r="O110" s="48" t="str">
        <f t="shared" ref="O110" si="1527">IF(A110="","",ROUNDDOWN(M110/($U$3/8.64)*10000/$AJ$3,0))</f>
        <v/>
      </c>
      <c r="P110" s="49" t="str">
        <f t="shared" ref="P110" si="1528">IF(A110="","",IF(O110&gt;Q110,"＞","＜"))</f>
        <v/>
      </c>
      <c r="Q110" s="48" t="str">
        <f t="shared" ref="Q110" si="1529">IF(A110="","",I110)</f>
        <v/>
      </c>
      <c r="R110" s="51" t="str">
        <f t="shared" ref="R110" si="1530">IF(A110="","",IF(P110="＞","OK","NG"))</f>
        <v/>
      </c>
      <c r="S110" s="86"/>
      <c r="T110" s="87"/>
      <c r="U110" s="28" t="str">
        <f t="shared" ref="U110" si="1531">IF(S110="","",IF(T110=1,"素焼土管",IF(T110=2,"合成樹脂管",IF(T110=3,"無孔管",""))))</f>
        <v/>
      </c>
      <c r="V110" s="29"/>
      <c r="W110" s="88"/>
      <c r="X110" s="89"/>
      <c r="Y110" s="90"/>
      <c r="Z110" s="41" t="str">
        <f t="shared" ref="Z110" si="1532">IF(S110="","",IF(AND(T111=3,I110=""),Z108+Y110,IF(AND(Z108="",I108=""),I110+Y110,IF(AND(T111=3,I110&gt;0,Z108&gt;0),I110+Z108+Y110,IF(Z108="",I108+I110+X110+Y110,IF(I110="",Z108+X110+Y110,Z108+I110+X110+Y110))))))</f>
        <v/>
      </c>
      <c r="AA110" s="45" t="str">
        <f t="shared" ref="AA110" si="1533">IF(AB110="",""," 1/")</f>
        <v/>
      </c>
      <c r="AB110" s="91"/>
      <c r="AC110" s="30" t="str">
        <f t="shared" ref="AC110" si="1534">IF(S110="","",IF(T110="","",IF(T110=1,0.013,0.012)))</f>
        <v/>
      </c>
      <c r="AD110" s="31" t="str">
        <f t="shared" ref="AD110" si="1535">IF(S110="","",IF(T110="","",(1/AC110*(W110/100/2)^(8/3)*(1/AB110*100)^(1/2)*1.65696)*100))</f>
        <v/>
      </c>
      <c r="AE110" s="31" t="str">
        <f t="shared" ref="AE110" si="1536">IF(S110="","",IF(T110="","",1/AC110*(W110/100/2)^(2/3)*(1/AB110)^(1/2)*0.70541))</f>
        <v/>
      </c>
      <c r="AF110" s="31" t="str">
        <f t="shared" ref="AF110" si="1537">IF(S110="","",IF(T110="","",ROUNDDOWN(AD110/($U$3/8.64),3)))</f>
        <v/>
      </c>
      <c r="AG110" s="32" t="str">
        <f t="shared" ref="AG110" si="1538">IF(S110="","",IF(T110="","",ROUNDDOWN(AF110*10000/$AJ$3,0)))</f>
        <v/>
      </c>
      <c r="AH110" s="33" t="str">
        <f t="shared" ref="AH110" si="1539">IF(S110="","",IF(T110="","",IF(AG110&gt;AI110,"＞","＜")))</f>
        <v/>
      </c>
      <c r="AI110" s="41" t="str">
        <f t="shared" ref="AI110" si="1540">IF(S110="","",Z110)</f>
        <v/>
      </c>
      <c r="AJ110" s="43" t="str">
        <f t="shared" ref="AJ110" si="1541">IF(S110="","",AI110*$AJ$3/10000)</f>
        <v/>
      </c>
      <c r="AK110" s="33" t="str">
        <f t="shared" ref="AK110" si="1542">IF(S110="","",IF(T110="","",IF(AND(T110=1,AE110&gt;1),"NG",IF(AH110="＞","OK","NG"))))</f>
        <v/>
      </c>
    </row>
    <row r="111" spans="1:37" ht="15.75" customHeight="1" x14ac:dyDescent="0.15">
      <c r="A111" s="92"/>
      <c r="B111" s="93"/>
      <c r="C111" s="59"/>
      <c r="D111" s="61"/>
      <c r="E111" s="94"/>
      <c r="F111" s="95"/>
      <c r="G111" s="95"/>
      <c r="H111" s="96"/>
      <c r="I111" s="54"/>
      <c r="J111" s="46"/>
      <c r="K111" s="97"/>
      <c r="L111" s="57"/>
      <c r="M111" s="44"/>
      <c r="N111" s="44"/>
      <c r="O111" s="42"/>
      <c r="P111" s="50"/>
      <c r="Q111" s="42"/>
      <c r="R111" s="52"/>
      <c r="S111" s="98"/>
      <c r="T111" s="99">
        <v>2</v>
      </c>
      <c r="U111" s="34" t="str">
        <f t="shared" ref="U111" si="1543">IF(S110="","",IF(T110=T111,"〃",IF(T111=1,"素焼土管",IF(T111=2,"合成樹脂管",IF(T111=3,"無孔管","")))))</f>
        <v/>
      </c>
      <c r="V111" s="35"/>
      <c r="W111" s="100"/>
      <c r="X111" s="101"/>
      <c r="Y111" s="95"/>
      <c r="Z111" s="42"/>
      <c r="AA111" s="46"/>
      <c r="AB111" s="97"/>
      <c r="AC111" s="36" t="str">
        <f t="shared" ref="AC111" si="1544">IF(S110="","",IF(T111=1,0.013,0.012))</f>
        <v/>
      </c>
      <c r="AD111" s="37" t="str">
        <f t="shared" ref="AD111" si="1545">IF(S110="","",(1/AC111*(W111/100/2)^(8/3)*(1/AB110*100)^(1/2)*1.65696)*100)</f>
        <v/>
      </c>
      <c r="AE111" s="37" t="str">
        <f t="shared" ref="AE111" si="1546">IF(S110="","",1/AC111*(W111/100/2)^(2/3)*(1/AB110)^(1/2)*0.70541)</f>
        <v/>
      </c>
      <c r="AF111" s="37" t="str">
        <f t="shared" ref="AF111" si="1547">IF(S110="","",ROUNDDOWN(AD111/($U$3/8.64),3))</f>
        <v/>
      </c>
      <c r="AG111" s="38" t="str">
        <f t="shared" ref="AG111" si="1548">IF(S110="","",ROUNDDOWN(AF111*10000/$AJ$3,0))</f>
        <v/>
      </c>
      <c r="AH111" s="39" t="str">
        <f t="shared" ref="AH111" si="1549">IF(S110="","",IF(AG111&gt;AI110,"＞",IF(AG111=AI110,"=","＜")))</f>
        <v/>
      </c>
      <c r="AI111" s="42"/>
      <c r="AJ111" s="44"/>
      <c r="AK111" s="39" t="str">
        <f t="shared" ref="AK111" si="1550">IF(S110="","",IF(AND(T111=1,AE111&gt;1),"NG",IF(AH111="＞","OK","NG")))</f>
        <v/>
      </c>
    </row>
    <row r="112" spans="1:37" ht="15.75" customHeight="1" x14ac:dyDescent="0.15">
      <c r="A112" s="80"/>
      <c r="B112" s="81">
        <v>2</v>
      </c>
      <c r="C112" s="58" t="str">
        <f t="shared" ref="C112" si="1551">IF(A112="","",IF(B112=1,"素　焼土　管",IF(B112=2,"合　成樹脂管",IF(B112=3,"無孔管",""))))</f>
        <v/>
      </c>
      <c r="D112" s="60"/>
      <c r="E112" s="82"/>
      <c r="F112" s="83"/>
      <c r="G112" s="83"/>
      <c r="H112" s="84"/>
      <c r="I112" s="53" t="str">
        <f t="shared" ref="I112" si="1552">IF(A112="","",F112-G112+H112)</f>
        <v/>
      </c>
      <c r="J112" s="55" t="str">
        <f t="shared" ref="J112" si="1553">IF(A112="",""," 1/")</f>
        <v/>
      </c>
      <c r="K112" s="85"/>
      <c r="L112" s="56" t="str">
        <f t="shared" ref="L112" si="1554">IF(A112="","",IF(B112=1,0.013,0.012))</f>
        <v/>
      </c>
      <c r="M112" s="47" t="str">
        <f t="shared" ref="M112" si="1555">IF(A112="","",(1/L112*(E112/100/2)^(8/3)*(1/K112*100)^(1/2)*1.65696)*100)</f>
        <v/>
      </c>
      <c r="N112" s="47" t="str">
        <f t="shared" ref="N112" si="1556">IF(A112="","",1/L112*(E112/100/2)^(2/3)*(1/K112)^(1/2)*0.70541)</f>
        <v/>
      </c>
      <c r="O112" s="48" t="str">
        <f t="shared" ref="O112" si="1557">IF(A112="","",ROUNDDOWN(M112/($U$3/8.64)*10000/$AJ$3,0))</f>
        <v/>
      </c>
      <c r="P112" s="49" t="str">
        <f t="shared" ref="P112" si="1558">IF(A112="","",IF(O112&gt;Q112,"＞","＜"))</f>
        <v/>
      </c>
      <c r="Q112" s="48" t="str">
        <f t="shared" ref="Q112" si="1559">IF(A112="","",I112)</f>
        <v/>
      </c>
      <c r="R112" s="51" t="str">
        <f t="shared" ref="R112" si="1560">IF(A112="","",IF(P112="＞","OK","NG"))</f>
        <v/>
      </c>
      <c r="S112" s="86"/>
      <c r="T112" s="87"/>
      <c r="U112" s="28" t="str">
        <f t="shared" ref="U112" si="1561">IF(S112="","",IF(T112=1,"素焼土管",IF(T112=2,"合成樹脂管",IF(T112=3,"無孔管",""))))</f>
        <v/>
      </c>
      <c r="V112" s="29"/>
      <c r="W112" s="88"/>
      <c r="X112" s="89"/>
      <c r="Y112" s="90"/>
      <c r="Z112" s="41" t="str">
        <f t="shared" ref="Z112" si="1562">IF(S112="","",IF(AND(T113=3,I112=""),Z110+Y112,IF(AND(Z110="",I110=""),I112+Y112,IF(AND(T113=3,I112&gt;0,Z110&gt;0),I112+Z110+Y112,IF(Z110="",I110+I112+X112+Y112,IF(I112="",Z110+X112+Y112,Z110+I112+X112+Y112))))))</f>
        <v/>
      </c>
      <c r="AA112" s="45" t="str">
        <f t="shared" ref="AA112" si="1563">IF(AB112="",""," 1/")</f>
        <v/>
      </c>
      <c r="AB112" s="91"/>
      <c r="AC112" s="30" t="str">
        <f t="shared" ref="AC112" si="1564">IF(S112="","",IF(T112="","",IF(T112=1,0.013,0.012)))</f>
        <v/>
      </c>
      <c r="AD112" s="31" t="str">
        <f t="shared" ref="AD112" si="1565">IF(S112="","",IF(T112="","",(1/AC112*(W112/100/2)^(8/3)*(1/AB112*100)^(1/2)*1.65696)*100))</f>
        <v/>
      </c>
      <c r="AE112" s="31" t="str">
        <f t="shared" ref="AE112" si="1566">IF(S112="","",IF(T112="","",1/AC112*(W112/100/2)^(2/3)*(1/AB112)^(1/2)*0.70541))</f>
        <v/>
      </c>
      <c r="AF112" s="31" t="str">
        <f t="shared" ref="AF112" si="1567">IF(S112="","",IF(T112="","",ROUNDDOWN(AD112/($U$3/8.64),3)))</f>
        <v/>
      </c>
      <c r="AG112" s="32" t="str">
        <f t="shared" ref="AG112" si="1568">IF(S112="","",IF(T112="","",ROUNDDOWN(AF112*10000/$AJ$3,0)))</f>
        <v/>
      </c>
      <c r="AH112" s="33" t="str">
        <f t="shared" ref="AH112" si="1569">IF(S112="","",IF(T112="","",IF(AG112&gt;AI112,"＞","＜")))</f>
        <v/>
      </c>
      <c r="AI112" s="41" t="str">
        <f t="shared" ref="AI112" si="1570">IF(S112="","",Z112)</f>
        <v/>
      </c>
      <c r="AJ112" s="43" t="str">
        <f t="shared" ref="AJ112" si="1571">IF(S112="","",AI112*$AJ$3/10000)</f>
        <v/>
      </c>
      <c r="AK112" s="33" t="str">
        <f t="shared" ref="AK112" si="1572">IF(S112="","",IF(T112="","",IF(AND(T112=1,AE112&gt;1),"NG",IF(AH112="＞","OK","NG"))))</f>
        <v/>
      </c>
    </row>
    <row r="113" spans="1:37" ht="15.75" customHeight="1" x14ac:dyDescent="0.15">
      <c r="A113" s="92"/>
      <c r="B113" s="93"/>
      <c r="C113" s="59"/>
      <c r="D113" s="61"/>
      <c r="E113" s="94"/>
      <c r="F113" s="95"/>
      <c r="G113" s="95"/>
      <c r="H113" s="96"/>
      <c r="I113" s="54"/>
      <c r="J113" s="46"/>
      <c r="K113" s="97"/>
      <c r="L113" s="57"/>
      <c r="M113" s="44"/>
      <c r="N113" s="44"/>
      <c r="O113" s="42"/>
      <c r="P113" s="50"/>
      <c r="Q113" s="42"/>
      <c r="R113" s="52"/>
      <c r="S113" s="98"/>
      <c r="T113" s="99">
        <v>2</v>
      </c>
      <c r="U113" s="34" t="str">
        <f t="shared" ref="U113" si="1573">IF(S112="","",IF(T112=T113,"〃",IF(T113=1,"素焼土管",IF(T113=2,"合成樹脂管",IF(T113=3,"無孔管","")))))</f>
        <v/>
      </c>
      <c r="V113" s="35"/>
      <c r="W113" s="100"/>
      <c r="X113" s="101"/>
      <c r="Y113" s="95"/>
      <c r="Z113" s="42"/>
      <c r="AA113" s="46"/>
      <c r="AB113" s="97"/>
      <c r="AC113" s="36" t="str">
        <f t="shared" ref="AC113" si="1574">IF(S112="","",IF(T113=1,0.013,0.012))</f>
        <v/>
      </c>
      <c r="AD113" s="37" t="str">
        <f t="shared" ref="AD113" si="1575">IF(S112="","",(1/AC113*(W113/100/2)^(8/3)*(1/AB112*100)^(1/2)*1.65696)*100)</f>
        <v/>
      </c>
      <c r="AE113" s="37" t="str">
        <f t="shared" ref="AE113" si="1576">IF(S112="","",1/AC113*(W113/100/2)^(2/3)*(1/AB112)^(1/2)*0.70541)</f>
        <v/>
      </c>
      <c r="AF113" s="37" t="str">
        <f t="shared" ref="AF113" si="1577">IF(S112="","",ROUNDDOWN(AD113/($U$3/8.64),3))</f>
        <v/>
      </c>
      <c r="AG113" s="38" t="str">
        <f t="shared" ref="AG113" si="1578">IF(S112="","",ROUNDDOWN(AF113*10000/$AJ$3,0))</f>
        <v/>
      </c>
      <c r="AH113" s="39" t="str">
        <f t="shared" ref="AH113" si="1579">IF(S112="","",IF(AG113&gt;AI112,"＞",IF(AG113=AI112,"=","＜")))</f>
        <v/>
      </c>
      <c r="AI113" s="42"/>
      <c r="AJ113" s="44"/>
      <c r="AK113" s="39" t="str">
        <f t="shared" ref="AK113" si="1580">IF(S112="","",IF(AND(T113=1,AE113&gt;1),"NG",IF(AH113="＞","OK","NG")))</f>
        <v/>
      </c>
    </row>
    <row r="114" spans="1:37" ht="15.75" customHeight="1" x14ac:dyDescent="0.15">
      <c r="A114" s="80"/>
      <c r="B114" s="81">
        <v>2</v>
      </c>
      <c r="C114" s="58" t="str">
        <f t="shared" ref="C114" si="1581">IF(A114="","",IF(B114=1,"素　焼土　管",IF(B114=2,"合　成樹脂管",IF(B114=3,"無孔管",""))))</f>
        <v/>
      </c>
      <c r="D114" s="60"/>
      <c r="E114" s="82"/>
      <c r="F114" s="83"/>
      <c r="G114" s="83"/>
      <c r="H114" s="84"/>
      <c r="I114" s="53" t="str">
        <f t="shared" ref="I114" si="1582">IF(A114="","",F114-G114+H114)</f>
        <v/>
      </c>
      <c r="J114" s="55" t="str">
        <f t="shared" ref="J114" si="1583">IF(A114="",""," 1/")</f>
        <v/>
      </c>
      <c r="K114" s="85"/>
      <c r="L114" s="56" t="str">
        <f t="shared" ref="L114" si="1584">IF(A114="","",IF(B114=1,0.013,0.012))</f>
        <v/>
      </c>
      <c r="M114" s="47" t="str">
        <f t="shared" ref="M114" si="1585">IF(A114="","",(1/L114*(E114/100/2)^(8/3)*(1/K114*100)^(1/2)*1.65696)*100)</f>
        <v/>
      </c>
      <c r="N114" s="47" t="str">
        <f t="shared" ref="N114" si="1586">IF(A114="","",1/L114*(E114/100/2)^(2/3)*(1/K114)^(1/2)*0.70541)</f>
        <v/>
      </c>
      <c r="O114" s="48" t="str">
        <f t="shared" ref="O114" si="1587">IF(A114="","",ROUNDDOWN(M114/($U$3/8.64)*10000/$AJ$3,0))</f>
        <v/>
      </c>
      <c r="P114" s="49" t="str">
        <f t="shared" ref="P114" si="1588">IF(A114="","",IF(O114&gt;Q114,"＞","＜"))</f>
        <v/>
      </c>
      <c r="Q114" s="48" t="str">
        <f t="shared" ref="Q114" si="1589">IF(A114="","",I114)</f>
        <v/>
      </c>
      <c r="R114" s="51" t="str">
        <f t="shared" ref="R114" si="1590">IF(A114="","",IF(P114="＞","OK","NG"))</f>
        <v/>
      </c>
      <c r="S114" s="86"/>
      <c r="T114" s="87"/>
      <c r="U114" s="28" t="str">
        <f t="shared" ref="U114" si="1591">IF(S114="","",IF(T114=1,"素焼土管",IF(T114=2,"合成樹脂管",IF(T114=3,"無孔管",""))))</f>
        <v/>
      </c>
      <c r="V114" s="29"/>
      <c r="W114" s="88"/>
      <c r="X114" s="89"/>
      <c r="Y114" s="90"/>
      <c r="Z114" s="41" t="str">
        <f t="shared" ref="Z114" si="1592">IF(S114="","",IF(AND(T115=3,I114=""),Z112+Y114,IF(AND(Z112="",I112=""),I114+Y114,IF(AND(T115=3,I114&gt;0,Z112&gt;0),I114+Z112+Y114,IF(Z112="",I112+I114+X114+Y114,IF(I114="",Z112+X114+Y114,Z112+I114+X114+Y114))))))</f>
        <v/>
      </c>
      <c r="AA114" s="45" t="str">
        <f t="shared" ref="AA114" si="1593">IF(AB114="",""," 1/")</f>
        <v/>
      </c>
      <c r="AB114" s="91"/>
      <c r="AC114" s="30" t="str">
        <f t="shared" ref="AC114" si="1594">IF(S114="","",IF(T114="","",IF(T114=1,0.013,0.012)))</f>
        <v/>
      </c>
      <c r="AD114" s="31" t="str">
        <f t="shared" ref="AD114" si="1595">IF(S114="","",IF(T114="","",(1/AC114*(W114/100/2)^(8/3)*(1/AB114*100)^(1/2)*1.65696)*100))</f>
        <v/>
      </c>
      <c r="AE114" s="31" t="str">
        <f t="shared" ref="AE114" si="1596">IF(S114="","",IF(T114="","",1/AC114*(W114/100/2)^(2/3)*(1/AB114)^(1/2)*0.70541))</f>
        <v/>
      </c>
      <c r="AF114" s="31" t="str">
        <f t="shared" ref="AF114" si="1597">IF(S114="","",IF(T114="","",ROUNDDOWN(AD114/($U$3/8.64),3)))</f>
        <v/>
      </c>
      <c r="AG114" s="32" t="str">
        <f t="shared" ref="AG114" si="1598">IF(S114="","",IF(T114="","",ROUNDDOWN(AF114*10000/$AJ$3,0)))</f>
        <v/>
      </c>
      <c r="AH114" s="33" t="str">
        <f t="shared" ref="AH114" si="1599">IF(S114="","",IF(T114="","",IF(AG114&gt;AI114,"＞","＜")))</f>
        <v/>
      </c>
      <c r="AI114" s="41" t="str">
        <f t="shared" ref="AI114" si="1600">IF(S114="","",Z114)</f>
        <v/>
      </c>
      <c r="AJ114" s="43" t="str">
        <f t="shared" ref="AJ114" si="1601">IF(S114="","",AI114*$AJ$3/10000)</f>
        <v/>
      </c>
      <c r="AK114" s="33" t="str">
        <f t="shared" ref="AK114" si="1602">IF(S114="","",IF(T114="","",IF(AND(T114=1,AE114&gt;1),"NG",IF(AH114="＞","OK","NG"))))</f>
        <v/>
      </c>
    </row>
    <row r="115" spans="1:37" ht="15.75" customHeight="1" x14ac:dyDescent="0.15">
      <c r="A115" s="92"/>
      <c r="B115" s="93"/>
      <c r="C115" s="59"/>
      <c r="D115" s="61"/>
      <c r="E115" s="94"/>
      <c r="F115" s="95"/>
      <c r="G115" s="95"/>
      <c r="H115" s="96"/>
      <c r="I115" s="54"/>
      <c r="J115" s="46"/>
      <c r="K115" s="97"/>
      <c r="L115" s="57"/>
      <c r="M115" s="44"/>
      <c r="N115" s="44"/>
      <c r="O115" s="42"/>
      <c r="P115" s="50"/>
      <c r="Q115" s="42"/>
      <c r="R115" s="52"/>
      <c r="S115" s="98"/>
      <c r="T115" s="99">
        <v>2</v>
      </c>
      <c r="U115" s="34" t="str">
        <f t="shared" ref="U115" si="1603">IF(S114="","",IF(T114=T115,"〃",IF(T115=1,"素焼土管",IF(T115=2,"合成樹脂管",IF(T115=3,"無孔管","")))))</f>
        <v/>
      </c>
      <c r="V115" s="35"/>
      <c r="W115" s="100"/>
      <c r="X115" s="101"/>
      <c r="Y115" s="95"/>
      <c r="Z115" s="42"/>
      <c r="AA115" s="46"/>
      <c r="AB115" s="97"/>
      <c r="AC115" s="36" t="str">
        <f t="shared" ref="AC115" si="1604">IF(S114="","",IF(T115=1,0.013,0.012))</f>
        <v/>
      </c>
      <c r="AD115" s="37" t="str">
        <f t="shared" ref="AD115" si="1605">IF(S114="","",(1/AC115*(W115/100/2)^(8/3)*(1/AB114*100)^(1/2)*1.65696)*100)</f>
        <v/>
      </c>
      <c r="AE115" s="37" t="str">
        <f t="shared" ref="AE115" si="1606">IF(S114="","",1/AC115*(W115/100/2)^(2/3)*(1/AB114)^(1/2)*0.70541)</f>
        <v/>
      </c>
      <c r="AF115" s="37" t="str">
        <f t="shared" ref="AF115" si="1607">IF(S114="","",ROUNDDOWN(AD115/($U$3/8.64),3))</f>
        <v/>
      </c>
      <c r="AG115" s="38" t="str">
        <f t="shared" ref="AG115" si="1608">IF(S114="","",ROUNDDOWN(AF115*10000/$AJ$3,0))</f>
        <v/>
      </c>
      <c r="AH115" s="39" t="str">
        <f t="shared" ref="AH115" si="1609">IF(S114="","",IF(AG115&gt;AI114,"＞",IF(AG115=AI114,"=","＜")))</f>
        <v/>
      </c>
      <c r="AI115" s="42"/>
      <c r="AJ115" s="44"/>
      <c r="AK115" s="39" t="str">
        <f t="shared" ref="AK115" si="1610">IF(S114="","",IF(AND(T115=1,AE115&gt;1),"NG",IF(AH115="＞","OK","NG")))</f>
        <v/>
      </c>
    </row>
    <row r="116" spans="1:37" ht="15.75" customHeight="1" x14ac:dyDescent="0.15">
      <c r="A116" s="80"/>
      <c r="B116" s="81">
        <v>2</v>
      </c>
      <c r="C116" s="58" t="str">
        <f t="shared" ref="C116" si="1611">IF(A116="","",IF(B116=1,"素　焼土　管",IF(B116=2,"合　成樹脂管",IF(B116=3,"無孔管",""))))</f>
        <v/>
      </c>
      <c r="D116" s="60"/>
      <c r="E116" s="82"/>
      <c r="F116" s="83"/>
      <c r="G116" s="83"/>
      <c r="H116" s="84"/>
      <c r="I116" s="53" t="str">
        <f t="shared" ref="I116" si="1612">IF(A116="","",F116-G116+H116)</f>
        <v/>
      </c>
      <c r="J116" s="55" t="str">
        <f t="shared" ref="J116" si="1613">IF(A116="",""," 1/")</f>
        <v/>
      </c>
      <c r="K116" s="85"/>
      <c r="L116" s="56" t="str">
        <f t="shared" ref="L116" si="1614">IF(A116="","",IF(B116=1,0.013,0.012))</f>
        <v/>
      </c>
      <c r="M116" s="47" t="str">
        <f t="shared" ref="M116" si="1615">IF(A116="","",(1/L116*(E116/100/2)^(8/3)*(1/K116*100)^(1/2)*1.65696)*100)</f>
        <v/>
      </c>
      <c r="N116" s="47" t="str">
        <f t="shared" ref="N116" si="1616">IF(A116="","",1/L116*(E116/100/2)^(2/3)*(1/K116)^(1/2)*0.70541)</f>
        <v/>
      </c>
      <c r="O116" s="48" t="str">
        <f t="shared" ref="O116" si="1617">IF(A116="","",ROUNDDOWN(M116/($U$3/8.64)*10000/$AJ$3,0))</f>
        <v/>
      </c>
      <c r="P116" s="49" t="str">
        <f t="shared" ref="P116" si="1618">IF(A116="","",IF(O116&gt;Q116,"＞","＜"))</f>
        <v/>
      </c>
      <c r="Q116" s="48" t="str">
        <f t="shared" ref="Q116" si="1619">IF(A116="","",I116)</f>
        <v/>
      </c>
      <c r="R116" s="51" t="str">
        <f t="shared" ref="R116" si="1620">IF(A116="","",IF(P116="＞","OK","NG"))</f>
        <v/>
      </c>
      <c r="S116" s="86"/>
      <c r="T116" s="87"/>
      <c r="U116" s="28" t="str">
        <f t="shared" ref="U116" si="1621">IF(S116="","",IF(T116=1,"素焼土管",IF(T116=2,"合成樹脂管",IF(T116=3,"無孔管",""))))</f>
        <v/>
      </c>
      <c r="V116" s="29"/>
      <c r="W116" s="88"/>
      <c r="X116" s="89"/>
      <c r="Y116" s="90"/>
      <c r="Z116" s="41" t="str">
        <f t="shared" ref="Z116" si="1622">IF(S116="","",IF(AND(T117=3,I116=""),Z114+Y116,IF(AND(Z114="",I114=""),I116+Y116,IF(AND(T117=3,I116&gt;0,Z114&gt;0),I116+Z114+Y116,IF(Z114="",I114+I116+X116+Y116,IF(I116="",Z114+X116+Y116,Z114+I116+X116+Y116))))))</f>
        <v/>
      </c>
      <c r="AA116" s="45" t="str">
        <f t="shared" ref="AA116" si="1623">IF(AB116="",""," 1/")</f>
        <v/>
      </c>
      <c r="AB116" s="91"/>
      <c r="AC116" s="30" t="str">
        <f t="shared" ref="AC116" si="1624">IF(S116="","",IF(T116="","",IF(T116=1,0.013,0.012)))</f>
        <v/>
      </c>
      <c r="AD116" s="31" t="str">
        <f t="shared" ref="AD116" si="1625">IF(S116="","",IF(T116="","",(1/AC116*(W116/100/2)^(8/3)*(1/AB116*100)^(1/2)*1.65696)*100))</f>
        <v/>
      </c>
      <c r="AE116" s="31" t="str">
        <f t="shared" ref="AE116" si="1626">IF(S116="","",IF(T116="","",1/AC116*(W116/100/2)^(2/3)*(1/AB116)^(1/2)*0.70541))</f>
        <v/>
      </c>
      <c r="AF116" s="31" t="str">
        <f t="shared" ref="AF116" si="1627">IF(S116="","",IF(T116="","",ROUNDDOWN(AD116/($U$3/8.64),3)))</f>
        <v/>
      </c>
      <c r="AG116" s="32" t="str">
        <f t="shared" ref="AG116" si="1628">IF(S116="","",IF(T116="","",ROUNDDOWN(AF116*10000/$AJ$3,0)))</f>
        <v/>
      </c>
      <c r="AH116" s="33" t="str">
        <f t="shared" ref="AH116" si="1629">IF(S116="","",IF(T116="","",IF(AG116&gt;AI116,"＞","＜")))</f>
        <v/>
      </c>
      <c r="AI116" s="41" t="str">
        <f t="shared" ref="AI116" si="1630">IF(S116="","",Z116)</f>
        <v/>
      </c>
      <c r="AJ116" s="43" t="str">
        <f t="shared" ref="AJ116" si="1631">IF(S116="","",AI116*$AJ$3/10000)</f>
        <v/>
      </c>
      <c r="AK116" s="33" t="str">
        <f t="shared" ref="AK116" si="1632">IF(S116="","",IF(T116="","",IF(AND(T116=1,AE116&gt;1),"NG",IF(AH116="＞","OK","NG"))))</f>
        <v/>
      </c>
    </row>
    <row r="117" spans="1:37" ht="15.75" customHeight="1" x14ac:dyDescent="0.15">
      <c r="A117" s="92"/>
      <c r="B117" s="93"/>
      <c r="C117" s="59"/>
      <c r="D117" s="61"/>
      <c r="E117" s="94"/>
      <c r="F117" s="95"/>
      <c r="G117" s="95"/>
      <c r="H117" s="96"/>
      <c r="I117" s="54"/>
      <c r="J117" s="46"/>
      <c r="K117" s="97"/>
      <c r="L117" s="57"/>
      <c r="M117" s="44"/>
      <c r="N117" s="44"/>
      <c r="O117" s="42"/>
      <c r="P117" s="50"/>
      <c r="Q117" s="42"/>
      <c r="R117" s="52"/>
      <c r="S117" s="98"/>
      <c r="T117" s="99">
        <v>2</v>
      </c>
      <c r="U117" s="34" t="str">
        <f t="shared" ref="U117" si="1633">IF(S116="","",IF(T116=T117,"〃",IF(T117=1,"素焼土管",IF(T117=2,"合成樹脂管",IF(T117=3,"無孔管","")))))</f>
        <v/>
      </c>
      <c r="V117" s="35"/>
      <c r="W117" s="100"/>
      <c r="X117" s="101"/>
      <c r="Y117" s="95"/>
      <c r="Z117" s="42"/>
      <c r="AA117" s="46"/>
      <c r="AB117" s="97"/>
      <c r="AC117" s="36" t="str">
        <f t="shared" ref="AC117" si="1634">IF(S116="","",IF(T117=1,0.013,0.012))</f>
        <v/>
      </c>
      <c r="AD117" s="37" t="str">
        <f t="shared" ref="AD117" si="1635">IF(S116="","",(1/AC117*(W117/100/2)^(8/3)*(1/AB116*100)^(1/2)*1.65696)*100)</f>
        <v/>
      </c>
      <c r="AE117" s="37" t="str">
        <f t="shared" ref="AE117" si="1636">IF(S116="","",1/AC117*(W117/100/2)^(2/3)*(1/AB116)^(1/2)*0.70541)</f>
        <v/>
      </c>
      <c r="AF117" s="37" t="str">
        <f t="shared" ref="AF117" si="1637">IF(S116="","",ROUNDDOWN(AD117/($U$3/8.64),3))</f>
        <v/>
      </c>
      <c r="AG117" s="38" t="str">
        <f t="shared" ref="AG117" si="1638">IF(S116="","",ROUNDDOWN(AF117*10000/$AJ$3,0))</f>
        <v/>
      </c>
      <c r="AH117" s="39" t="str">
        <f t="shared" ref="AH117" si="1639">IF(S116="","",IF(AG117&gt;AI116,"＞",IF(AG117=AI116,"=","＜")))</f>
        <v/>
      </c>
      <c r="AI117" s="42"/>
      <c r="AJ117" s="44"/>
      <c r="AK117" s="39" t="str">
        <f t="shared" ref="AK117" si="1640">IF(S116="","",IF(AND(T117=1,AE117&gt;1),"NG",IF(AH117="＞","OK","NG")))</f>
        <v/>
      </c>
    </row>
    <row r="118" spans="1:37" ht="15.75" customHeight="1" x14ac:dyDescent="0.15">
      <c r="A118" s="80"/>
      <c r="B118" s="81">
        <v>2</v>
      </c>
      <c r="C118" s="58" t="str">
        <f t="shared" ref="C118" si="1641">IF(A118="","",IF(B118=1,"素　焼土　管",IF(B118=2,"合　成樹脂管",IF(B118=3,"無孔管",""))))</f>
        <v/>
      </c>
      <c r="D118" s="60"/>
      <c r="E118" s="82"/>
      <c r="F118" s="83"/>
      <c r="G118" s="83"/>
      <c r="H118" s="84"/>
      <c r="I118" s="53" t="str">
        <f t="shared" ref="I118" si="1642">IF(A118="","",F118-G118+H118)</f>
        <v/>
      </c>
      <c r="J118" s="55" t="str">
        <f t="shared" ref="J118" si="1643">IF(A118="",""," 1/")</f>
        <v/>
      </c>
      <c r="K118" s="85"/>
      <c r="L118" s="56" t="str">
        <f t="shared" ref="L118" si="1644">IF(A118="","",IF(B118=1,0.013,0.012))</f>
        <v/>
      </c>
      <c r="M118" s="47" t="str">
        <f t="shared" ref="M118" si="1645">IF(A118="","",(1/L118*(E118/100/2)^(8/3)*(1/K118*100)^(1/2)*1.65696)*100)</f>
        <v/>
      </c>
      <c r="N118" s="47" t="str">
        <f t="shared" ref="N118" si="1646">IF(A118="","",1/L118*(E118/100/2)^(2/3)*(1/K118)^(1/2)*0.70541)</f>
        <v/>
      </c>
      <c r="O118" s="48" t="str">
        <f t="shared" ref="O118" si="1647">IF(A118="","",ROUNDDOWN(M118/($U$3/8.64)*10000/$AJ$3,0))</f>
        <v/>
      </c>
      <c r="P118" s="49" t="str">
        <f t="shared" ref="P118" si="1648">IF(A118="","",IF(O118&gt;Q118,"＞","＜"))</f>
        <v/>
      </c>
      <c r="Q118" s="48" t="str">
        <f t="shared" ref="Q118" si="1649">IF(A118="","",I118)</f>
        <v/>
      </c>
      <c r="R118" s="51" t="str">
        <f t="shared" ref="R118" si="1650">IF(A118="","",IF(P118="＞","OK","NG"))</f>
        <v/>
      </c>
      <c r="S118" s="86"/>
      <c r="T118" s="87"/>
      <c r="U118" s="28" t="str">
        <f t="shared" ref="U118" si="1651">IF(S118="","",IF(T118=1,"素焼土管",IF(T118=2,"合成樹脂管",IF(T118=3,"無孔管",""))))</f>
        <v/>
      </c>
      <c r="V118" s="29"/>
      <c r="W118" s="88"/>
      <c r="X118" s="89"/>
      <c r="Y118" s="90"/>
      <c r="Z118" s="41" t="str">
        <f t="shared" ref="Z118" si="1652">IF(S118="","",IF(AND(T119=3,I118=""),Z116+Y118,IF(AND(Z116="",I116=""),I118+Y118,IF(AND(T119=3,I118&gt;0,Z116&gt;0),I118+Z116+Y118,IF(Z116="",I116+I118+X118+Y118,IF(I118="",Z116+X118+Y118,Z116+I118+X118+Y118))))))</f>
        <v/>
      </c>
      <c r="AA118" s="45" t="str">
        <f t="shared" ref="AA118" si="1653">IF(AB118="",""," 1/")</f>
        <v/>
      </c>
      <c r="AB118" s="91"/>
      <c r="AC118" s="30" t="str">
        <f t="shared" ref="AC118" si="1654">IF(S118="","",IF(T118="","",IF(T118=1,0.013,0.012)))</f>
        <v/>
      </c>
      <c r="AD118" s="31" t="str">
        <f t="shared" ref="AD118" si="1655">IF(S118="","",IF(T118="","",(1/AC118*(W118/100/2)^(8/3)*(1/AB118*100)^(1/2)*1.65696)*100))</f>
        <v/>
      </c>
      <c r="AE118" s="31" t="str">
        <f t="shared" ref="AE118" si="1656">IF(S118="","",IF(T118="","",1/AC118*(W118/100/2)^(2/3)*(1/AB118)^(1/2)*0.70541))</f>
        <v/>
      </c>
      <c r="AF118" s="31" t="str">
        <f t="shared" ref="AF118" si="1657">IF(S118="","",IF(T118="","",ROUNDDOWN(AD118/($U$3/8.64),3)))</f>
        <v/>
      </c>
      <c r="AG118" s="32" t="str">
        <f t="shared" ref="AG118" si="1658">IF(S118="","",IF(T118="","",ROUNDDOWN(AF118*10000/$AJ$3,0)))</f>
        <v/>
      </c>
      <c r="AH118" s="33" t="str">
        <f t="shared" ref="AH118" si="1659">IF(S118="","",IF(T118="","",IF(AG118&gt;AI118,"＞","＜")))</f>
        <v/>
      </c>
      <c r="AI118" s="41" t="str">
        <f t="shared" ref="AI118" si="1660">IF(S118="","",Z118)</f>
        <v/>
      </c>
      <c r="AJ118" s="43" t="str">
        <f t="shared" ref="AJ118" si="1661">IF(S118="","",AI118*$AJ$3/10000)</f>
        <v/>
      </c>
      <c r="AK118" s="33" t="str">
        <f t="shared" ref="AK118" si="1662">IF(S118="","",IF(T118="","",IF(AND(T118=1,AE118&gt;1),"NG",IF(AH118="＞","OK","NG"))))</f>
        <v/>
      </c>
    </row>
    <row r="119" spans="1:37" ht="15.75" customHeight="1" x14ac:dyDescent="0.15">
      <c r="A119" s="92"/>
      <c r="B119" s="93"/>
      <c r="C119" s="59"/>
      <c r="D119" s="61"/>
      <c r="E119" s="94"/>
      <c r="F119" s="95"/>
      <c r="G119" s="95"/>
      <c r="H119" s="96"/>
      <c r="I119" s="54"/>
      <c r="J119" s="46"/>
      <c r="K119" s="97"/>
      <c r="L119" s="57"/>
      <c r="M119" s="44"/>
      <c r="N119" s="44"/>
      <c r="O119" s="42"/>
      <c r="P119" s="50"/>
      <c r="Q119" s="42"/>
      <c r="R119" s="52"/>
      <c r="S119" s="98"/>
      <c r="T119" s="99">
        <v>2</v>
      </c>
      <c r="U119" s="34" t="str">
        <f t="shared" ref="U119" si="1663">IF(S118="","",IF(T118=T119,"〃",IF(T119=1,"素焼土管",IF(T119=2,"合成樹脂管",IF(T119=3,"無孔管","")))))</f>
        <v/>
      </c>
      <c r="V119" s="35"/>
      <c r="W119" s="100"/>
      <c r="X119" s="101"/>
      <c r="Y119" s="95"/>
      <c r="Z119" s="42"/>
      <c r="AA119" s="46"/>
      <c r="AB119" s="97"/>
      <c r="AC119" s="36" t="str">
        <f t="shared" ref="AC119" si="1664">IF(S118="","",IF(T119=1,0.013,0.012))</f>
        <v/>
      </c>
      <c r="AD119" s="37" t="str">
        <f t="shared" ref="AD119" si="1665">IF(S118="","",(1/AC119*(W119/100/2)^(8/3)*(1/AB118*100)^(1/2)*1.65696)*100)</f>
        <v/>
      </c>
      <c r="AE119" s="37" t="str">
        <f t="shared" ref="AE119" si="1666">IF(S118="","",1/AC119*(W119/100/2)^(2/3)*(1/AB118)^(1/2)*0.70541)</f>
        <v/>
      </c>
      <c r="AF119" s="37" t="str">
        <f t="shared" ref="AF119" si="1667">IF(S118="","",ROUNDDOWN(AD119/($U$3/8.64),3))</f>
        <v/>
      </c>
      <c r="AG119" s="38" t="str">
        <f t="shared" ref="AG119" si="1668">IF(S118="","",ROUNDDOWN(AF119*10000/$AJ$3,0))</f>
        <v/>
      </c>
      <c r="AH119" s="39" t="str">
        <f t="shared" ref="AH119" si="1669">IF(S118="","",IF(AG119&gt;AI118,"＞",IF(AG119=AI118,"=","＜")))</f>
        <v/>
      </c>
      <c r="AI119" s="42"/>
      <c r="AJ119" s="44"/>
      <c r="AK119" s="39" t="str">
        <f t="shared" ref="AK119" si="1670">IF(S118="","",IF(AND(T119=1,AE119&gt;1),"NG",IF(AH119="＞","OK","NG")))</f>
        <v/>
      </c>
    </row>
    <row r="120" spans="1:37" ht="15.75" customHeight="1" x14ac:dyDescent="0.15">
      <c r="A120" s="80"/>
      <c r="B120" s="81">
        <v>2</v>
      </c>
      <c r="C120" s="58" t="str">
        <f t="shared" ref="C120" si="1671">IF(A120="","",IF(B120=1,"素　焼土　管",IF(B120=2,"合　成樹脂管",IF(B120=3,"無孔管",""))))</f>
        <v/>
      </c>
      <c r="D120" s="60"/>
      <c r="E120" s="82"/>
      <c r="F120" s="83"/>
      <c r="G120" s="83"/>
      <c r="H120" s="84"/>
      <c r="I120" s="53" t="str">
        <f t="shared" ref="I120" si="1672">IF(A120="","",F120-G120+H120)</f>
        <v/>
      </c>
      <c r="J120" s="55" t="str">
        <f t="shared" ref="J120" si="1673">IF(A120="",""," 1/")</f>
        <v/>
      </c>
      <c r="K120" s="85"/>
      <c r="L120" s="56" t="str">
        <f t="shared" ref="L120" si="1674">IF(A120="","",IF(B120=1,0.013,0.012))</f>
        <v/>
      </c>
      <c r="M120" s="47" t="str">
        <f t="shared" ref="M120" si="1675">IF(A120="","",(1/L120*(E120/100/2)^(8/3)*(1/K120*100)^(1/2)*1.65696)*100)</f>
        <v/>
      </c>
      <c r="N120" s="47" t="str">
        <f t="shared" ref="N120" si="1676">IF(A120="","",1/L120*(E120/100/2)^(2/3)*(1/K120)^(1/2)*0.70541)</f>
        <v/>
      </c>
      <c r="O120" s="48" t="str">
        <f t="shared" ref="O120" si="1677">IF(A120="","",ROUNDDOWN(M120/($U$3/8.64)*10000/$AJ$3,0))</f>
        <v/>
      </c>
      <c r="P120" s="49" t="str">
        <f t="shared" ref="P120" si="1678">IF(A120="","",IF(O120&gt;Q120,"＞","＜"))</f>
        <v/>
      </c>
      <c r="Q120" s="48" t="str">
        <f t="shared" ref="Q120" si="1679">IF(A120="","",I120)</f>
        <v/>
      </c>
      <c r="R120" s="51" t="str">
        <f t="shared" ref="R120" si="1680">IF(A120="","",IF(P120="＞","OK","NG"))</f>
        <v/>
      </c>
      <c r="S120" s="86"/>
      <c r="T120" s="87"/>
      <c r="U120" s="28" t="str">
        <f t="shared" ref="U120" si="1681">IF(S120="","",IF(T120=1,"素焼土管",IF(T120=2,"合成樹脂管",IF(T120=3,"無孔管",""))))</f>
        <v/>
      </c>
      <c r="V120" s="29"/>
      <c r="W120" s="88"/>
      <c r="X120" s="89"/>
      <c r="Y120" s="90"/>
      <c r="Z120" s="41" t="str">
        <f t="shared" ref="Z120" si="1682">IF(S120="","",IF(AND(T121=3,I120=""),Z118+Y120,IF(AND(Z118="",I118=""),I120+Y120,IF(AND(T121=3,I120&gt;0,Z118&gt;0),I120+Z118+Y120,IF(Z118="",I118+I120+X120+Y120,IF(I120="",Z118+X120+Y120,Z118+I120+X120+Y120))))))</f>
        <v/>
      </c>
      <c r="AA120" s="45" t="str">
        <f t="shared" ref="AA120" si="1683">IF(AB120="",""," 1/")</f>
        <v/>
      </c>
      <c r="AB120" s="91"/>
      <c r="AC120" s="30" t="str">
        <f t="shared" ref="AC120" si="1684">IF(S120="","",IF(T120="","",IF(T120=1,0.013,0.012)))</f>
        <v/>
      </c>
      <c r="AD120" s="31" t="str">
        <f t="shared" ref="AD120" si="1685">IF(S120="","",IF(T120="","",(1/AC120*(W120/100/2)^(8/3)*(1/AB120*100)^(1/2)*1.65696)*100))</f>
        <v/>
      </c>
      <c r="AE120" s="31" t="str">
        <f t="shared" ref="AE120" si="1686">IF(S120="","",IF(T120="","",1/AC120*(W120/100/2)^(2/3)*(1/AB120)^(1/2)*0.70541))</f>
        <v/>
      </c>
      <c r="AF120" s="31" t="str">
        <f t="shared" ref="AF120" si="1687">IF(S120="","",IF(T120="","",ROUNDDOWN(AD120/($U$3/8.64),3)))</f>
        <v/>
      </c>
      <c r="AG120" s="32" t="str">
        <f t="shared" ref="AG120" si="1688">IF(S120="","",IF(T120="","",ROUNDDOWN(AF120*10000/$AJ$3,0)))</f>
        <v/>
      </c>
      <c r="AH120" s="33" t="str">
        <f t="shared" ref="AH120" si="1689">IF(S120="","",IF(T120="","",IF(AG120&gt;AI120,"＞","＜")))</f>
        <v/>
      </c>
      <c r="AI120" s="41" t="str">
        <f t="shared" ref="AI120" si="1690">IF(S120="","",Z120)</f>
        <v/>
      </c>
      <c r="AJ120" s="43" t="str">
        <f t="shared" ref="AJ120" si="1691">IF(S120="","",AI120*$AJ$3/10000)</f>
        <v/>
      </c>
      <c r="AK120" s="33" t="str">
        <f t="shared" ref="AK120" si="1692">IF(S120="","",IF(T120="","",IF(AND(T120=1,AE120&gt;1),"NG",IF(AH120="＞","OK","NG"))))</f>
        <v/>
      </c>
    </row>
    <row r="121" spans="1:37" ht="15.75" customHeight="1" x14ac:dyDescent="0.15">
      <c r="A121" s="92"/>
      <c r="B121" s="93"/>
      <c r="C121" s="59"/>
      <c r="D121" s="61"/>
      <c r="E121" s="94"/>
      <c r="F121" s="95"/>
      <c r="G121" s="95"/>
      <c r="H121" s="96"/>
      <c r="I121" s="54"/>
      <c r="J121" s="46"/>
      <c r="K121" s="97"/>
      <c r="L121" s="57"/>
      <c r="M121" s="44"/>
      <c r="N121" s="44"/>
      <c r="O121" s="42"/>
      <c r="P121" s="50"/>
      <c r="Q121" s="42"/>
      <c r="R121" s="52"/>
      <c r="S121" s="98"/>
      <c r="T121" s="99">
        <v>2</v>
      </c>
      <c r="U121" s="34" t="str">
        <f t="shared" ref="U121" si="1693">IF(S120="","",IF(T120=T121,"〃",IF(T121=1,"素焼土管",IF(T121=2,"合成樹脂管",IF(T121=3,"無孔管","")))))</f>
        <v/>
      </c>
      <c r="V121" s="35"/>
      <c r="W121" s="100"/>
      <c r="X121" s="101"/>
      <c r="Y121" s="95"/>
      <c r="Z121" s="42"/>
      <c r="AA121" s="46"/>
      <c r="AB121" s="97"/>
      <c r="AC121" s="36" t="str">
        <f t="shared" ref="AC121" si="1694">IF(S120="","",IF(T121=1,0.013,0.012))</f>
        <v/>
      </c>
      <c r="AD121" s="37" t="str">
        <f t="shared" ref="AD121" si="1695">IF(S120="","",(1/AC121*(W121/100/2)^(8/3)*(1/AB120*100)^(1/2)*1.65696)*100)</f>
        <v/>
      </c>
      <c r="AE121" s="37" t="str">
        <f t="shared" ref="AE121" si="1696">IF(S120="","",1/AC121*(W121/100/2)^(2/3)*(1/AB120)^(1/2)*0.70541)</f>
        <v/>
      </c>
      <c r="AF121" s="37" t="str">
        <f t="shared" ref="AF121" si="1697">IF(S120="","",ROUNDDOWN(AD121/($U$3/8.64),3))</f>
        <v/>
      </c>
      <c r="AG121" s="38" t="str">
        <f t="shared" ref="AG121" si="1698">IF(S120="","",ROUNDDOWN(AF121*10000/$AJ$3,0))</f>
        <v/>
      </c>
      <c r="AH121" s="39" t="str">
        <f t="shared" ref="AH121" si="1699">IF(S120="","",IF(AG121&gt;AI120,"＞",IF(AG121=AI120,"=","＜")))</f>
        <v/>
      </c>
      <c r="AI121" s="42"/>
      <c r="AJ121" s="44"/>
      <c r="AK121" s="39" t="str">
        <f t="shared" ref="AK121" si="1700">IF(S120="","",IF(AND(T121=1,AE121&gt;1),"NG",IF(AH121="＞","OK","NG")))</f>
        <v/>
      </c>
    </row>
    <row r="122" spans="1:37" ht="15.75" customHeight="1" x14ac:dyDescent="0.15">
      <c r="A122" s="80"/>
      <c r="B122" s="81">
        <v>2</v>
      </c>
      <c r="C122" s="58" t="str">
        <f t="shared" ref="C122" si="1701">IF(A122="","",IF(B122=1,"素　焼土　管",IF(B122=2,"合　成樹脂管",IF(B122=3,"無孔管",""))))</f>
        <v/>
      </c>
      <c r="D122" s="60"/>
      <c r="E122" s="82"/>
      <c r="F122" s="83"/>
      <c r="G122" s="83"/>
      <c r="H122" s="84"/>
      <c r="I122" s="53" t="str">
        <f t="shared" ref="I122" si="1702">IF(A122="","",F122-G122+H122)</f>
        <v/>
      </c>
      <c r="J122" s="55" t="str">
        <f t="shared" ref="J122" si="1703">IF(A122="",""," 1/")</f>
        <v/>
      </c>
      <c r="K122" s="85"/>
      <c r="L122" s="56" t="str">
        <f t="shared" ref="L122" si="1704">IF(A122="","",IF(B122=1,0.013,0.012))</f>
        <v/>
      </c>
      <c r="M122" s="47" t="str">
        <f t="shared" ref="M122" si="1705">IF(A122="","",(1/L122*(E122/100/2)^(8/3)*(1/K122*100)^(1/2)*1.65696)*100)</f>
        <v/>
      </c>
      <c r="N122" s="47" t="str">
        <f t="shared" ref="N122" si="1706">IF(A122="","",1/L122*(E122/100/2)^(2/3)*(1/K122)^(1/2)*0.70541)</f>
        <v/>
      </c>
      <c r="O122" s="48" t="str">
        <f t="shared" ref="O122" si="1707">IF(A122="","",ROUNDDOWN(M122/($U$3/8.64)*10000/$AJ$3,0))</f>
        <v/>
      </c>
      <c r="P122" s="49" t="str">
        <f t="shared" ref="P122" si="1708">IF(A122="","",IF(O122&gt;Q122,"＞","＜"))</f>
        <v/>
      </c>
      <c r="Q122" s="48" t="str">
        <f t="shared" ref="Q122" si="1709">IF(A122="","",I122)</f>
        <v/>
      </c>
      <c r="R122" s="51" t="str">
        <f t="shared" ref="R122" si="1710">IF(A122="","",IF(P122="＞","OK","NG"))</f>
        <v/>
      </c>
      <c r="S122" s="86"/>
      <c r="T122" s="87"/>
      <c r="U122" s="28" t="str">
        <f t="shared" ref="U122" si="1711">IF(S122="","",IF(T122=1,"素焼土管",IF(T122=2,"合成樹脂管",IF(T122=3,"無孔管",""))))</f>
        <v/>
      </c>
      <c r="V122" s="29"/>
      <c r="W122" s="88"/>
      <c r="X122" s="89"/>
      <c r="Y122" s="90"/>
      <c r="Z122" s="41" t="str">
        <f t="shared" ref="Z122" si="1712">IF(S122="","",IF(AND(T123=3,I122=""),Z120+Y122,IF(AND(Z120="",I120=""),I122+Y122,IF(AND(T123=3,I122&gt;0,Z120&gt;0),I122+Z120+Y122,IF(Z120="",I120+I122+X122+Y122,IF(I122="",Z120+X122+Y122,Z120+I122+X122+Y122))))))</f>
        <v/>
      </c>
      <c r="AA122" s="45" t="str">
        <f t="shared" ref="AA122" si="1713">IF(AB122="",""," 1/")</f>
        <v/>
      </c>
      <c r="AB122" s="91"/>
      <c r="AC122" s="30" t="str">
        <f t="shared" ref="AC122" si="1714">IF(S122="","",IF(T122="","",IF(T122=1,0.013,0.012)))</f>
        <v/>
      </c>
      <c r="AD122" s="31" t="str">
        <f t="shared" ref="AD122" si="1715">IF(S122="","",IF(T122="","",(1/AC122*(W122/100/2)^(8/3)*(1/AB122*100)^(1/2)*1.65696)*100))</f>
        <v/>
      </c>
      <c r="AE122" s="31" t="str">
        <f t="shared" ref="AE122" si="1716">IF(S122="","",IF(T122="","",1/AC122*(W122/100/2)^(2/3)*(1/AB122)^(1/2)*0.70541))</f>
        <v/>
      </c>
      <c r="AF122" s="31" t="str">
        <f t="shared" ref="AF122" si="1717">IF(S122="","",IF(T122="","",ROUNDDOWN(AD122/($U$3/8.64),3)))</f>
        <v/>
      </c>
      <c r="AG122" s="32" t="str">
        <f t="shared" ref="AG122" si="1718">IF(S122="","",IF(T122="","",ROUNDDOWN(AF122*10000/$AJ$3,0)))</f>
        <v/>
      </c>
      <c r="AH122" s="33" t="str">
        <f t="shared" ref="AH122" si="1719">IF(S122="","",IF(T122="","",IF(AG122&gt;AI122,"＞","＜")))</f>
        <v/>
      </c>
      <c r="AI122" s="41" t="str">
        <f t="shared" ref="AI122" si="1720">IF(S122="","",Z122)</f>
        <v/>
      </c>
      <c r="AJ122" s="43" t="str">
        <f t="shared" ref="AJ122" si="1721">IF(S122="","",AI122*$AJ$3/10000)</f>
        <v/>
      </c>
      <c r="AK122" s="33" t="str">
        <f t="shared" ref="AK122" si="1722">IF(S122="","",IF(T122="","",IF(AND(T122=1,AE122&gt;1),"NG",IF(AH122="＞","OK","NG"))))</f>
        <v/>
      </c>
    </row>
    <row r="123" spans="1:37" ht="15.75" customHeight="1" x14ac:dyDescent="0.15">
      <c r="A123" s="92"/>
      <c r="B123" s="93"/>
      <c r="C123" s="59"/>
      <c r="D123" s="61"/>
      <c r="E123" s="94"/>
      <c r="F123" s="95"/>
      <c r="G123" s="95"/>
      <c r="H123" s="96"/>
      <c r="I123" s="54"/>
      <c r="J123" s="46"/>
      <c r="K123" s="97"/>
      <c r="L123" s="57"/>
      <c r="M123" s="44"/>
      <c r="N123" s="44"/>
      <c r="O123" s="42"/>
      <c r="P123" s="50"/>
      <c r="Q123" s="42"/>
      <c r="R123" s="52"/>
      <c r="S123" s="98"/>
      <c r="T123" s="99">
        <v>2</v>
      </c>
      <c r="U123" s="34" t="str">
        <f t="shared" ref="U123" si="1723">IF(S122="","",IF(T122=T123,"〃",IF(T123=1,"素焼土管",IF(T123=2,"合成樹脂管",IF(T123=3,"無孔管","")))))</f>
        <v/>
      </c>
      <c r="V123" s="35"/>
      <c r="W123" s="100"/>
      <c r="X123" s="101"/>
      <c r="Y123" s="95"/>
      <c r="Z123" s="42"/>
      <c r="AA123" s="46"/>
      <c r="AB123" s="97"/>
      <c r="AC123" s="36" t="str">
        <f t="shared" ref="AC123" si="1724">IF(S122="","",IF(T123=1,0.013,0.012))</f>
        <v/>
      </c>
      <c r="AD123" s="37" t="str">
        <f t="shared" ref="AD123" si="1725">IF(S122="","",(1/AC123*(W123/100/2)^(8/3)*(1/AB122*100)^(1/2)*1.65696)*100)</f>
        <v/>
      </c>
      <c r="AE123" s="37" t="str">
        <f t="shared" ref="AE123" si="1726">IF(S122="","",1/AC123*(W123/100/2)^(2/3)*(1/AB122)^(1/2)*0.70541)</f>
        <v/>
      </c>
      <c r="AF123" s="37" t="str">
        <f t="shared" ref="AF123" si="1727">IF(S122="","",ROUNDDOWN(AD123/($U$3/8.64),3))</f>
        <v/>
      </c>
      <c r="AG123" s="38" t="str">
        <f t="shared" ref="AG123" si="1728">IF(S122="","",ROUNDDOWN(AF123*10000/$AJ$3,0))</f>
        <v/>
      </c>
      <c r="AH123" s="39" t="str">
        <f t="shared" ref="AH123" si="1729">IF(S122="","",IF(AG123&gt;AI122,"＞",IF(AG123=AI122,"=","＜")))</f>
        <v/>
      </c>
      <c r="AI123" s="42"/>
      <c r="AJ123" s="44"/>
      <c r="AK123" s="39" t="str">
        <f t="shared" ref="AK123" si="1730">IF(S122="","",IF(AND(T123=1,AE123&gt;1),"NG",IF(AH123="＞","OK","NG")))</f>
        <v/>
      </c>
    </row>
    <row r="124" spans="1:37" ht="15.75" customHeight="1" x14ac:dyDescent="0.15">
      <c r="A124" s="80"/>
      <c r="B124" s="81">
        <v>2</v>
      </c>
      <c r="C124" s="58" t="str">
        <f t="shared" ref="C124" si="1731">IF(A124="","",IF(B124=1,"素　焼土　管",IF(B124=2,"合　成樹脂管",IF(B124=3,"無孔管",""))))</f>
        <v/>
      </c>
      <c r="D124" s="60"/>
      <c r="E124" s="82"/>
      <c r="F124" s="83"/>
      <c r="G124" s="83"/>
      <c r="H124" s="84"/>
      <c r="I124" s="53" t="str">
        <f t="shared" ref="I124" si="1732">IF(A124="","",F124-G124+H124)</f>
        <v/>
      </c>
      <c r="J124" s="55" t="str">
        <f t="shared" ref="J124" si="1733">IF(A124="",""," 1/")</f>
        <v/>
      </c>
      <c r="K124" s="85"/>
      <c r="L124" s="56" t="str">
        <f t="shared" ref="L124" si="1734">IF(A124="","",IF(B124=1,0.013,0.012))</f>
        <v/>
      </c>
      <c r="M124" s="47" t="str">
        <f t="shared" ref="M124" si="1735">IF(A124="","",(1/L124*(E124/100/2)^(8/3)*(1/K124*100)^(1/2)*1.65696)*100)</f>
        <v/>
      </c>
      <c r="N124" s="47" t="str">
        <f t="shared" ref="N124" si="1736">IF(A124="","",1/L124*(E124/100/2)^(2/3)*(1/K124)^(1/2)*0.70541)</f>
        <v/>
      </c>
      <c r="O124" s="48" t="str">
        <f t="shared" ref="O124" si="1737">IF(A124="","",ROUNDDOWN(M124/($U$3/8.64)*10000/$AJ$3,0))</f>
        <v/>
      </c>
      <c r="P124" s="49" t="str">
        <f t="shared" ref="P124" si="1738">IF(A124="","",IF(O124&gt;Q124,"＞","＜"))</f>
        <v/>
      </c>
      <c r="Q124" s="48" t="str">
        <f t="shared" ref="Q124" si="1739">IF(A124="","",I124)</f>
        <v/>
      </c>
      <c r="R124" s="51" t="str">
        <f t="shared" ref="R124" si="1740">IF(A124="","",IF(P124="＞","OK","NG"))</f>
        <v/>
      </c>
      <c r="S124" s="86"/>
      <c r="T124" s="87"/>
      <c r="U124" s="28" t="str">
        <f t="shared" ref="U124" si="1741">IF(S124="","",IF(T124=1,"素焼土管",IF(T124=2,"合成樹脂管",IF(T124=3,"無孔管",""))))</f>
        <v/>
      </c>
      <c r="V124" s="29"/>
      <c r="W124" s="88"/>
      <c r="X124" s="89"/>
      <c r="Y124" s="90"/>
      <c r="Z124" s="41" t="str">
        <f t="shared" ref="Z124" si="1742">IF(S124="","",IF(AND(T125=3,I124=""),Z122+Y124,IF(AND(Z122="",I122=""),I124+Y124,IF(AND(T125=3,I124&gt;0,Z122&gt;0),I124+Z122+Y124,IF(Z122="",I122+I124+X124+Y124,IF(I124="",Z122+X124+Y124,Z122+I124+X124+Y124))))))</f>
        <v/>
      </c>
      <c r="AA124" s="45" t="str">
        <f t="shared" ref="AA124" si="1743">IF(AB124="",""," 1/")</f>
        <v/>
      </c>
      <c r="AB124" s="91"/>
      <c r="AC124" s="30" t="str">
        <f t="shared" ref="AC124" si="1744">IF(S124="","",IF(T124="","",IF(T124=1,0.013,0.012)))</f>
        <v/>
      </c>
      <c r="AD124" s="31" t="str">
        <f t="shared" ref="AD124" si="1745">IF(S124="","",IF(T124="","",(1/AC124*(W124/100/2)^(8/3)*(1/AB124*100)^(1/2)*1.65696)*100))</f>
        <v/>
      </c>
      <c r="AE124" s="31" t="str">
        <f t="shared" ref="AE124" si="1746">IF(S124="","",IF(T124="","",1/AC124*(W124/100/2)^(2/3)*(1/AB124)^(1/2)*0.70541))</f>
        <v/>
      </c>
      <c r="AF124" s="31" t="str">
        <f t="shared" ref="AF124" si="1747">IF(S124="","",IF(T124="","",ROUNDDOWN(AD124/($U$3/8.64),3)))</f>
        <v/>
      </c>
      <c r="AG124" s="32" t="str">
        <f t="shared" ref="AG124" si="1748">IF(S124="","",IF(T124="","",ROUNDDOWN(AF124*10000/$AJ$3,0)))</f>
        <v/>
      </c>
      <c r="AH124" s="33" t="str">
        <f t="shared" ref="AH124" si="1749">IF(S124="","",IF(T124="","",IF(AG124&gt;AI124,"＞","＜")))</f>
        <v/>
      </c>
      <c r="AI124" s="41" t="str">
        <f t="shared" ref="AI124" si="1750">IF(S124="","",Z124)</f>
        <v/>
      </c>
      <c r="AJ124" s="43" t="str">
        <f t="shared" ref="AJ124" si="1751">IF(S124="","",AI124*$AJ$3/10000)</f>
        <v/>
      </c>
      <c r="AK124" s="33" t="str">
        <f t="shared" ref="AK124" si="1752">IF(S124="","",IF(T124="","",IF(AND(T124=1,AE124&gt;1),"NG",IF(AH124="＞","OK","NG"))))</f>
        <v/>
      </c>
    </row>
    <row r="125" spans="1:37" ht="15.75" customHeight="1" x14ac:dyDescent="0.15">
      <c r="A125" s="92"/>
      <c r="B125" s="93"/>
      <c r="C125" s="59"/>
      <c r="D125" s="61"/>
      <c r="E125" s="94"/>
      <c r="F125" s="95"/>
      <c r="G125" s="95"/>
      <c r="H125" s="96"/>
      <c r="I125" s="54"/>
      <c r="J125" s="46"/>
      <c r="K125" s="97"/>
      <c r="L125" s="57"/>
      <c r="M125" s="44"/>
      <c r="N125" s="44"/>
      <c r="O125" s="42"/>
      <c r="P125" s="50"/>
      <c r="Q125" s="42"/>
      <c r="R125" s="52"/>
      <c r="S125" s="98"/>
      <c r="T125" s="99">
        <v>2</v>
      </c>
      <c r="U125" s="34" t="str">
        <f t="shared" ref="U125" si="1753">IF(S124="","",IF(T124=T125,"〃",IF(T125=1,"素焼土管",IF(T125=2,"合成樹脂管",IF(T125=3,"無孔管","")))))</f>
        <v/>
      </c>
      <c r="V125" s="35"/>
      <c r="W125" s="100"/>
      <c r="X125" s="101"/>
      <c r="Y125" s="95"/>
      <c r="Z125" s="42"/>
      <c r="AA125" s="46"/>
      <c r="AB125" s="97"/>
      <c r="AC125" s="36" t="str">
        <f t="shared" ref="AC125" si="1754">IF(S124="","",IF(T125=1,0.013,0.012))</f>
        <v/>
      </c>
      <c r="AD125" s="37" t="str">
        <f t="shared" ref="AD125" si="1755">IF(S124="","",(1/AC125*(W125/100/2)^(8/3)*(1/AB124*100)^(1/2)*1.65696)*100)</f>
        <v/>
      </c>
      <c r="AE125" s="37" t="str">
        <f t="shared" ref="AE125" si="1756">IF(S124="","",1/AC125*(W125/100/2)^(2/3)*(1/AB124)^(1/2)*0.70541)</f>
        <v/>
      </c>
      <c r="AF125" s="37" t="str">
        <f t="shared" ref="AF125" si="1757">IF(S124="","",ROUNDDOWN(AD125/($U$3/8.64),3))</f>
        <v/>
      </c>
      <c r="AG125" s="38" t="str">
        <f t="shared" ref="AG125" si="1758">IF(S124="","",ROUNDDOWN(AF125*10000/$AJ$3,0))</f>
        <v/>
      </c>
      <c r="AH125" s="39" t="str">
        <f t="shared" ref="AH125" si="1759">IF(S124="","",IF(AG125&gt;AI124,"＞",IF(AG125=AI124,"=","＜")))</f>
        <v/>
      </c>
      <c r="AI125" s="42"/>
      <c r="AJ125" s="44"/>
      <c r="AK125" s="39" t="str">
        <f t="shared" ref="AK125" si="1760">IF(S124="","",IF(AND(T125=1,AE125&gt;1),"NG",IF(AH125="＞","OK","NG")))</f>
        <v/>
      </c>
    </row>
    <row r="126" spans="1:37" ht="15.75" customHeight="1" x14ac:dyDescent="0.15">
      <c r="A126" s="80"/>
      <c r="B126" s="81">
        <v>2</v>
      </c>
      <c r="C126" s="58" t="str">
        <f t="shared" ref="C126" si="1761">IF(A126="","",IF(B126=1,"素　焼土　管",IF(B126=2,"合　成樹脂管",IF(B126=3,"無孔管",""))))</f>
        <v/>
      </c>
      <c r="D126" s="60"/>
      <c r="E126" s="82"/>
      <c r="F126" s="83"/>
      <c r="G126" s="83"/>
      <c r="H126" s="84"/>
      <c r="I126" s="53" t="str">
        <f t="shared" ref="I126" si="1762">IF(A126="","",F126-G126+H126)</f>
        <v/>
      </c>
      <c r="J126" s="55" t="str">
        <f t="shared" ref="J126" si="1763">IF(A126="",""," 1/")</f>
        <v/>
      </c>
      <c r="K126" s="85"/>
      <c r="L126" s="56" t="str">
        <f t="shared" ref="L126" si="1764">IF(A126="","",IF(B126=1,0.013,0.012))</f>
        <v/>
      </c>
      <c r="M126" s="47" t="str">
        <f t="shared" ref="M126" si="1765">IF(A126="","",(1/L126*(E126/100/2)^(8/3)*(1/K126*100)^(1/2)*1.65696)*100)</f>
        <v/>
      </c>
      <c r="N126" s="47" t="str">
        <f t="shared" ref="N126" si="1766">IF(A126="","",1/L126*(E126/100/2)^(2/3)*(1/K126)^(1/2)*0.70541)</f>
        <v/>
      </c>
      <c r="O126" s="48" t="str">
        <f t="shared" ref="O126" si="1767">IF(A126="","",ROUNDDOWN(M126/($U$3/8.64)*10000/$AJ$3,0))</f>
        <v/>
      </c>
      <c r="P126" s="49" t="str">
        <f t="shared" ref="P126" si="1768">IF(A126="","",IF(O126&gt;Q126,"＞","＜"))</f>
        <v/>
      </c>
      <c r="Q126" s="48" t="str">
        <f t="shared" ref="Q126" si="1769">IF(A126="","",I126)</f>
        <v/>
      </c>
      <c r="R126" s="51" t="str">
        <f t="shared" ref="R126" si="1770">IF(A126="","",IF(P126="＞","OK","NG"))</f>
        <v/>
      </c>
      <c r="S126" s="86"/>
      <c r="T126" s="87"/>
      <c r="U126" s="28" t="str">
        <f t="shared" ref="U126" si="1771">IF(S126="","",IF(T126=1,"素焼土管",IF(T126=2,"合成樹脂管",IF(T126=3,"無孔管",""))))</f>
        <v/>
      </c>
      <c r="V126" s="29"/>
      <c r="W126" s="88"/>
      <c r="X126" s="89"/>
      <c r="Y126" s="90"/>
      <c r="Z126" s="41" t="str">
        <f t="shared" ref="Z126" si="1772">IF(S126="","",IF(AND(T127=3,I126=""),Z124+Y126,IF(AND(Z124="",I124=""),I126+Y126,IF(AND(T127=3,I126&gt;0,Z124&gt;0),I126+Z124+Y126,IF(Z124="",I124+I126+X126+Y126,IF(I126="",Z124+X126+Y126,Z124+I126+X126+Y126))))))</f>
        <v/>
      </c>
      <c r="AA126" s="45" t="str">
        <f t="shared" ref="AA126" si="1773">IF(AB126="",""," 1/")</f>
        <v/>
      </c>
      <c r="AB126" s="91"/>
      <c r="AC126" s="30" t="str">
        <f t="shared" ref="AC126" si="1774">IF(S126="","",IF(T126="","",IF(T126=1,0.013,0.012)))</f>
        <v/>
      </c>
      <c r="AD126" s="31" t="str">
        <f t="shared" ref="AD126" si="1775">IF(S126="","",IF(T126="","",(1/AC126*(W126/100/2)^(8/3)*(1/AB126*100)^(1/2)*1.65696)*100))</f>
        <v/>
      </c>
      <c r="AE126" s="31" t="str">
        <f t="shared" ref="AE126" si="1776">IF(S126="","",IF(T126="","",1/AC126*(W126/100/2)^(2/3)*(1/AB126)^(1/2)*0.70541))</f>
        <v/>
      </c>
      <c r="AF126" s="31" t="str">
        <f t="shared" ref="AF126" si="1777">IF(S126="","",IF(T126="","",ROUNDDOWN(AD126/($U$3/8.64),3)))</f>
        <v/>
      </c>
      <c r="AG126" s="32" t="str">
        <f t="shared" ref="AG126" si="1778">IF(S126="","",IF(T126="","",ROUNDDOWN(AF126*10000/$AJ$3,0)))</f>
        <v/>
      </c>
      <c r="AH126" s="33" t="str">
        <f t="shared" ref="AH126" si="1779">IF(S126="","",IF(T126="","",IF(AG126&gt;AI126,"＞","＜")))</f>
        <v/>
      </c>
      <c r="AI126" s="41" t="str">
        <f t="shared" ref="AI126" si="1780">IF(S126="","",Z126)</f>
        <v/>
      </c>
      <c r="AJ126" s="43" t="str">
        <f t="shared" ref="AJ126" si="1781">IF(S126="","",AI126*$AJ$3/10000)</f>
        <v/>
      </c>
      <c r="AK126" s="33" t="str">
        <f t="shared" ref="AK126" si="1782">IF(S126="","",IF(T126="","",IF(AND(T126=1,AE126&gt;1),"NG",IF(AH126="＞","OK","NG"))))</f>
        <v/>
      </c>
    </row>
    <row r="127" spans="1:37" ht="15.75" customHeight="1" x14ac:dyDescent="0.15">
      <c r="A127" s="92"/>
      <c r="B127" s="93"/>
      <c r="C127" s="59"/>
      <c r="D127" s="61"/>
      <c r="E127" s="94"/>
      <c r="F127" s="95"/>
      <c r="G127" s="95"/>
      <c r="H127" s="96"/>
      <c r="I127" s="54"/>
      <c r="J127" s="46"/>
      <c r="K127" s="97"/>
      <c r="L127" s="57"/>
      <c r="M127" s="44"/>
      <c r="N127" s="44"/>
      <c r="O127" s="42"/>
      <c r="P127" s="50"/>
      <c r="Q127" s="42"/>
      <c r="R127" s="52"/>
      <c r="S127" s="98"/>
      <c r="T127" s="99">
        <v>2</v>
      </c>
      <c r="U127" s="34" t="str">
        <f t="shared" ref="U127" si="1783">IF(S126="","",IF(T126=T127,"〃",IF(T127=1,"素焼土管",IF(T127=2,"合成樹脂管",IF(T127=3,"無孔管","")))))</f>
        <v/>
      </c>
      <c r="V127" s="35"/>
      <c r="W127" s="100"/>
      <c r="X127" s="101"/>
      <c r="Y127" s="95"/>
      <c r="Z127" s="42"/>
      <c r="AA127" s="46"/>
      <c r="AB127" s="97"/>
      <c r="AC127" s="36" t="str">
        <f t="shared" ref="AC127" si="1784">IF(S126="","",IF(T127=1,0.013,0.012))</f>
        <v/>
      </c>
      <c r="AD127" s="37" t="str">
        <f t="shared" ref="AD127" si="1785">IF(S126="","",(1/AC127*(W127/100/2)^(8/3)*(1/AB126*100)^(1/2)*1.65696)*100)</f>
        <v/>
      </c>
      <c r="AE127" s="37" t="str">
        <f t="shared" ref="AE127" si="1786">IF(S126="","",1/AC127*(W127/100/2)^(2/3)*(1/AB126)^(1/2)*0.70541)</f>
        <v/>
      </c>
      <c r="AF127" s="37" t="str">
        <f t="shared" ref="AF127" si="1787">IF(S126="","",ROUNDDOWN(AD127/($U$3/8.64),3))</f>
        <v/>
      </c>
      <c r="AG127" s="38" t="str">
        <f t="shared" ref="AG127" si="1788">IF(S126="","",ROUNDDOWN(AF127*10000/$AJ$3,0))</f>
        <v/>
      </c>
      <c r="AH127" s="39" t="str">
        <f t="shared" ref="AH127" si="1789">IF(S126="","",IF(AG127&gt;AI126,"＞",IF(AG127=AI126,"=","＜")))</f>
        <v/>
      </c>
      <c r="AI127" s="42"/>
      <c r="AJ127" s="44"/>
      <c r="AK127" s="39" t="str">
        <f t="shared" ref="AK127" si="1790">IF(S126="","",IF(AND(T127=1,AE127&gt;1),"NG",IF(AH127="＞","OK","NG")))</f>
        <v/>
      </c>
    </row>
    <row r="128" spans="1:37" ht="15.75" customHeight="1" x14ac:dyDescent="0.15">
      <c r="A128" s="80"/>
      <c r="B128" s="81">
        <v>2</v>
      </c>
      <c r="C128" s="58" t="str">
        <f t="shared" ref="C128" si="1791">IF(A128="","",IF(B128=1,"素　焼土　管",IF(B128=2,"合　成樹脂管",IF(B128=3,"無孔管",""))))</f>
        <v/>
      </c>
      <c r="D128" s="60"/>
      <c r="E128" s="82"/>
      <c r="F128" s="83"/>
      <c r="G128" s="83"/>
      <c r="H128" s="84"/>
      <c r="I128" s="53" t="str">
        <f t="shared" ref="I128" si="1792">IF(A128="","",F128-G128+H128)</f>
        <v/>
      </c>
      <c r="J128" s="55" t="str">
        <f t="shared" ref="J128" si="1793">IF(A128="",""," 1/")</f>
        <v/>
      </c>
      <c r="K128" s="85"/>
      <c r="L128" s="56" t="str">
        <f t="shared" ref="L128" si="1794">IF(A128="","",IF(B128=1,0.013,0.012))</f>
        <v/>
      </c>
      <c r="M128" s="47" t="str">
        <f t="shared" ref="M128" si="1795">IF(A128="","",(1/L128*(E128/100/2)^(8/3)*(1/K128*100)^(1/2)*1.65696)*100)</f>
        <v/>
      </c>
      <c r="N128" s="47" t="str">
        <f t="shared" ref="N128" si="1796">IF(A128="","",1/L128*(E128/100/2)^(2/3)*(1/K128)^(1/2)*0.70541)</f>
        <v/>
      </c>
      <c r="O128" s="48" t="str">
        <f t="shared" ref="O128" si="1797">IF(A128="","",ROUNDDOWN(M128/($U$3/8.64)*10000/$AJ$3,0))</f>
        <v/>
      </c>
      <c r="P128" s="49" t="str">
        <f t="shared" ref="P128" si="1798">IF(A128="","",IF(O128&gt;Q128,"＞","＜"))</f>
        <v/>
      </c>
      <c r="Q128" s="48" t="str">
        <f t="shared" ref="Q128" si="1799">IF(A128="","",I128)</f>
        <v/>
      </c>
      <c r="R128" s="51" t="str">
        <f t="shared" ref="R128" si="1800">IF(A128="","",IF(P128="＞","OK","NG"))</f>
        <v/>
      </c>
      <c r="S128" s="86"/>
      <c r="T128" s="87"/>
      <c r="U128" s="28" t="str">
        <f t="shared" ref="U128" si="1801">IF(S128="","",IF(T128=1,"素焼土管",IF(T128=2,"合成樹脂管",IF(T128=3,"無孔管",""))))</f>
        <v/>
      </c>
      <c r="V128" s="29"/>
      <c r="W128" s="88"/>
      <c r="X128" s="89"/>
      <c r="Y128" s="90"/>
      <c r="Z128" s="41" t="str">
        <f t="shared" ref="Z128" si="1802">IF(S128="","",IF(AND(T129=3,I128=""),Z126+Y128,IF(AND(Z126="",I126=""),I128+Y128,IF(AND(T129=3,I128&gt;0,Z126&gt;0),I128+Z126+Y128,IF(Z126="",I126+I128+X128+Y128,IF(I128="",Z126+X128+Y128,Z126+I128+X128+Y128))))))</f>
        <v/>
      </c>
      <c r="AA128" s="45" t="str">
        <f t="shared" ref="AA128" si="1803">IF(AB128="",""," 1/")</f>
        <v/>
      </c>
      <c r="AB128" s="91"/>
      <c r="AC128" s="30" t="str">
        <f t="shared" ref="AC128" si="1804">IF(S128="","",IF(T128="","",IF(T128=1,0.013,0.012)))</f>
        <v/>
      </c>
      <c r="AD128" s="31" t="str">
        <f t="shared" ref="AD128" si="1805">IF(S128="","",IF(T128="","",(1/AC128*(W128/100/2)^(8/3)*(1/AB128*100)^(1/2)*1.65696)*100))</f>
        <v/>
      </c>
      <c r="AE128" s="31" t="str">
        <f t="shared" ref="AE128" si="1806">IF(S128="","",IF(T128="","",1/AC128*(W128/100/2)^(2/3)*(1/AB128)^(1/2)*0.70541))</f>
        <v/>
      </c>
      <c r="AF128" s="31" t="str">
        <f t="shared" ref="AF128" si="1807">IF(S128="","",IF(T128="","",ROUNDDOWN(AD128/($U$3/8.64),3)))</f>
        <v/>
      </c>
      <c r="AG128" s="32" t="str">
        <f t="shared" ref="AG128" si="1808">IF(S128="","",IF(T128="","",ROUNDDOWN(AF128*10000/$AJ$3,0)))</f>
        <v/>
      </c>
      <c r="AH128" s="33" t="str">
        <f t="shared" ref="AH128" si="1809">IF(S128="","",IF(T128="","",IF(AG128&gt;AI128,"＞","＜")))</f>
        <v/>
      </c>
      <c r="AI128" s="41" t="str">
        <f t="shared" ref="AI128" si="1810">IF(S128="","",Z128)</f>
        <v/>
      </c>
      <c r="AJ128" s="43" t="str">
        <f t="shared" ref="AJ128" si="1811">IF(S128="","",AI128*$AJ$3/10000)</f>
        <v/>
      </c>
      <c r="AK128" s="33" t="str">
        <f t="shared" ref="AK128" si="1812">IF(S128="","",IF(T128="","",IF(AND(T128=1,AE128&gt;1),"NG",IF(AH128="＞","OK","NG"))))</f>
        <v/>
      </c>
    </row>
    <row r="129" spans="1:37" ht="15.75" customHeight="1" x14ac:dyDescent="0.15">
      <c r="A129" s="92"/>
      <c r="B129" s="93"/>
      <c r="C129" s="59"/>
      <c r="D129" s="61"/>
      <c r="E129" s="94"/>
      <c r="F129" s="95"/>
      <c r="G129" s="95"/>
      <c r="H129" s="96"/>
      <c r="I129" s="54"/>
      <c r="J129" s="46"/>
      <c r="K129" s="97"/>
      <c r="L129" s="57"/>
      <c r="M129" s="44"/>
      <c r="N129" s="44"/>
      <c r="O129" s="42"/>
      <c r="P129" s="50"/>
      <c r="Q129" s="42"/>
      <c r="R129" s="52"/>
      <c r="S129" s="98"/>
      <c r="T129" s="99">
        <v>2</v>
      </c>
      <c r="U129" s="34" t="str">
        <f t="shared" ref="U129" si="1813">IF(S128="","",IF(T128=T129,"〃",IF(T129=1,"素焼土管",IF(T129=2,"合成樹脂管",IF(T129=3,"無孔管","")))))</f>
        <v/>
      </c>
      <c r="V129" s="35"/>
      <c r="W129" s="100"/>
      <c r="X129" s="101"/>
      <c r="Y129" s="95"/>
      <c r="Z129" s="42"/>
      <c r="AA129" s="46"/>
      <c r="AB129" s="97"/>
      <c r="AC129" s="36" t="str">
        <f t="shared" ref="AC129" si="1814">IF(S128="","",IF(T129=1,0.013,0.012))</f>
        <v/>
      </c>
      <c r="AD129" s="37" t="str">
        <f t="shared" ref="AD129" si="1815">IF(S128="","",(1/AC129*(W129/100/2)^(8/3)*(1/AB128*100)^(1/2)*1.65696)*100)</f>
        <v/>
      </c>
      <c r="AE129" s="37" t="str">
        <f t="shared" ref="AE129" si="1816">IF(S128="","",1/AC129*(W129/100/2)^(2/3)*(1/AB128)^(1/2)*0.70541)</f>
        <v/>
      </c>
      <c r="AF129" s="37" t="str">
        <f t="shared" ref="AF129" si="1817">IF(S128="","",ROUNDDOWN(AD129/($U$3/8.64),3))</f>
        <v/>
      </c>
      <c r="AG129" s="38" t="str">
        <f t="shared" ref="AG129" si="1818">IF(S128="","",ROUNDDOWN(AF129*10000/$AJ$3,0))</f>
        <v/>
      </c>
      <c r="AH129" s="39" t="str">
        <f t="shared" ref="AH129" si="1819">IF(S128="","",IF(AG129&gt;AI128,"＞",IF(AG129=AI128,"=","＜")))</f>
        <v/>
      </c>
      <c r="AI129" s="42"/>
      <c r="AJ129" s="44"/>
      <c r="AK129" s="39" t="str">
        <f t="shared" ref="AK129" si="1820">IF(S128="","",IF(AND(T129=1,AE129&gt;1),"NG",IF(AH129="＞","OK","NG")))</f>
        <v/>
      </c>
    </row>
    <row r="130" spans="1:37" ht="15.75" customHeight="1" x14ac:dyDescent="0.15">
      <c r="A130" s="80"/>
      <c r="B130" s="81">
        <v>2</v>
      </c>
      <c r="C130" s="58" t="str">
        <f t="shared" ref="C130" si="1821">IF(A130="","",IF(B130=1,"素　焼土　管",IF(B130=2,"合　成樹脂管",IF(B130=3,"無孔管",""))))</f>
        <v/>
      </c>
      <c r="D130" s="60"/>
      <c r="E130" s="82"/>
      <c r="F130" s="83"/>
      <c r="G130" s="83"/>
      <c r="H130" s="84"/>
      <c r="I130" s="53" t="str">
        <f t="shared" ref="I130" si="1822">IF(A130="","",F130-G130+H130)</f>
        <v/>
      </c>
      <c r="J130" s="55" t="str">
        <f t="shared" ref="J130" si="1823">IF(A130="",""," 1/")</f>
        <v/>
      </c>
      <c r="K130" s="85"/>
      <c r="L130" s="56" t="str">
        <f t="shared" ref="L130" si="1824">IF(A130="","",IF(B130=1,0.013,0.012))</f>
        <v/>
      </c>
      <c r="M130" s="47" t="str">
        <f t="shared" ref="M130" si="1825">IF(A130="","",(1/L130*(E130/100/2)^(8/3)*(1/K130*100)^(1/2)*1.65696)*100)</f>
        <v/>
      </c>
      <c r="N130" s="47" t="str">
        <f t="shared" ref="N130" si="1826">IF(A130="","",1/L130*(E130/100/2)^(2/3)*(1/K130)^(1/2)*0.70541)</f>
        <v/>
      </c>
      <c r="O130" s="48" t="str">
        <f t="shared" ref="O130" si="1827">IF(A130="","",ROUNDDOWN(M130/($U$3/8.64)*10000/$AJ$3,0))</f>
        <v/>
      </c>
      <c r="P130" s="49" t="str">
        <f t="shared" ref="P130" si="1828">IF(A130="","",IF(O130&gt;Q130,"＞","＜"))</f>
        <v/>
      </c>
      <c r="Q130" s="48" t="str">
        <f t="shared" ref="Q130" si="1829">IF(A130="","",I130)</f>
        <v/>
      </c>
      <c r="R130" s="51" t="str">
        <f t="shared" ref="R130" si="1830">IF(A130="","",IF(P130="＞","OK","NG"))</f>
        <v/>
      </c>
      <c r="S130" s="86"/>
      <c r="T130" s="87"/>
      <c r="U130" s="28" t="str">
        <f t="shared" ref="U130" si="1831">IF(S130="","",IF(T130=1,"素焼土管",IF(T130=2,"合成樹脂管",IF(T130=3,"無孔管",""))))</f>
        <v/>
      </c>
      <c r="V130" s="29"/>
      <c r="W130" s="88"/>
      <c r="X130" s="89"/>
      <c r="Y130" s="90"/>
      <c r="Z130" s="41" t="str">
        <f t="shared" ref="Z130" si="1832">IF(S130="","",IF(AND(T131=3,I130=""),Z128+Y130,IF(AND(Z128="",I128=""),I130+Y130,IF(AND(T131=3,I130&gt;0,Z128&gt;0),I130+Z128+Y130,IF(Z128="",I128+I130+X130+Y130,IF(I130="",Z128+X130+Y130,Z128+I130+X130+Y130))))))</f>
        <v/>
      </c>
      <c r="AA130" s="45" t="str">
        <f t="shared" ref="AA130" si="1833">IF(AB130="",""," 1/")</f>
        <v/>
      </c>
      <c r="AB130" s="91"/>
      <c r="AC130" s="30" t="str">
        <f t="shared" ref="AC130" si="1834">IF(S130="","",IF(T130="","",IF(T130=1,0.013,0.012)))</f>
        <v/>
      </c>
      <c r="AD130" s="31" t="str">
        <f t="shared" ref="AD130" si="1835">IF(S130="","",IF(T130="","",(1/AC130*(W130/100/2)^(8/3)*(1/AB130*100)^(1/2)*1.65696)*100))</f>
        <v/>
      </c>
      <c r="AE130" s="31" t="str">
        <f t="shared" ref="AE130" si="1836">IF(S130="","",IF(T130="","",1/AC130*(W130/100/2)^(2/3)*(1/AB130)^(1/2)*0.70541))</f>
        <v/>
      </c>
      <c r="AF130" s="31" t="str">
        <f t="shared" ref="AF130" si="1837">IF(S130="","",IF(T130="","",ROUNDDOWN(AD130/($U$3/8.64),3)))</f>
        <v/>
      </c>
      <c r="AG130" s="32" t="str">
        <f t="shared" ref="AG130" si="1838">IF(S130="","",IF(T130="","",ROUNDDOWN(AF130*10000/$AJ$3,0)))</f>
        <v/>
      </c>
      <c r="AH130" s="33" t="str">
        <f t="shared" ref="AH130" si="1839">IF(S130="","",IF(T130="","",IF(AG130&gt;AI130,"＞","＜")))</f>
        <v/>
      </c>
      <c r="AI130" s="41" t="str">
        <f t="shared" ref="AI130" si="1840">IF(S130="","",Z130)</f>
        <v/>
      </c>
      <c r="AJ130" s="43" t="str">
        <f t="shared" ref="AJ130" si="1841">IF(S130="","",AI130*$AJ$3/10000)</f>
        <v/>
      </c>
      <c r="AK130" s="33" t="str">
        <f t="shared" ref="AK130" si="1842">IF(S130="","",IF(T130="","",IF(AND(T130=1,AE130&gt;1),"NG",IF(AH130="＞","OK","NG"))))</f>
        <v/>
      </c>
    </row>
    <row r="131" spans="1:37" ht="15.75" customHeight="1" x14ac:dyDescent="0.15">
      <c r="A131" s="92"/>
      <c r="B131" s="93"/>
      <c r="C131" s="59"/>
      <c r="D131" s="61"/>
      <c r="E131" s="94"/>
      <c r="F131" s="95"/>
      <c r="G131" s="95"/>
      <c r="H131" s="96"/>
      <c r="I131" s="54"/>
      <c r="J131" s="46"/>
      <c r="K131" s="97"/>
      <c r="L131" s="57"/>
      <c r="M131" s="44"/>
      <c r="N131" s="44"/>
      <c r="O131" s="42"/>
      <c r="P131" s="50"/>
      <c r="Q131" s="42"/>
      <c r="R131" s="52"/>
      <c r="S131" s="98"/>
      <c r="T131" s="99">
        <v>2</v>
      </c>
      <c r="U131" s="34" t="str">
        <f t="shared" ref="U131" si="1843">IF(S130="","",IF(T130=T131,"〃",IF(T131=1,"素焼土管",IF(T131=2,"合成樹脂管",IF(T131=3,"無孔管","")))))</f>
        <v/>
      </c>
      <c r="V131" s="35"/>
      <c r="W131" s="100"/>
      <c r="X131" s="101"/>
      <c r="Y131" s="95"/>
      <c r="Z131" s="42"/>
      <c r="AA131" s="46"/>
      <c r="AB131" s="97"/>
      <c r="AC131" s="36" t="str">
        <f t="shared" ref="AC131" si="1844">IF(S130="","",IF(T131=1,0.013,0.012))</f>
        <v/>
      </c>
      <c r="AD131" s="37" t="str">
        <f t="shared" ref="AD131" si="1845">IF(S130="","",(1/AC131*(W131/100/2)^(8/3)*(1/AB130*100)^(1/2)*1.65696)*100)</f>
        <v/>
      </c>
      <c r="AE131" s="37" t="str">
        <f t="shared" ref="AE131" si="1846">IF(S130="","",1/AC131*(W131/100/2)^(2/3)*(1/AB130)^(1/2)*0.70541)</f>
        <v/>
      </c>
      <c r="AF131" s="37" t="str">
        <f t="shared" ref="AF131" si="1847">IF(S130="","",ROUNDDOWN(AD131/($U$3/8.64),3))</f>
        <v/>
      </c>
      <c r="AG131" s="38" t="str">
        <f t="shared" ref="AG131" si="1848">IF(S130="","",ROUNDDOWN(AF131*10000/$AJ$3,0))</f>
        <v/>
      </c>
      <c r="AH131" s="39" t="str">
        <f t="shared" ref="AH131" si="1849">IF(S130="","",IF(AG131&gt;AI130,"＞",IF(AG131=AI130,"=","＜")))</f>
        <v/>
      </c>
      <c r="AI131" s="42"/>
      <c r="AJ131" s="44"/>
      <c r="AK131" s="39" t="str">
        <f t="shared" ref="AK131" si="1850">IF(S130="","",IF(AND(T131=1,AE131&gt;1),"NG",IF(AH131="＞","OK","NG")))</f>
        <v/>
      </c>
    </row>
    <row r="132" spans="1:37" ht="15.75" customHeight="1" x14ac:dyDescent="0.15">
      <c r="A132" s="80"/>
      <c r="B132" s="81">
        <v>2</v>
      </c>
      <c r="C132" s="58" t="str">
        <f t="shared" ref="C132" si="1851">IF(A132="","",IF(B132=1,"素　焼土　管",IF(B132=2,"合　成樹脂管",IF(B132=3,"無孔管",""))))</f>
        <v/>
      </c>
      <c r="D132" s="60"/>
      <c r="E132" s="82"/>
      <c r="F132" s="83"/>
      <c r="G132" s="83"/>
      <c r="H132" s="84"/>
      <c r="I132" s="53" t="str">
        <f t="shared" ref="I132" si="1852">IF(A132="","",F132-G132+H132)</f>
        <v/>
      </c>
      <c r="J132" s="55" t="str">
        <f t="shared" ref="J132" si="1853">IF(A132="",""," 1/")</f>
        <v/>
      </c>
      <c r="K132" s="85"/>
      <c r="L132" s="56" t="str">
        <f t="shared" ref="L132" si="1854">IF(A132="","",IF(B132=1,0.013,0.012))</f>
        <v/>
      </c>
      <c r="M132" s="47" t="str">
        <f t="shared" ref="M132" si="1855">IF(A132="","",(1/L132*(E132/100/2)^(8/3)*(1/K132*100)^(1/2)*1.65696)*100)</f>
        <v/>
      </c>
      <c r="N132" s="47" t="str">
        <f t="shared" ref="N132" si="1856">IF(A132="","",1/L132*(E132/100/2)^(2/3)*(1/K132)^(1/2)*0.70541)</f>
        <v/>
      </c>
      <c r="O132" s="48" t="str">
        <f t="shared" ref="O132" si="1857">IF(A132="","",ROUNDDOWN(M132/($U$3/8.64)*10000/$AJ$3,0))</f>
        <v/>
      </c>
      <c r="P132" s="49" t="str">
        <f t="shared" ref="P132" si="1858">IF(A132="","",IF(O132&gt;Q132,"＞","＜"))</f>
        <v/>
      </c>
      <c r="Q132" s="48" t="str">
        <f t="shared" ref="Q132" si="1859">IF(A132="","",I132)</f>
        <v/>
      </c>
      <c r="R132" s="51" t="str">
        <f t="shared" ref="R132" si="1860">IF(A132="","",IF(P132="＞","OK","NG"))</f>
        <v/>
      </c>
      <c r="S132" s="86"/>
      <c r="T132" s="87"/>
      <c r="U132" s="28" t="str">
        <f t="shared" ref="U132" si="1861">IF(S132="","",IF(T132=1,"素焼土管",IF(T132=2,"合成樹脂管",IF(T132=3,"無孔管",""))))</f>
        <v/>
      </c>
      <c r="V132" s="29"/>
      <c r="W132" s="88"/>
      <c r="X132" s="89"/>
      <c r="Y132" s="90"/>
      <c r="Z132" s="41" t="str">
        <f t="shared" ref="Z132" si="1862">IF(S132="","",IF(AND(T133=3,I132=""),Z130+Y132,IF(AND(Z130="",I130=""),I132+Y132,IF(AND(T133=3,I132&gt;0,Z130&gt;0),I132+Z130+Y132,IF(Z130="",I130+I132+X132+Y132,IF(I132="",Z130+X132+Y132,Z130+I132+X132+Y132))))))</f>
        <v/>
      </c>
      <c r="AA132" s="45" t="str">
        <f t="shared" ref="AA132" si="1863">IF(AB132="",""," 1/")</f>
        <v/>
      </c>
      <c r="AB132" s="91"/>
      <c r="AC132" s="30" t="str">
        <f t="shared" ref="AC132" si="1864">IF(S132="","",IF(T132="","",IF(T132=1,0.013,0.012)))</f>
        <v/>
      </c>
      <c r="AD132" s="31" t="str">
        <f t="shared" ref="AD132" si="1865">IF(S132="","",IF(T132="","",(1/AC132*(W132/100/2)^(8/3)*(1/AB132*100)^(1/2)*1.65696)*100))</f>
        <v/>
      </c>
      <c r="AE132" s="31" t="str">
        <f t="shared" ref="AE132" si="1866">IF(S132="","",IF(T132="","",1/AC132*(W132/100/2)^(2/3)*(1/AB132)^(1/2)*0.70541))</f>
        <v/>
      </c>
      <c r="AF132" s="31" t="str">
        <f t="shared" ref="AF132" si="1867">IF(S132="","",IF(T132="","",ROUNDDOWN(AD132/($U$3/8.64),3)))</f>
        <v/>
      </c>
      <c r="AG132" s="32" t="str">
        <f t="shared" ref="AG132" si="1868">IF(S132="","",IF(T132="","",ROUNDDOWN(AF132*10000/$AJ$3,0)))</f>
        <v/>
      </c>
      <c r="AH132" s="33" t="str">
        <f t="shared" ref="AH132" si="1869">IF(S132="","",IF(T132="","",IF(AG132&gt;AI132,"＞","＜")))</f>
        <v/>
      </c>
      <c r="AI132" s="41" t="str">
        <f t="shared" ref="AI132" si="1870">IF(S132="","",Z132)</f>
        <v/>
      </c>
      <c r="AJ132" s="43" t="str">
        <f t="shared" ref="AJ132" si="1871">IF(S132="","",AI132*$AJ$3/10000)</f>
        <v/>
      </c>
      <c r="AK132" s="33" t="str">
        <f t="shared" ref="AK132" si="1872">IF(S132="","",IF(T132="","",IF(AND(T132=1,AE132&gt;1),"NG",IF(AH132="＞","OK","NG"))))</f>
        <v/>
      </c>
    </row>
    <row r="133" spans="1:37" ht="15.75" customHeight="1" x14ac:dyDescent="0.15">
      <c r="A133" s="92"/>
      <c r="B133" s="93"/>
      <c r="C133" s="59"/>
      <c r="D133" s="61"/>
      <c r="E133" s="94"/>
      <c r="F133" s="95"/>
      <c r="G133" s="95"/>
      <c r="H133" s="96"/>
      <c r="I133" s="54"/>
      <c r="J133" s="46"/>
      <c r="K133" s="97"/>
      <c r="L133" s="57"/>
      <c r="M133" s="44"/>
      <c r="N133" s="44"/>
      <c r="O133" s="42"/>
      <c r="P133" s="50"/>
      <c r="Q133" s="42"/>
      <c r="R133" s="52"/>
      <c r="S133" s="98"/>
      <c r="T133" s="99">
        <v>2</v>
      </c>
      <c r="U133" s="34" t="str">
        <f t="shared" ref="U133" si="1873">IF(S132="","",IF(T132=T133,"〃",IF(T133=1,"素焼土管",IF(T133=2,"合成樹脂管",IF(T133=3,"無孔管","")))))</f>
        <v/>
      </c>
      <c r="V133" s="35"/>
      <c r="W133" s="100"/>
      <c r="X133" s="101"/>
      <c r="Y133" s="95"/>
      <c r="Z133" s="42"/>
      <c r="AA133" s="46"/>
      <c r="AB133" s="97"/>
      <c r="AC133" s="36" t="str">
        <f t="shared" ref="AC133" si="1874">IF(S132="","",IF(T133=1,0.013,0.012))</f>
        <v/>
      </c>
      <c r="AD133" s="37" t="str">
        <f t="shared" ref="AD133" si="1875">IF(S132="","",(1/AC133*(W133/100/2)^(8/3)*(1/AB132*100)^(1/2)*1.65696)*100)</f>
        <v/>
      </c>
      <c r="AE133" s="37" t="str">
        <f t="shared" ref="AE133" si="1876">IF(S132="","",1/AC133*(W133/100/2)^(2/3)*(1/AB132)^(1/2)*0.70541)</f>
        <v/>
      </c>
      <c r="AF133" s="37" t="str">
        <f t="shared" ref="AF133" si="1877">IF(S132="","",ROUNDDOWN(AD133/($U$3/8.64),3))</f>
        <v/>
      </c>
      <c r="AG133" s="38" t="str">
        <f t="shared" ref="AG133" si="1878">IF(S132="","",ROUNDDOWN(AF133*10000/$AJ$3,0))</f>
        <v/>
      </c>
      <c r="AH133" s="39" t="str">
        <f t="shared" ref="AH133" si="1879">IF(S132="","",IF(AG133&gt;AI132,"＞",IF(AG133=AI132,"=","＜")))</f>
        <v/>
      </c>
      <c r="AI133" s="42"/>
      <c r="AJ133" s="44"/>
      <c r="AK133" s="39" t="str">
        <f t="shared" ref="AK133" si="1880">IF(S132="","",IF(AND(T133=1,AE133&gt;1),"NG",IF(AH133="＞","OK","NG")))</f>
        <v/>
      </c>
    </row>
    <row r="134" spans="1:37" ht="15.75" customHeight="1" x14ac:dyDescent="0.15">
      <c r="A134" s="80"/>
      <c r="B134" s="81">
        <v>2</v>
      </c>
      <c r="C134" s="58" t="str">
        <f t="shared" ref="C134" si="1881">IF(A134="","",IF(B134=1,"素　焼土　管",IF(B134=2,"合　成樹脂管",IF(B134=3,"無孔管",""))))</f>
        <v/>
      </c>
      <c r="D134" s="60"/>
      <c r="E134" s="82"/>
      <c r="F134" s="83"/>
      <c r="G134" s="83"/>
      <c r="H134" s="84"/>
      <c r="I134" s="53" t="str">
        <f t="shared" ref="I134" si="1882">IF(A134="","",F134-G134+H134)</f>
        <v/>
      </c>
      <c r="J134" s="55" t="str">
        <f t="shared" ref="J134" si="1883">IF(A134="",""," 1/")</f>
        <v/>
      </c>
      <c r="K134" s="85"/>
      <c r="L134" s="56" t="str">
        <f t="shared" ref="L134" si="1884">IF(A134="","",IF(B134=1,0.013,0.012))</f>
        <v/>
      </c>
      <c r="M134" s="47" t="str">
        <f t="shared" ref="M134" si="1885">IF(A134="","",(1/L134*(E134/100/2)^(8/3)*(1/K134*100)^(1/2)*1.65696)*100)</f>
        <v/>
      </c>
      <c r="N134" s="47" t="str">
        <f t="shared" ref="N134" si="1886">IF(A134="","",1/L134*(E134/100/2)^(2/3)*(1/K134)^(1/2)*0.70541)</f>
        <v/>
      </c>
      <c r="O134" s="48" t="str">
        <f t="shared" ref="O134" si="1887">IF(A134="","",ROUNDDOWN(M134/($U$3/8.64)*10000/$AJ$3,0))</f>
        <v/>
      </c>
      <c r="P134" s="49" t="str">
        <f t="shared" ref="P134" si="1888">IF(A134="","",IF(O134&gt;Q134,"＞","＜"))</f>
        <v/>
      </c>
      <c r="Q134" s="48" t="str">
        <f t="shared" ref="Q134" si="1889">IF(A134="","",I134)</f>
        <v/>
      </c>
      <c r="R134" s="51" t="str">
        <f t="shared" ref="R134" si="1890">IF(A134="","",IF(P134="＞","OK","NG"))</f>
        <v/>
      </c>
      <c r="S134" s="86"/>
      <c r="T134" s="87"/>
      <c r="U134" s="28" t="str">
        <f t="shared" ref="U134" si="1891">IF(S134="","",IF(T134=1,"素焼土管",IF(T134=2,"合成樹脂管",IF(T134=3,"無孔管",""))))</f>
        <v/>
      </c>
      <c r="V134" s="29"/>
      <c r="W134" s="88"/>
      <c r="X134" s="89"/>
      <c r="Y134" s="90"/>
      <c r="Z134" s="41" t="str">
        <f t="shared" ref="Z134" si="1892">IF(S134="","",IF(AND(T135=3,I134=""),Z132+Y134,IF(AND(Z132="",I132=""),I134+Y134,IF(AND(T135=3,I134&gt;0,Z132&gt;0),I134+Z132+Y134,IF(Z132="",I132+I134+X134+Y134,IF(I134="",Z132+X134+Y134,Z132+I134+X134+Y134))))))</f>
        <v/>
      </c>
      <c r="AA134" s="45" t="str">
        <f t="shared" ref="AA134" si="1893">IF(AB134="",""," 1/")</f>
        <v/>
      </c>
      <c r="AB134" s="91"/>
      <c r="AC134" s="30" t="str">
        <f t="shared" ref="AC134" si="1894">IF(S134="","",IF(T134="","",IF(T134=1,0.013,0.012)))</f>
        <v/>
      </c>
      <c r="AD134" s="31" t="str">
        <f t="shared" ref="AD134" si="1895">IF(S134="","",IF(T134="","",(1/AC134*(W134/100/2)^(8/3)*(1/AB134*100)^(1/2)*1.65696)*100))</f>
        <v/>
      </c>
      <c r="AE134" s="31" t="str">
        <f t="shared" ref="AE134" si="1896">IF(S134="","",IF(T134="","",1/AC134*(W134/100/2)^(2/3)*(1/AB134)^(1/2)*0.70541))</f>
        <v/>
      </c>
      <c r="AF134" s="31" t="str">
        <f t="shared" ref="AF134" si="1897">IF(S134="","",IF(T134="","",ROUNDDOWN(AD134/($U$3/8.64),3)))</f>
        <v/>
      </c>
      <c r="AG134" s="32" t="str">
        <f t="shared" ref="AG134" si="1898">IF(S134="","",IF(T134="","",ROUNDDOWN(AF134*10000/$AJ$3,0)))</f>
        <v/>
      </c>
      <c r="AH134" s="33" t="str">
        <f t="shared" ref="AH134" si="1899">IF(S134="","",IF(T134="","",IF(AG134&gt;AI134,"＞","＜")))</f>
        <v/>
      </c>
      <c r="AI134" s="41" t="str">
        <f t="shared" ref="AI134" si="1900">IF(S134="","",Z134)</f>
        <v/>
      </c>
      <c r="AJ134" s="43" t="str">
        <f t="shared" ref="AJ134" si="1901">IF(S134="","",AI134*$AJ$3/10000)</f>
        <v/>
      </c>
      <c r="AK134" s="33" t="str">
        <f t="shared" ref="AK134" si="1902">IF(S134="","",IF(T134="","",IF(AND(T134=1,AE134&gt;1),"NG",IF(AH134="＞","OK","NG"))))</f>
        <v/>
      </c>
    </row>
    <row r="135" spans="1:37" ht="15.75" customHeight="1" x14ac:dyDescent="0.15">
      <c r="A135" s="92"/>
      <c r="B135" s="93"/>
      <c r="C135" s="59"/>
      <c r="D135" s="61"/>
      <c r="E135" s="94"/>
      <c r="F135" s="95"/>
      <c r="G135" s="95"/>
      <c r="H135" s="96"/>
      <c r="I135" s="54"/>
      <c r="J135" s="46"/>
      <c r="K135" s="97"/>
      <c r="L135" s="57"/>
      <c r="M135" s="44"/>
      <c r="N135" s="44"/>
      <c r="O135" s="42"/>
      <c r="P135" s="50"/>
      <c r="Q135" s="42"/>
      <c r="R135" s="52"/>
      <c r="S135" s="98"/>
      <c r="T135" s="99">
        <v>2</v>
      </c>
      <c r="U135" s="34" t="str">
        <f t="shared" ref="U135" si="1903">IF(S134="","",IF(T134=T135,"〃",IF(T135=1,"素焼土管",IF(T135=2,"合成樹脂管",IF(T135=3,"無孔管","")))))</f>
        <v/>
      </c>
      <c r="V135" s="35"/>
      <c r="W135" s="100"/>
      <c r="X135" s="101"/>
      <c r="Y135" s="95"/>
      <c r="Z135" s="42"/>
      <c r="AA135" s="46"/>
      <c r="AB135" s="97"/>
      <c r="AC135" s="36" t="str">
        <f t="shared" ref="AC135" si="1904">IF(S134="","",IF(T135=1,0.013,0.012))</f>
        <v/>
      </c>
      <c r="AD135" s="37" t="str">
        <f t="shared" ref="AD135" si="1905">IF(S134="","",(1/AC135*(W135/100/2)^(8/3)*(1/AB134*100)^(1/2)*1.65696)*100)</f>
        <v/>
      </c>
      <c r="AE135" s="37" t="str">
        <f t="shared" ref="AE135" si="1906">IF(S134="","",1/AC135*(W135/100/2)^(2/3)*(1/AB134)^(1/2)*0.70541)</f>
        <v/>
      </c>
      <c r="AF135" s="37" t="str">
        <f t="shared" ref="AF135" si="1907">IF(S134="","",ROUNDDOWN(AD135/($U$3/8.64),3))</f>
        <v/>
      </c>
      <c r="AG135" s="38" t="str">
        <f t="shared" ref="AG135" si="1908">IF(S134="","",ROUNDDOWN(AF135*10000/$AJ$3,0))</f>
        <v/>
      </c>
      <c r="AH135" s="39" t="str">
        <f t="shared" ref="AH135" si="1909">IF(S134="","",IF(AG135&gt;AI134,"＞",IF(AG135=AI134,"=","＜")))</f>
        <v/>
      </c>
      <c r="AI135" s="42"/>
      <c r="AJ135" s="44"/>
      <c r="AK135" s="39" t="str">
        <f t="shared" ref="AK135" si="1910">IF(S134="","",IF(AND(T135=1,AE135&gt;1),"NG",IF(AH135="＞","OK","NG")))</f>
        <v/>
      </c>
    </row>
    <row r="136" spans="1:37" ht="15.75" customHeight="1" x14ac:dyDescent="0.15">
      <c r="A136" s="80"/>
      <c r="B136" s="81">
        <v>2</v>
      </c>
      <c r="C136" s="58" t="str">
        <f t="shared" ref="C136" si="1911">IF(A136="","",IF(B136=1,"素　焼土　管",IF(B136=2,"合　成樹脂管",IF(B136=3,"無孔管",""))))</f>
        <v/>
      </c>
      <c r="D136" s="60"/>
      <c r="E136" s="82"/>
      <c r="F136" s="83"/>
      <c r="G136" s="83"/>
      <c r="H136" s="84"/>
      <c r="I136" s="53" t="str">
        <f t="shared" ref="I136" si="1912">IF(A136="","",F136-G136+H136)</f>
        <v/>
      </c>
      <c r="J136" s="55" t="str">
        <f t="shared" ref="J136" si="1913">IF(A136="",""," 1/")</f>
        <v/>
      </c>
      <c r="K136" s="85"/>
      <c r="L136" s="56" t="str">
        <f t="shared" ref="L136" si="1914">IF(A136="","",IF(B136=1,0.013,0.012))</f>
        <v/>
      </c>
      <c r="M136" s="47" t="str">
        <f t="shared" ref="M136" si="1915">IF(A136="","",(1/L136*(E136/100/2)^(8/3)*(1/K136*100)^(1/2)*1.65696)*100)</f>
        <v/>
      </c>
      <c r="N136" s="47" t="str">
        <f t="shared" ref="N136" si="1916">IF(A136="","",1/L136*(E136/100/2)^(2/3)*(1/K136)^(1/2)*0.70541)</f>
        <v/>
      </c>
      <c r="O136" s="48" t="str">
        <f t="shared" ref="O136" si="1917">IF(A136="","",ROUNDDOWN(M136/($U$3/8.64)*10000/$AJ$3,0))</f>
        <v/>
      </c>
      <c r="P136" s="49" t="str">
        <f t="shared" ref="P136" si="1918">IF(A136="","",IF(O136&gt;Q136,"＞","＜"))</f>
        <v/>
      </c>
      <c r="Q136" s="48" t="str">
        <f t="shared" ref="Q136" si="1919">IF(A136="","",I136)</f>
        <v/>
      </c>
      <c r="R136" s="51" t="str">
        <f t="shared" ref="R136" si="1920">IF(A136="","",IF(P136="＞","OK","NG"))</f>
        <v/>
      </c>
      <c r="S136" s="86"/>
      <c r="T136" s="87"/>
      <c r="U136" s="28" t="str">
        <f t="shared" ref="U136" si="1921">IF(S136="","",IF(T136=1,"素焼土管",IF(T136=2,"合成樹脂管",IF(T136=3,"無孔管",""))))</f>
        <v/>
      </c>
      <c r="V136" s="29"/>
      <c r="W136" s="88"/>
      <c r="X136" s="89"/>
      <c r="Y136" s="90"/>
      <c r="Z136" s="41" t="str">
        <f t="shared" ref="Z136" si="1922">IF(S136="","",IF(AND(T137=3,I136=""),Z134+Y136,IF(AND(Z134="",I134=""),I136+Y136,IF(AND(T137=3,I136&gt;0,Z134&gt;0),I136+Z134+Y136,IF(Z134="",I134+I136+X136+Y136,IF(I136="",Z134+X136+Y136,Z134+I136+X136+Y136))))))</f>
        <v/>
      </c>
      <c r="AA136" s="45" t="str">
        <f t="shared" ref="AA136" si="1923">IF(AB136="",""," 1/")</f>
        <v/>
      </c>
      <c r="AB136" s="91"/>
      <c r="AC136" s="30" t="str">
        <f t="shared" ref="AC136" si="1924">IF(S136="","",IF(T136="","",IF(T136=1,0.013,0.012)))</f>
        <v/>
      </c>
      <c r="AD136" s="31" t="str">
        <f t="shared" ref="AD136" si="1925">IF(S136="","",IF(T136="","",(1/AC136*(W136/100/2)^(8/3)*(1/AB136*100)^(1/2)*1.65696)*100))</f>
        <v/>
      </c>
      <c r="AE136" s="31" t="str">
        <f t="shared" ref="AE136" si="1926">IF(S136="","",IF(T136="","",1/AC136*(W136/100/2)^(2/3)*(1/AB136)^(1/2)*0.70541))</f>
        <v/>
      </c>
      <c r="AF136" s="31" t="str">
        <f t="shared" ref="AF136" si="1927">IF(S136="","",IF(T136="","",ROUNDDOWN(AD136/($U$3/8.64),3)))</f>
        <v/>
      </c>
      <c r="AG136" s="32" t="str">
        <f t="shared" ref="AG136" si="1928">IF(S136="","",IF(T136="","",ROUNDDOWN(AF136*10000/$AJ$3,0)))</f>
        <v/>
      </c>
      <c r="AH136" s="33" t="str">
        <f t="shared" ref="AH136" si="1929">IF(S136="","",IF(T136="","",IF(AG136&gt;AI136,"＞","＜")))</f>
        <v/>
      </c>
      <c r="AI136" s="41" t="str">
        <f t="shared" ref="AI136" si="1930">IF(S136="","",Z136)</f>
        <v/>
      </c>
      <c r="AJ136" s="43" t="str">
        <f t="shared" ref="AJ136" si="1931">IF(S136="","",AI136*$AJ$3/10000)</f>
        <v/>
      </c>
      <c r="AK136" s="33" t="str">
        <f t="shared" ref="AK136" si="1932">IF(S136="","",IF(T136="","",IF(AND(T136=1,AE136&gt;1),"NG",IF(AH136="＞","OK","NG"))))</f>
        <v/>
      </c>
    </row>
    <row r="137" spans="1:37" ht="15.75" customHeight="1" x14ac:dyDescent="0.15">
      <c r="A137" s="92"/>
      <c r="B137" s="93"/>
      <c r="C137" s="59"/>
      <c r="D137" s="61"/>
      <c r="E137" s="94"/>
      <c r="F137" s="95"/>
      <c r="G137" s="95"/>
      <c r="H137" s="96"/>
      <c r="I137" s="54"/>
      <c r="J137" s="46"/>
      <c r="K137" s="97"/>
      <c r="L137" s="57"/>
      <c r="M137" s="44"/>
      <c r="N137" s="44"/>
      <c r="O137" s="42"/>
      <c r="P137" s="50"/>
      <c r="Q137" s="42"/>
      <c r="R137" s="52"/>
      <c r="S137" s="98"/>
      <c r="T137" s="99">
        <v>2</v>
      </c>
      <c r="U137" s="34" t="str">
        <f t="shared" ref="U137" si="1933">IF(S136="","",IF(T136=T137,"〃",IF(T137=1,"素焼土管",IF(T137=2,"合成樹脂管",IF(T137=3,"無孔管","")))))</f>
        <v/>
      </c>
      <c r="V137" s="35"/>
      <c r="W137" s="100"/>
      <c r="X137" s="101"/>
      <c r="Y137" s="95"/>
      <c r="Z137" s="42"/>
      <c r="AA137" s="46"/>
      <c r="AB137" s="97"/>
      <c r="AC137" s="36" t="str">
        <f t="shared" ref="AC137" si="1934">IF(S136="","",IF(T137=1,0.013,0.012))</f>
        <v/>
      </c>
      <c r="AD137" s="37" t="str">
        <f t="shared" ref="AD137" si="1935">IF(S136="","",(1/AC137*(W137/100/2)^(8/3)*(1/AB136*100)^(1/2)*1.65696)*100)</f>
        <v/>
      </c>
      <c r="AE137" s="37" t="str">
        <f t="shared" ref="AE137" si="1936">IF(S136="","",1/AC137*(W137/100/2)^(2/3)*(1/AB136)^(1/2)*0.70541)</f>
        <v/>
      </c>
      <c r="AF137" s="37" t="str">
        <f t="shared" ref="AF137" si="1937">IF(S136="","",ROUNDDOWN(AD137/($U$3/8.64),3))</f>
        <v/>
      </c>
      <c r="AG137" s="38" t="str">
        <f t="shared" ref="AG137" si="1938">IF(S136="","",ROUNDDOWN(AF137*10000/$AJ$3,0))</f>
        <v/>
      </c>
      <c r="AH137" s="39" t="str">
        <f t="shared" ref="AH137" si="1939">IF(S136="","",IF(AG137&gt;AI136,"＞",IF(AG137=AI136,"=","＜")))</f>
        <v/>
      </c>
      <c r="AI137" s="42"/>
      <c r="AJ137" s="44"/>
      <c r="AK137" s="39" t="str">
        <f t="shared" ref="AK137" si="1940">IF(S136="","",IF(AND(T137=1,AE137&gt;1),"NG",IF(AH137="＞","OK","NG")))</f>
        <v/>
      </c>
    </row>
    <row r="138" spans="1:37" ht="15.75" customHeight="1" x14ac:dyDescent="0.15">
      <c r="A138" s="80"/>
      <c r="B138" s="81">
        <v>2</v>
      </c>
      <c r="C138" s="58" t="str">
        <f t="shared" ref="C138" si="1941">IF(A138="","",IF(B138=1,"素　焼土　管",IF(B138=2,"合　成樹脂管",IF(B138=3,"無孔管",""))))</f>
        <v/>
      </c>
      <c r="D138" s="60"/>
      <c r="E138" s="82"/>
      <c r="F138" s="83"/>
      <c r="G138" s="83"/>
      <c r="H138" s="84"/>
      <c r="I138" s="53" t="str">
        <f t="shared" ref="I138" si="1942">IF(A138="","",F138-G138+H138)</f>
        <v/>
      </c>
      <c r="J138" s="55" t="str">
        <f t="shared" ref="J138" si="1943">IF(A138="",""," 1/")</f>
        <v/>
      </c>
      <c r="K138" s="85"/>
      <c r="L138" s="56" t="str">
        <f t="shared" ref="L138" si="1944">IF(A138="","",IF(B138=1,0.013,0.012))</f>
        <v/>
      </c>
      <c r="M138" s="47" t="str">
        <f t="shared" ref="M138" si="1945">IF(A138="","",(1/L138*(E138/100/2)^(8/3)*(1/K138*100)^(1/2)*1.65696)*100)</f>
        <v/>
      </c>
      <c r="N138" s="47" t="str">
        <f t="shared" ref="N138" si="1946">IF(A138="","",1/L138*(E138/100/2)^(2/3)*(1/K138)^(1/2)*0.70541)</f>
        <v/>
      </c>
      <c r="O138" s="48" t="str">
        <f t="shared" ref="O138" si="1947">IF(A138="","",ROUNDDOWN(M138/($U$3/8.64)*10000/$AJ$3,0))</f>
        <v/>
      </c>
      <c r="P138" s="49" t="str">
        <f t="shared" ref="P138" si="1948">IF(A138="","",IF(O138&gt;Q138,"＞","＜"))</f>
        <v/>
      </c>
      <c r="Q138" s="48" t="str">
        <f t="shared" ref="Q138" si="1949">IF(A138="","",I138)</f>
        <v/>
      </c>
      <c r="R138" s="51" t="str">
        <f t="shared" ref="R138" si="1950">IF(A138="","",IF(P138="＞","OK","NG"))</f>
        <v/>
      </c>
      <c r="S138" s="86"/>
      <c r="T138" s="87"/>
      <c r="U138" s="28" t="str">
        <f t="shared" ref="U138" si="1951">IF(S138="","",IF(T138=1,"素焼土管",IF(T138=2,"合成樹脂管",IF(T138=3,"無孔管",""))))</f>
        <v/>
      </c>
      <c r="V138" s="29"/>
      <c r="W138" s="88"/>
      <c r="X138" s="89"/>
      <c r="Y138" s="90"/>
      <c r="Z138" s="41" t="str">
        <f t="shared" ref="Z138" si="1952">IF(S138="","",IF(AND(T139=3,I138=""),Z136+Y138,IF(AND(Z136="",I136=""),I138+Y138,IF(AND(T139=3,I138&gt;0,Z136&gt;0),I138+Z136+Y138,IF(Z136="",I136+I138+X138+Y138,IF(I138="",Z136+X138+Y138,Z136+I138+X138+Y138))))))</f>
        <v/>
      </c>
      <c r="AA138" s="45" t="str">
        <f t="shared" ref="AA138" si="1953">IF(AB138="",""," 1/")</f>
        <v/>
      </c>
      <c r="AB138" s="91"/>
      <c r="AC138" s="30" t="str">
        <f t="shared" ref="AC138" si="1954">IF(S138="","",IF(T138="","",IF(T138=1,0.013,0.012)))</f>
        <v/>
      </c>
      <c r="AD138" s="31" t="str">
        <f t="shared" ref="AD138" si="1955">IF(S138="","",IF(T138="","",(1/AC138*(W138/100/2)^(8/3)*(1/AB138*100)^(1/2)*1.65696)*100))</f>
        <v/>
      </c>
      <c r="AE138" s="31" t="str">
        <f t="shared" ref="AE138" si="1956">IF(S138="","",IF(T138="","",1/AC138*(W138/100/2)^(2/3)*(1/AB138)^(1/2)*0.70541))</f>
        <v/>
      </c>
      <c r="AF138" s="31" t="str">
        <f t="shared" ref="AF138" si="1957">IF(S138="","",IF(T138="","",ROUNDDOWN(AD138/($U$3/8.64),3)))</f>
        <v/>
      </c>
      <c r="AG138" s="32" t="str">
        <f t="shared" ref="AG138" si="1958">IF(S138="","",IF(T138="","",ROUNDDOWN(AF138*10000/$AJ$3,0)))</f>
        <v/>
      </c>
      <c r="AH138" s="33" t="str">
        <f t="shared" ref="AH138" si="1959">IF(S138="","",IF(T138="","",IF(AG138&gt;AI138,"＞","＜")))</f>
        <v/>
      </c>
      <c r="AI138" s="41" t="str">
        <f t="shared" ref="AI138" si="1960">IF(S138="","",Z138)</f>
        <v/>
      </c>
      <c r="AJ138" s="43" t="str">
        <f t="shared" ref="AJ138" si="1961">IF(S138="","",AI138*$AJ$3/10000)</f>
        <v/>
      </c>
      <c r="AK138" s="33" t="str">
        <f t="shared" ref="AK138" si="1962">IF(S138="","",IF(T138="","",IF(AND(T138=1,AE138&gt;1),"NG",IF(AH138="＞","OK","NG"))))</f>
        <v/>
      </c>
    </row>
    <row r="139" spans="1:37" ht="15.75" customHeight="1" x14ac:dyDescent="0.15">
      <c r="A139" s="92"/>
      <c r="B139" s="93"/>
      <c r="C139" s="59"/>
      <c r="D139" s="61"/>
      <c r="E139" s="94"/>
      <c r="F139" s="95"/>
      <c r="G139" s="95"/>
      <c r="H139" s="96"/>
      <c r="I139" s="54"/>
      <c r="J139" s="46"/>
      <c r="K139" s="97"/>
      <c r="L139" s="57"/>
      <c r="M139" s="44"/>
      <c r="N139" s="44"/>
      <c r="O139" s="42"/>
      <c r="P139" s="50"/>
      <c r="Q139" s="42"/>
      <c r="R139" s="52"/>
      <c r="S139" s="98"/>
      <c r="T139" s="99">
        <v>2</v>
      </c>
      <c r="U139" s="34" t="str">
        <f t="shared" ref="U139" si="1963">IF(S138="","",IF(T138=T139,"〃",IF(T139=1,"素焼土管",IF(T139=2,"合成樹脂管",IF(T139=3,"無孔管","")))))</f>
        <v/>
      </c>
      <c r="V139" s="35"/>
      <c r="W139" s="100"/>
      <c r="X139" s="101"/>
      <c r="Y139" s="95"/>
      <c r="Z139" s="42"/>
      <c r="AA139" s="46"/>
      <c r="AB139" s="97"/>
      <c r="AC139" s="36" t="str">
        <f t="shared" ref="AC139" si="1964">IF(S138="","",IF(T139=1,0.013,0.012))</f>
        <v/>
      </c>
      <c r="AD139" s="37" t="str">
        <f t="shared" ref="AD139" si="1965">IF(S138="","",(1/AC139*(W139/100/2)^(8/3)*(1/AB138*100)^(1/2)*1.65696)*100)</f>
        <v/>
      </c>
      <c r="AE139" s="37" t="str">
        <f t="shared" ref="AE139" si="1966">IF(S138="","",1/AC139*(W139/100/2)^(2/3)*(1/AB138)^(1/2)*0.70541)</f>
        <v/>
      </c>
      <c r="AF139" s="37" t="str">
        <f t="shared" ref="AF139" si="1967">IF(S138="","",ROUNDDOWN(AD139/($U$3/8.64),3))</f>
        <v/>
      </c>
      <c r="AG139" s="38" t="str">
        <f t="shared" ref="AG139" si="1968">IF(S138="","",ROUNDDOWN(AF139*10000/$AJ$3,0))</f>
        <v/>
      </c>
      <c r="AH139" s="39" t="str">
        <f t="shared" ref="AH139" si="1969">IF(S138="","",IF(AG139&gt;AI138,"＞",IF(AG139=AI138,"=","＜")))</f>
        <v/>
      </c>
      <c r="AI139" s="42"/>
      <c r="AJ139" s="44"/>
      <c r="AK139" s="39" t="str">
        <f t="shared" ref="AK139" si="1970">IF(S138="","",IF(AND(T139=1,AE139&gt;1),"NG",IF(AH139="＞","OK","NG")))</f>
        <v/>
      </c>
    </row>
    <row r="140" spans="1:37" ht="15.75" customHeight="1" x14ac:dyDescent="0.15">
      <c r="A140" s="80"/>
      <c r="B140" s="81">
        <v>2</v>
      </c>
      <c r="C140" s="58" t="str">
        <f t="shared" ref="C140" si="1971">IF(A140="","",IF(B140=1,"素　焼土　管",IF(B140=2,"合　成樹脂管",IF(B140=3,"無孔管",""))))</f>
        <v/>
      </c>
      <c r="D140" s="60"/>
      <c r="E140" s="82"/>
      <c r="F140" s="83"/>
      <c r="G140" s="83"/>
      <c r="H140" s="84"/>
      <c r="I140" s="53" t="str">
        <f t="shared" ref="I140" si="1972">IF(A140="","",F140-G140+H140)</f>
        <v/>
      </c>
      <c r="J140" s="55" t="str">
        <f t="shared" ref="J140" si="1973">IF(A140="",""," 1/")</f>
        <v/>
      </c>
      <c r="K140" s="85"/>
      <c r="L140" s="56" t="str">
        <f t="shared" ref="L140" si="1974">IF(A140="","",IF(B140=1,0.013,0.012))</f>
        <v/>
      </c>
      <c r="M140" s="47" t="str">
        <f t="shared" ref="M140" si="1975">IF(A140="","",(1/L140*(E140/100/2)^(8/3)*(1/K140*100)^(1/2)*1.65696)*100)</f>
        <v/>
      </c>
      <c r="N140" s="47" t="str">
        <f t="shared" ref="N140" si="1976">IF(A140="","",1/L140*(E140/100/2)^(2/3)*(1/K140)^(1/2)*0.70541)</f>
        <v/>
      </c>
      <c r="O140" s="48" t="str">
        <f t="shared" ref="O140" si="1977">IF(A140="","",ROUNDDOWN(M140/($U$3/8.64)*10000/$AJ$3,0))</f>
        <v/>
      </c>
      <c r="P140" s="49" t="str">
        <f t="shared" ref="P140" si="1978">IF(A140="","",IF(O140&gt;Q140,"＞","＜"))</f>
        <v/>
      </c>
      <c r="Q140" s="48" t="str">
        <f t="shared" ref="Q140" si="1979">IF(A140="","",I140)</f>
        <v/>
      </c>
      <c r="R140" s="51" t="str">
        <f t="shared" ref="R140" si="1980">IF(A140="","",IF(P140="＞","OK","NG"))</f>
        <v/>
      </c>
      <c r="S140" s="86"/>
      <c r="T140" s="87"/>
      <c r="U140" s="28" t="str">
        <f t="shared" ref="U140" si="1981">IF(S140="","",IF(T140=1,"素焼土管",IF(T140=2,"合成樹脂管",IF(T140=3,"無孔管",""))))</f>
        <v/>
      </c>
      <c r="V140" s="29"/>
      <c r="W140" s="88"/>
      <c r="X140" s="89"/>
      <c r="Y140" s="90"/>
      <c r="Z140" s="41" t="str">
        <f t="shared" ref="Z140" si="1982">IF(S140="","",IF(AND(T141=3,I140=""),Z138+Y140,IF(AND(Z138="",I138=""),I140+Y140,IF(AND(T141=3,I140&gt;0,Z138&gt;0),I140+Z138+Y140,IF(Z138="",I138+I140+X140+Y140,IF(I140="",Z138+X140+Y140,Z138+I140+X140+Y140))))))</f>
        <v/>
      </c>
      <c r="AA140" s="45" t="str">
        <f t="shared" ref="AA140" si="1983">IF(AB140="",""," 1/")</f>
        <v/>
      </c>
      <c r="AB140" s="91"/>
      <c r="AC140" s="30" t="str">
        <f t="shared" ref="AC140" si="1984">IF(S140="","",IF(T140="","",IF(T140=1,0.013,0.012)))</f>
        <v/>
      </c>
      <c r="AD140" s="31" t="str">
        <f t="shared" ref="AD140" si="1985">IF(S140="","",IF(T140="","",(1/AC140*(W140/100/2)^(8/3)*(1/AB140*100)^(1/2)*1.65696)*100))</f>
        <v/>
      </c>
      <c r="AE140" s="31" t="str">
        <f t="shared" ref="AE140" si="1986">IF(S140="","",IF(T140="","",1/AC140*(W140/100/2)^(2/3)*(1/AB140)^(1/2)*0.70541))</f>
        <v/>
      </c>
      <c r="AF140" s="31" t="str">
        <f t="shared" ref="AF140" si="1987">IF(S140="","",IF(T140="","",ROUNDDOWN(AD140/($U$3/8.64),3)))</f>
        <v/>
      </c>
      <c r="AG140" s="32" t="str">
        <f t="shared" ref="AG140" si="1988">IF(S140="","",IF(T140="","",ROUNDDOWN(AF140*10000/$AJ$3,0)))</f>
        <v/>
      </c>
      <c r="AH140" s="33" t="str">
        <f t="shared" ref="AH140" si="1989">IF(S140="","",IF(T140="","",IF(AG140&gt;AI140,"＞","＜")))</f>
        <v/>
      </c>
      <c r="AI140" s="41" t="str">
        <f t="shared" ref="AI140" si="1990">IF(S140="","",Z140)</f>
        <v/>
      </c>
      <c r="AJ140" s="43" t="str">
        <f t="shared" ref="AJ140" si="1991">IF(S140="","",AI140*$AJ$3/10000)</f>
        <v/>
      </c>
      <c r="AK140" s="33" t="str">
        <f t="shared" ref="AK140" si="1992">IF(S140="","",IF(T140="","",IF(AND(T140=1,AE140&gt;1),"NG",IF(AH140="＞","OK","NG"))))</f>
        <v/>
      </c>
    </row>
    <row r="141" spans="1:37" ht="15.75" customHeight="1" x14ac:dyDescent="0.15">
      <c r="A141" s="92"/>
      <c r="B141" s="93"/>
      <c r="C141" s="59"/>
      <c r="D141" s="61"/>
      <c r="E141" s="94"/>
      <c r="F141" s="95"/>
      <c r="G141" s="95"/>
      <c r="H141" s="96"/>
      <c r="I141" s="54"/>
      <c r="J141" s="46"/>
      <c r="K141" s="97"/>
      <c r="L141" s="57"/>
      <c r="M141" s="44"/>
      <c r="N141" s="44"/>
      <c r="O141" s="42"/>
      <c r="P141" s="50"/>
      <c r="Q141" s="42"/>
      <c r="R141" s="52"/>
      <c r="S141" s="98"/>
      <c r="T141" s="99">
        <v>2</v>
      </c>
      <c r="U141" s="34" t="str">
        <f t="shared" ref="U141" si="1993">IF(S140="","",IF(T140=T141,"〃",IF(T141=1,"素焼土管",IF(T141=2,"合成樹脂管",IF(T141=3,"無孔管","")))))</f>
        <v/>
      </c>
      <c r="V141" s="35"/>
      <c r="W141" s="100"/>
      <c r="X141" s="101"/>
      <c r="Y141" s="95"/>
      <c r="Z141" s="42"/>
      <c r="AA141" s="46"/>
      <c r="AB141" s="97"/>
      <c r="AC141" s="36" t="str">
        <f t="shared" ref="AC141" si="1994">IF(S140="","",IF(T141=1,0.013,0.012))</f>
        <v/>
      </c>
      <c r="AD141" s="37" t="str">
        <f t="shared" ref="AD141" si="1995">IF(S140="","",(1/AC141*(W141/100/2)^(8/3)*(1/AB140*100)^(1/2)*1.65696)*100)</f>
        <v/>
      </c>
      <c r="AE141" s="37" t="str">
        <f t="shared" ref="AE141" si="1996">IF(S140="","",1/AC141*(W141/100/2)^(2/3)*(1/AB140)^(1/2)*0.70541)</f>
        <v/>
      </c>
      <c r="AF141" s="37" t="str">
        <f t="shared" ref="AF141" si="1997">IF(S140="","",ROUNDDOWN(AD141/($U$3/8.64),3))</f>
        <v/>
      </c>
      <c r="AG141" s="38" t="str">
        <f t="shared" ref="AG141" si="1998">IF(S140="","",ROUNDDOWN(AF141*10000/$AJ$3,0))</f>
        <v/>
      </c>
      <c r="AH141" s="39" t="str">
        <f t="shared" ref="AH141" si="1999">IF(S140="","",IF(AG141&gt;AI140,"＞",IF(AG141=AI140,"=","＜")))</f>
        <v/>
      </c>
      <c r="AI141" s="42"/>
      <c r="AJ141" s="44"/>
      <c r="AK141" s="39" t="str">
        <f t="shared" ref="AK141" si="2000">IF(S140="","",IF(AND(T141=1,AE141&gt;1),"NG",IF(AH141="＞","OK","NG")))</f>
        <v/>
      </c>
    </row>
    <row r="142" spans="1:37" ht="15.75" customHeight="1" x14ac:dyDescent="0.15">
      <c r="A142" s="80"/>
      <c r="B142" s="81">
        <v>2</v>
      </c>
      <c r="C142" s="58" t="str">
        <f t="shared" ref="C142" si="2001">IF(A142="","",IF(B142=1,"素　焼土　管",IF(B142=2,"合　成樹脂管",IF(B142=3,"無孔管",""))))</f>
        <v/>
      </c>
      <c r="D142" s="60"/>
      <c r="E142" s="82"/>
      <c r="F142" s="83"/>
      <c r="G142" s="83"/>
      <c r="H142" s="84"/>
      <c r="I142" s="53" t="str">
        <f t="shared" ref="I142" si="2002">IF(A142="","",F142-G142+H142)</f>
        <v/>
      </c>
      <c r="J142" s="55" t="str">
        <f t="shared" ref="J142" si="2003">IF(A142="",""," 1/")</f>
        <v/>
      </c>
      <c r="K142" s="85"/>
      <c r="L142" s="56" t="str">
        <f t="shared" ref="L142" si="2004">IF(A142="","",IF(B142=1,0.013,0.012))</f>
        <v/>
      </c>
      <c r="M142" s="47" t="str">
        <f t="shared" ref="M142" si="2005">IF(A142="","",(1/L142*(E142/100/2)^(8/3)*(1/K142*100)^(1/2)*1.65696)*100)</f>
        <v/>
      </c>
      <c r="N142" s="47" t="str">
        <f t="shared" ref="N142" si="2006">IF(A142="","",1/L142*(E142/100/2)^(2/3)*(1/K142)^(1/2)*0.70541)</f>
        <v/>
      </c>
      <c r="O142" s="48" t="str">
        <f t="shared" ref="O142" si="2007">IF(A142="","",ROUNDDOWN(M142/($U$3/8.64)*10000/$AJ$3,0))</f>
        <v/>
      </c>
      <c r="P142" s="49" t="str">
        <f t="shared" ref="P142" si="2008">IF(A142="","",IF(O142&gt;Q142,"＞","＜"))</f>
        <v/>
      </c>
      <c r="Q142" s="48" t="str">
        <f t="shared" ref="Q142" si="2009">IF(A142="","",I142)</f>
        <v/>
      </c>
      <c r="R142" s="51" t="str">
        <f t="shared" ref="R142" si="2010">IF(A142="","",IF(P142="＞","OK","NG"))</f>
        <v/>
      </c>
      <c r="S142" s="86"/>
      <c r="T142" s="87"/>
      <c r="U142" s="28" t="str">
        <f t="shared" ref="U142" si="2011">IF(S142="","",IF(T142=1,"素焼土管",IF(T142=2,"合成樹脂管",IF(T142=3,"無孔管",""))))</f>
        <v/>
      </c>
      <c r="V142" s="29"/>
      <c r="W142" s="88"/>
      <c r="X142" s="89"/>
      <c r="Y142" s="90"/>
      <c r="Z142" s="41" t="str">
        <f t="shared" ref="Z142" si="2012">IF(S142="","",IF(AND(T143=3,I142=""),Z140+Y142,IF(AND(Z140="",I140=""),I142+Y142,IF(AND(T143=3,I142&gt;0,Z140&gt;0),I142+Z140+Y142,IF(Z140="",I140+I142+X142+Y142,IF(I142="",Z140+X142+Y142,Z140+I142+X142+Y142))))))</f>
        <v/>
      </c>
      <c r="AA142" s="45" t="str">
        <f t="shared" ref="AA142" si="2013">IF(AB142="",""," 1/")</f>
        <v/>
      </c>
      <c r="AB142" s="91"/>
      <c r="AC142" s="30" t="str">
        <f t="shared" ref="AC142" si="2014">IF(S142="","",IF(T142="","",IF(T142=1,0.013,0.012)))</f>
        <v/>
      </c>
      <c r="AD142" s="31" t="str">
        <f t="shared" ref="AD142" si="2015">IF(S142="","",IF(T142="","",(1/AC142*(W142/100/2)^(8/3)*(1/AB142*100)^(1/2)*1.65696)*100))</f>
        <v/>
      </c>
      <c r="AE142" s="31" t="str">
        <f t="shared" ref="AE142" si="2016">IF(S142="","",IF(T142="","",1/AC142*(W142/100/2)^(2/3)*(1/AB142)^(1/2)*0.70541))</f>
        <v/>
      </c>
      <c r="AF142" s="31" t="str">
        <f t="shared" ref="AF142" si="2017">IF(S142="","",IF(T142="","",ROUNDDOWN(AD142/($U$3/8.64),3)))</f>
        <v/>
      </c>
      <c r="AG142" s="32" t="str">
        <f t="shared" ref="AG142" si="2018">IF(S142="","",IF(T142="","",ROUNDDOWN(AF142*10000/$AJ$3,0)))</f>
        <v/>
      </c>
      <c r="AH142" s="33" t="str">
        <f t="shared" ref="AH142" si="2019">IF(S142="","",IF(T142="","",IF(AG142&gt;AI142,"＞","＜")))</f>
        <v/>
      </c>
      <c r="AI142" s="41" t="str">
        <f t="shared" ref="AI142" si="2020">IF(S142="","",Z142)</f>
        <v/>
      </c>
      <c r="AJ142" s="43" t="str">
        <f t="shared" ref="AJ142" si="2021">IF(S142="","",AI142*$AJ$3/10000)</f>
        <v/>
      </c>
      <c r="AK142" s="33" t="str">
        <f t="shared" ref="AK142" si="2022">IF(S142="","",IF(T142="","",IF(AND(T142=1,AE142&gt;1),"NG",IF(AH142="＞","OK","NG"))))</f>
        <v/>
      </c>
    </row>
    <row r="143" spans="1:37" ht="15.75" customHeight="1" x14ac:dyDescent="0.15">
      <c r="A143" s="92"/>
      <c r="B143" s="93"/>
      <c r="C143" s="59"/>
      <c r="D143" s="61"/>
      <c r="E143" s="94"/>
      <c r="F143" s="95"/>
      <c r="G143" s="95"/>
      <c r="H143" s="96"/>
      <c r="I143" s="54"/>
      <c r="J143" s="46"/>
      <c r="K143" s="97"/>
      <c r="L143" s="57"/>
      <c r="M143" s="44"/>
      <c r="N143" s="44"/>
      <c r="O143" s="42"/>
      <c r="P143" s="50"/>
      <c r="Q143" s="42"/>
      <c r="R143" s="52"/>
      <c r="S143" s="98"/>
      <c r="T143" s="99">
        <v>2</v>
      </c>
      <c r="U143" s="34" t="str">
        <f t="shared" ref="U143" si="2023">IF(S142="","",IF(T142=T143,"〃",IF(T143=1,"素焼土管",IF(T143=2,"合成樹脂管",IF(T143=3,"無孔管","")))))</f>
        <v/>
      </c>
      <c r="V143" s="35"/>
      <c r="W143" s="100"/>
      <c r="X143" s="101"/>
      <c r="Y143" s="95"/>
      <c r="Z143" s="42"/>
      <c r="AA143" s="46"/>
      <c r="AB143" s="97"/>
      <c r="AC143" s="36" t="str">
        <f t="shared" ref="AC143" si="2024">IF(S142="","",IF(T143=1,0.013,0.012))</f>
        <v/>
      </c>
      <c r="AD143" s="37" t="str">
        <f t="shared" ref="AD143" si="2025">IF(S142="","",(1/AC143*(W143/100/2)^(8/3)*(1/AB142*100)^(1/2)*1.65696)*100)</f>
        <v/>
      </c>
      <c r="AE143" s="37" t="str">
        <f t="shared" ref="AE143" si="2026">IF(S142="","",1/AC143*(W143/100/2)^(2/3)*(1/AB142)^(1/2)*0.70541)</f>
        <v/>
      </c>
      <c r="AF143" s="37" t="str">
        <f t="shared" ref="AF143" si="2027">IF(S142="","",ROUNDDOWN(AD143/($U$3/8.64),3))</f>
        <v/>
      </c>
      <c r="AG143" s="38" t="str">
        <f t="shared" ref="AG143" si="2028">IF(S142="","",ROUNDDOWN(AF143*10000/$AJ$3,0))</f>
        <v/>
      </c>
      <c r="AH143" s="39" t="str">
        <f t="shared" ref="AH143" si="2029">IF(S142="","",IF(AG143&gt;AI142,"＞",IF(AG143=AI142,"=","＜")))</f>
        <v/>
      </c>
      <c r="AI143" s="42"/>
      <c r="AJ143" s="44"/>
      <c r="AK143" s="39" t="str">
        <f t="shared" ref="AK143" si="2030">IF(S142="","",IF(AND(T143=1,AE143&gt;1),"NG",IF(AH143="＞","OK","NG")))</f>
        <v/>
      </c>
    </row>
    <row r="144" spans="1:37" ht="15.75" customHeight="1" x14ac:dyDescent="0.15">
      <c r="A144" s="80"/>
      <c r="B144" s="81">
        <v>2</v>
      </c>
      <c r="C144" s="58" t="str">
        <f t="shared" ref="C144" si="2031">IF(A144="","",IF(B144=1,"素　焼土　管",IF(B144=2,"合　成樹脂管",IF(B144=3,"無孔管",""))))</f>
        <v/>
      </c>
      <c r="D144" s="60"/>
      <c r="E144" s="82"/>
      <c r="F144" s="83"/>
      <c r="G144" s="83"/>
      <c r="H144" s="84"/>
      <c r="I144" s="53" t="str">
        <f t="shared" ref="I144" si="2032">IF(A144="","",F144-G144+H144)</f>
        <v/>
      </c>
      <c r="J144" s="55" t="str">
        <f t="shared" ref="J144" si="2033">IF(A144="",""," 1/")</f>
        <v/>
      </c>
      <c r="K144" s="85"/>
      <c r="L144" s="56" t="str">
        <f t="shared" ref="L144" si="2034">IF(A144="","",IF(B144=1,0.013,0.012))</f>
        <v/>
      </c>
      <c r="M144" s="47" t="str">
        <f t="shared" ref="M144" si="2035">IF(A144="","",(1/L144*(E144/100/2)^(8/3)*(1/K144*100)^(1/2)*1.65696)*100)</f>
        <v/>
      </c>
      <c r="N144" s="47" t="str">
        <f t="shared" ref="N144" si="2036">IF(A144="","",1/L144*(E144/100/2)^(2/3)*(1/K144)^(1/2)*0.70541)</f>
        <v/>
      </c>
      <c r="O144" s="48" t="str">
        <f t="shared" ref="O144" si="2037">IF(A144="","",ROUNDDOWN(M144/($U$3/8.64)*10000/$AJ$3,0))</f>
        <v/>
      </c>
      <c r="P144" s="49" t="str">
        <f t="shared" ref="P144" si="2038">IF(A144="","",IF(O144&gt;Q144,"＞","＜"))</f>
        <v/>
      </c>
      <c r="Q144" s="48" t="str">
        <f t="shared" ref="Q144" si="2039">IF(A144="","",I144)</f>
        <v/>
      </c>
      <c r="R144" s="51" t="str">
        <f t="shared" ref="R144" si="2040">IF(A144="","",IF(P144="＞","OK","NG"))</f>
        <v/>
      </c>
      <c r="S144" s="86"/>
      <c r="T144" s="87"/>
      <c r="U144" s="28" t="str">
        <f t="shared" ref="U144" si="2041">IF(S144="","",IF(T144=1,"素焼土管",IF(T144=2,"合成樹脂管",IF(T144=3,"無孔管",""))))</f>
        <v/>
      </c>
      <c r="V144" s="29"/>
      <c r="W144" s="88"/>
      <c r="X144" s="89"/>
      <c r="Y144" s="90"/>
      <c r="Z144" s="41" t="str">
        <f t="shared" ref="Z144" si="2042">IF(S144="","",IF(AND(T145=3,I144=""),Z142+Y144,IF(AND(Z142="",I142=""),I144+Y144,IF(AND(T145=3,I144&gt;0,Z142&gt;0),I144+Z142+Y144,IF(Z142="",I142+I144+X144+Y144,IF(I144="",Z142+X144+Y144,Z142+I144+X144+Y144))))))</f>
        <v/>
      </c>
      <c r="AA144" s="45" t="str">
        <f t="shared" ref="AA144" si="2043">IF(AB144="",""," 1/")</f>
        <v/>
      </c>
      <c r="AB144" s="91"/>
      <c r="AC144" s="30" t="str">
        <f t="shared" ref="AC144" si="2044">IF(S144="","",IF(T144="","",IF(T144=1,0.013,0.012)))</f>
        <v/>
      </c>
      <c r="AD144" s="31" t="str">
        <f t="shared" ref="AD144" si="2045">IF(S144="","",IF(T144="","",(1/AC144*(W144/100/2)^(8/3)*(1/AB144*100)^(1/2)*1.65696)*100))</f>
        <v/>
      </c>
      <c r="AE144" s="31" t="str">
        <f t="shared" ref="AE144" si="2046">IF(S144="","",IF(T144="","",1/AC144*(W144/100/2)^(2/3)*(1/AB144)^(1/2)*0.70541))</f>
        <v/>
      </c>
      <c r="AF144" s="31" t="str">
        <f t="shared" ref="AF144" si="2047">IF(S144="","",IF(T144="","",ROUNDDOWN(AD144/($U$3/8.64),3)))</f>
        <v/>
      </c>
      <c r="AG144" s="32" t="str">
        <f t="shared" ref="AG144" si="2048">IF(S144="","",IF(T144="","",ROUNDDOWN(AF144*10000/$AJ$3,0)))</f>
        <v/>
      </c>
      <c r="AH144" s="33" t="str">
        <f t="shared" ref="AH144" si="2049">IF(S144="","",IF(T144="","",IF(AG144&gt;AI144,"＞","＜")))</f>
        <v/>
      </c>
      <c r="AI144" s="41" t="str">
        <f t="shared" ref="AI144" si="2050">IF(S144="","",Z144)</f>
        <v/>
      </c>
      <c r="AJ144" s="43" t="str">
        <f t="shared" ref="AJ144" si="2051">IF(S144="","",AI144*$AJ$3/10000)</f>
        <v/>
      </c>
      <c r="AK144" s="33" t="str">
        <f t="shared" ref="AK144" si="2052">IF(S144="","",IF(T144="","",IF(AND(T144=1,AE144&gt;1),"NG",IF(AH144="＞","OK","NG"))))</f>
        <v/>
      </c>
    </row>
    <row r="145" spans="1:37" ht="15.75" customHeight="1" x14ac:dyDescent="0.15">
      <c r="A145" s="92"/>
      <c r="B145" s="93"/>
      <c r="C145" s="59"/>
      <c r="D145" s="61"/>
      <c r="E145" s="94"/>
      <c r="F145" s="95"/>
      <c r="G145" s="95"/>
      <c r="H145" s="96"/>
      <c r="I145" s="54"/>
      <c r="J145" s="46"/>
      <c r="K145" s="97"/>
      <c r="L145" s="57"/>
      <c r="M145" s="44"/>
      <c r="N145" s="44"/>
      <c r="O145" s="42"/>
      <c r="P145" s="50"/>
      <c r="Q145" s="42"/>
      <c r="R145" s="52"/>
      <c r="S145" s="98"/>
      <c r="T145" s="99">
        <v>2</v>
      </c>
      <c r="U145" s="34" t="str">
        <f t="shared" ref="U145" si="2053">IF(S144="","",IF(T144=T145,"〃",IF(T145=1,"素焼土管",IF(T145=2,"合成樹脂管",IF(T145=3,"無孔管","")))))</f>
        <v/>
      </c>
      <c r="V145" s="35"/>
      <c r="W145" s="100"/>
      <c r="X145" s="101"/>
      <c r="Y145" s="95"/>
      <c r="Z145" s="42"/>
      <c r="AA145" s="46"/>
      <c r="AB145" s="97"/>
      <c r="AC145" s="36" t="str">
        <f t="shared" ref="AC145" si="2054">IF(S144="","",IF(T145=1,0.013,0.012))</f>
        <v/>
      </c>
      <c r="AD145" s="37" t="str">
        <f t="shared" ref="AD145" si="2055">IF(S144="","",(1/AC145*(W145/100/2)^(8/3)*(1/AB144*100)^(1/2)*1.65696)*100)</f>
        <v/>
      </c>
      <c r="AE145" s="37" t="str">
        <f t="shared" ref="AE145" si="2056">IF(S144="","",1/AC145*(W145/100/2)^(2/3)*(1/AB144)^(1/2)*0.70541)</f>
        <v/>
      </c>
      <c r="AF145" s="37" t="str">
        <f t="shared" ref="AF145" si="2057">IF(S144="","",ROUNDDOWN(AD145/($U$3/8.64),3))</f>
        <v/>
      </c>
      <c r="AG145" s="38" t="str">
        <f t="shared" ref="AG145" si="2058">IF(S144="","",ROUNDDOWN(AF145*10000/$AJ$3,0))</f>
        <v/>
      </c>
      <c r="AH145" s="39" t="str">
        <f t="shared" ref="AH145" si="2059">IF(S144="","",IF(AG145&gt;AI144,"＞",IF(AG145=AI144,"=","＜")))</f>
        <v/>
      </c>
      <c r="AI145" s="42"/>
      <c r="AJ145" s="44"/>
      <c r="AK145" s="39" t="str">
        <f t="shared" ref="AK145" si="2060">IF(S144="","",IF(AND(T145=1,AE145&gt;1),"NG",IF(AH145="＞","OK","NG")))</f>
        <v/>
      </c>
    </row>
    <row r="146" spans="1:37" ht="15.75" customHeight="1" x14ac:dyDescent="0.15">
      <c r="A146" s="80"/>
      <c r="B146" s="81">
        <v>2</v>
      </c>
      <c r="C146" s="58" t="str">
        <f t="shared" ref="C146" si="2061">IF(A146="","",IF(B146=1,"素　焼土　管",IF(B146=2,"合　成樹脂管",IF(B146=3,"無孔管",""))))</f>
        <v/>
      </c>
      <c r="D146" s="60"/>
      <c r="E146" s="82"/>
      <c r="F146" s="83"/>
      <c r="G146" s="83"/>
      <c r="H146" s="84"/>
      <c r="I146" s="53" t="str">
        <f t="shared" ref="I146" si="2062">IF(A146="","",F146-G146+H146)</f>
        <v/>
      </c>
      <c r="J146" s="55" t="str">
        <f t="shared" ref="J146" si="2063">IF(A146="",""," 1/")</f>
        <v/>
      </c>
      <c r="K146" s="85"/>
      <c r="L146" s="56" t="str">
        <f t="shared" ref="L146" si="2064">IF(A146="","",IF(B146=1,0.013,0.012))</f>
        <v/>
      </c>
      <c r="M146" s="47" t="str">
        <f t="shared" ref="M146" si="2065">IF(A146="","",(1/L146*(E146/100/2)^(8/3)*(1/K146*100)^(1/2)*1.65696)*100)</f>
        <v/>
      </c>
      <c r="N146" s="47" t="str">
        <f t="shared" ref="N146" si="2066">IF(A146="","",1/L146*(E146/100/2)^(2/3)*(1/K146)^(1/2)*0.70541)</f>
        <v/>
      </c>
      <c r="O146" s="48" t="str">
        <f t="shared" ref="O146" si="2067">IF(A146="","",ROUNDDOWN(M146/($U$3/8.64)*10000/$AJ$3,0))</f>
        <v/>
      </c>
      <c r="P146" s="49" t="str">
        <f t="shared" ref="P146" si="2068">IF(A146="","",IF(O146&gt;Q146,"＞","＜"))</f>
        <v/>
      </c>
      <c r="Q146" s="48" t="str">
        <f t="shared" ref="Q146" si="2069">IF(A146="","",I146)</f>
        <v/>
      </c>
      <c r="R146" s="51" t="str">
        <f t="shared" ref="R146" si="2070">IF(A146="","",IF(P146="＞","OK","NG"))</f>
        <v/>
      </c>
      <c r="S146" s="86"/>
      <c r="T146" s="87"/>
      <c r="U146" s="28" t="str">
        <f t="shared" ref="U146" si="2071">IF(S146="","",IF(T146=1,"素焼土管",IF(T146=2,"合成樹脂管",IF(T146=3,"無孔管",""))))</f>
        <v/>
      </c>
      <c r="V146" s="29"/>
      <c r="W146" s="88"/>
      <c r="X146" s="89"/>
      <c r="Y146" s="90"/>
      <c r="Z146" s="41" t="str">
        <f t="shared" ref="Z146" si="2072">IF(S146="","",IF(AND(T147=3,I146=""),Z144+Y146,IF(AND(Z144="",I144=""),I146+Y146,IF(AND(T147=3,I146&gt;0,Z144&gt;0),I146+Z144+Y146,IF(Z144="",I144+I146+X146+Y146,IF(I146="",Z144+X146+Y146,Z144+I146+X146+Y146))))))</f>
        <v/>
      </c>
      <c r="AA146" s="45" t="str">
        <f t="shared" ref="AA146" si="2073">IF(AB146="",""," 1/")</f>
        <v/>
      </c>
      <c r="AB146" s="91"/>
      <c r="AC146" s="30" t="str">
        <f t="shared" ref="AC146" si="2074">IF(S146="","",IF(T146="","",IF(T146=1,0.013,0.012)))</f>
        <v/>
      </c>
      <c r="AD146" s="31" t="str">
        <f t="shared" ref="AD146" si="2075">IF(S146="","",IF(T146="","",(1/AC146*(W146/100/2)^(8/3)*(1/AB146*100)^(1/2)*1.65696)*100))</f>
        <v/>
      </c>
      <c r="AE146" s="31" t="str">
        <f t="shared" ref="AE146" si="2076">IF(S146="","",IF(T146="","",1/AC146*(W146/100/2)^(2/3)*(1/AB146)^(1/2)*0.70541))</f>
        <v/>
      </c>
      <c r="AF146" s="31" t="str">
        <f t="shared" ref="AF146" si="2077">IF(S146="","",IF(T146="","",ROUNDDOWN(AD146/($U$3/8.64),3)))</f>
        <v/>
      </c>
      <c r="AG146" s="32" t="str">
        <f t="shared" ref="AG146" si="2078">IF(S146="","",IF(T146="","",ROUNDDOWN(AF146*10000/$AJ$3,0)))</f>
        <v/>
      </c>
      <c r="AH146" s="33" t="str">
        <f t="shared" ref="AH146" si="2079">IF(S146="","",IF(T146="","",IF(AG146&gt;AI146,"＞","＜")))</f>
        <v/>
      </c>
      <c r="AI146" s="41" t="str">
        <f t="shared" ref="AI146" si="2080">IF(S146="","",Z146)</f>
        <v/>
      </c>
      <c r="AJ146" s="43" t="str">
        <f t="shared" ref="AJ146" si="2081">IF(S146="","",AI146*$AJ$3/10000)</f>
        <v/>
      </c>
      <c r="AK146" s="33" t="str">
        <f t="shared" ref="AK146" si="2082">IF(S146="","",IF(T146="","",IF(AND(T146=1,AE146&gt;1),"NG",IF(AH146="＞","OK","NG"))))</f>
        <v/>
      </c>
    </row>
    <row r="147" spans="1:37" ht="15.75" customHeight="1" x14ac:dyDescent="0.15">
      <c r="A147" s="92"/>
      <c r="B147" s="93"/>
      <c r="C147" s="59"/>
      <c r="D147" s="61"/>
      <c r="E147" s="94"/>
      <c r="F147" s="95"/>
      <c r="G147" s="95"/>
      <c r="H147" s="96"/>
      <c r="I147" s="54"/>
      <c r="J147" s="46"/>
      <c r="K147" s="97"/>
      <c r="L147" s="57"/>
      <c r="M147" s="44"/>
      <c r="N147" s="44"/>
      <c r="O147" s="42"/>
      <c r="P147" s="50"/>
      <c r="Q147" s="42"/>
      <c r="R147" s="52"/>
      <c r="S147" s="98"/>
      <c r="T147" s="99">
        <v>2</v>
      </c>
      <c r="U147" s="34" t="str">
        <f t="shared" ref="U147" si="2083">IF(S146="","",IF(T146=T147,"〃",IF(T147=1,"素焼土管",IF(T147=2,"合成樹脂管",IF(T147=3,"無孔管","")))))</f>
        <v/>
      </c>
      <c r="V147" s="35"/>
      <c r="W147" s="100"/>
      <c r="X147" s="101"/>
      <c r="Y147" s="95"/>
      <c r="Z147" s="42"/>
      <c r="AA147" s="46"/>
      <c r="AB147" s="97"/>
      <c r="AC147" s="36" t="str">
        <f t="shared" ref="AC147" si="2084">IF(S146="","",IF(T147=1,0.013,0.012))</f>
        <v/>
      </c>
      <c r="AD147" s="37" t="str">
        <f t="shared" ref="AD147" si="2085">IF(S146="","",(1/AC147*(W147/100/2)^(8/3)*(1/AB146*100)^(1/2)*1.65696)*100)</f>
        <v/>
      </c>
      <c r="AE147" s="37" t="str">
        <f t="shared" ref="AE147" si="2086">IF(S146="","",1/AC147*(W147/100/2)^(2/3)*(1/AB146)^(1/2)*0.70541)</f>
        <v/>
      </c>
      <c r="AF147" s="37" t="str">
        <f t="shared" ref="AF147" si="2087">IF(S146="","",ROUNDDOWN(AD147/($U$3/8.64),3))</f>
        <v/>
      </c>
      <c r="AG147" s="38" t="str">
        <f t="shared" ref="AG147" si="2088">IF(S146="","",ROUNDDOWN(AF147*10000/$AJ$3,0))</f>
        <v/>
      </c>
      <c r="AH147" s="39" t="str">
        <f t="shared" ref="AH147" si="2089">IF(S146="","",IF(AG147&gt;AI146,"＞",IF(AG147=AI146,"=","＜")))</f>
        <v/>
      </c>
      <c r="AI147" s="42"/>
      <c r="AJ147" s="44"/>
      <c r="AK147" s="39" t="str">
        <f t="shared" ref="AK147" si="2090">IF(S146="","",IF(AND(T147=1,AE147&gt;1),"NG",IF(AH147="＞","OK","NG")))</f>
        <v/>
      </c>
    </row>
    <row r="148" spans="1:37" ht="15.75" customHeight="1" x14ac:dyDescent="0.15">
      <c r="A148" s="80"/>
      <c r="B148" s="81">
        <v>2</v>
      </c>
      <c r="C148" s="58" t="str">
        <f t="shared" ref="C148" si="2091">IF(A148="","",IF(B148=1,"素　焼土　管",IF(B148=2,"合　成樹脂管",IF(B148=3,"無孔管",""))))</f>
        <v/>
      </c>
      <c r="D148" s="60"/>
      <c r="E148" s="82"/>
      <c r="F148" s="83"/>
      <c r="G148" s="83"/>
      <c r="H148" s="84"/>
      <c r="I148" s="53" t="str">
        <f t="shared" ref="I148" si="2092">IF(A148="","",F148-G148+H148)</f>
        <v/>
      </c>
      <c r="J148" s="55" t="str">
        <f t="shared" ref="J148" si="2093">IF(A148="",""," 1/")</f>
        <v/>
      </c>
      <c r="K148" s="85"/>
      <c r="L148" s="56" t="str">
        <f t="shared" ref="L148" si="2094">IF(A148="","",IF(B148=1,0.013,0.012))</f>
        <v/>
      </c>
      <c r="M148" s="47" t="str">
        <f t="shared" ref="M148" si="2095">IF(A148="","",(1/L148*(E148/100/2)^(8/3)*(1/K148*100)^(1/2)*1.65696)*100)</f>
        <v/>
      </c>
      <c r="N148" s="47" t="str">
        <f t="shared" ref="N148" si="2096">IF(A148="","",1/L148*(E148/100/2)^(2/3)*(1/K148)^(1/2)*0.70541)</f>
        <v/>
      </c>
      <c r="O148" s="48" t="str">
        <f t="shared" ref="O148" si="2097">IF(A148="","",ROUNDDOWN(M148/($U$3/8.64)*10000/$AJ$3,0))</f>
        <v/>
      </c>
      <c r="P148" s="49" t="str">
        <f t="shared" ref="P148" si="2098">IF(A148="","",IF(O148&gt;Q148,"＞","＜"))</f>
        <v/>
      </c>
      <c r="Q148" s="48" t="str">
        <f t="shared" ref="Q148" si="2099">IF(A148="","",I148)</f>
        <v/>
      </c>
      <c r="R148" s="51" t="str">
        <f t="shared" ref="R148" si="2100">IF(A148="","",IF(P148="＞","OK","NG"))</f>
        <v/>
      </c>
      <c r="S148" s="86"/>
      <c r="T148" s="87"/>
      <c r="U148" s="28" t="str">
        <f t="shared" ref="U148" si="2101">IF(S148="","",IF(T148=1,"素焼土管",IF(T148=2,"合成樹脂管",IF(T148=3,"無孔管",""))))</f>
        <v/>
      </c>
      <c r="V148" s="29"/>
      <c r="W148" s="88"/>
      <c r="X148" s="89"/>
      <c r="Y148" s="90"/>
      <c r="Z148" s="41" t="str">
        <f t="shared" ref="Z148" si="2102">IF(S148="","",IF(AND(T149=3,I148=""),Z146+Y148,IF(AND(Z146="",I146=""),I148+Y148,IF(AND(T149=3,I148&gt;0,Z146&gt;0),I148+Z146+Y148,IF(Z146="",I146+I148+X148+Y148,IF(I148="",Z146+X148+Y148,Z146+I148+X148+Y148))))))</f>
        <v/>
      </c>
      <c r="AA148" s="45" t="str">
        <f t="shared" ref="AA148" si="2103">IF(AB148="",""," 1/")</f>
        <v/>
      </c>
      <c r="AB148" s="91"/>
      <c r="AC148" s="30" t="str">
        <f t="shared" ref="AC148" si="2104">IF(S148="","",IF(T148="","",IF(T148=1,0.013,0.012)))</f>
        <v/>
      </c>
      <c r="AD148" s="31" t="str">
        <f t="shared" ref="AD148" si="2105">IF(S148="","",IF(T148="","",(1/AC148*(W148/100/2)^(8/3)*(1/AB148*100)^(1/2)*1.65696)*100))</f>
        <v/>
      </c>
      <c r="AE148" s="31" t="str">
        <f t="shared" ref="AE148" si="2106">IF(S148="","",IF(T148="","",1/AC148*(W148/100/2)^(2/3)*(1/AB148)^(1/2)*0.70541))</f>
        <v/>
      </c>
      <c r="AF148" s="31" t="str">
        <f t="shared" ref="AF148" si="2107">IF(S148="","",IF(T148="","",ROUNDDOWN(AD148/($U$3/8.64),3)))</f>
        <v/>
      </c>
      <c r="AG148" s="32" t="str">
        <f t="shared" ref="AG148" si="2108">IF(S148="","",IF(T148="","",ROUNDDOWN(AF148*10000/$AJ$3,0)))</f>
        <v/>
      </c>
      <c r="AH148" s="33" t="str">
        <f t="shared" ref="AH148" si="2109">IF(S148="","",IF(T148="","",IF(AG148&gt;AI148,"＞","＜")))</f>
        <v/>
      </c>
      <c r="AI148" s="41" t="str">
        <f t="shared" ref="AI148" si="2110">IF(S148="","",Z148)</f>
        <v/>
      </c>
      <c r="AJ148" s="43" t="str">
        <f t="shared" ref="AJ148" si="2111">IF(S148="","",AI148*$AJ$3/10000)</f>
        <v/>
      </c>
      <c r="AK148" s="33" t="str">
        <f t="shared" ref="AK148" si="2112">IF(S148="","",IF(T148="","",IF(AND(T148=1,AE148&gt;1),"NG",IF(AH148="＞","OK","NG"))))</f>
        <v/>
      </c>
    </row>
    <row r="149" spans="1:37" ht="15.75" customHeight="1" x14ac:dyDescent="0.15">
      <c r="A149" s="92"/>
      <c r="B149" s="93"/>
      <c r="C149" s="59"/>
      <c r="D149" s="61"/>
      <c r="E149" s="94"/>
      <c r="F149" s="95"/>
      <c r="G149" s="95"/>
      <c r="H149" s="96"/>
      <c r="I149" s="54"/>
      <c r="J149" s="46"/>
      <c r="K149" s="97"/>
      <c r="L149" s="57"/>
      <c r="M149" s="44"/>
      <c r="N149" s="44"/>
      <c r="O149" s="42"/>
      <c r="P149" s="50"/>
      <c r="Q149" s="42"/>
      <c r="R149" s="52"/>
      <c r="S149" s="98"/>
      <c r="T149" s="99">
        <v>2</v>
      </c>
      <c r="U149" s="34" t="str">
        <f t="shared" ref="U149" si="2113">IF(S148="","",IF(T148=T149,"〃",IF(T149=1,"素焼土管",IF(T149=2,"合成樹脂管",IF(T149=3,"無孔管","")))))</f>
        <v/>
      </c>
      <c r="V149" s="35"/>
      <c r="W149" s="100"/>
      <c r="X149" s="101"/>
      <c r="Y149" s="95"/>
      <c r="Z149" s="42"/>
      <c r="AA149" s="46"/>
      <c r="AB149" s="97"/>
      <c r="AC149" s="36" t="str">
        <f t="shared" ref="AC149" si="2114">IF(S148="","",IF(T149=1,0.013,0.012))</f>
        <v/>
      </c>
      <c r="AD149" s="37" t="str">
        <f t="shared" ref="AD149" si="2115">IF(S148="","",(1/AC149*(W149/100/2)^(8/3)*(1/AB148*100)^(1/2)*1.65696)*100)</f>
        <v/>
      </c>
      <c r="AE149" s="37" t="str">
        <f t="shared" ref="AE149" si="2116">IF(S148="","",1/AC149*(W149/100/2)^(2/3)*(1/AB148)^(1/2)*0.70541)</f>
        <v/>
      </c>
      <c r="AF149" s="37" t="str">
        <f t="shared" ref="AF149" si="2117">IF(S148="","",ROUNDDOWN(AD149/($U$3/8.64),3))</f>
        <v/>
      </c>
      <c r="AG149" s="38" t="str">
        <f t="shared" ref="AG149" si="2118">IF(S148="","",ROUNDDOWN(AF149*10000/$AJ$3,0))</f>
        <v/>
      </c>
      <c r="AH149" s="39" t="str">
        <f t="shared" ref="AH149" si="2119">IF(S148="","",IF(AG149&gt;AI148,"＞",IF(AG149=AI148,"=","＜")))</f>
        <v/>
      </c>
      <c r="AI149" s="42"/>
      <c r="AJ149" s="44"/>
      <c r="AK149" s="39" t="str">
        <f t="shared" ref="AK149" si="2120">IF(S148="","",IF(AND(T149=1,AE149&gt;1),"NG",IF(AH149="＞","OK","NG")))</f>
        <v/>
      </c>
    </row>
    <row r="150" spans="1:37" ht="15.75" customHeight="1" x14ac:dyDescent="0.15">
      <c r="A150" s="80"/>
      <c r="B150" s="81">
        <v>2</v>
      </c>
      <c r="C150" s="58" t="str">
        <f t="shared" ref="C150" si="2121">IF(A150="","",IF(B150=1,"素　焼土　管",IF(B150=2,"合　成樹脂管",IF(B150=3,"無孔管",""))))</f>
        <v/>
      </c>
      <c r="D150" s="60"/>
      <c r="E150" s="82"/>
      <c r="F150" s="83"/>
      <c r="G150" s="83"/>
      <c r="H150" s="84"/>
      <c r="I150" s="53" t="str">
        <f t="shared" ref="I150" si="2122">IF(A150="","",F150-G150+H150)</f>
        <v/>
      </c>
      <c r="J150" s="55" t="str">
        <f t="shared" ref="J150" si="2123">IF(A150="",""," 1/")</f>
        <v/>
      </c>
      <c r="K150" s="85"/>
      <c r="L150" s="56" t="str">
        <f t="shared" ref="L150" si="2124">IF(A150="","",IF(B150=1,0.013,0.012))</f>
        <v/>
      </c>
      <c r="M150" s="47" t="str">
        <f t="shared" ref="M150" si="2125">IF(A150="","",(1/L150*(E150/100/2)^(8/3)*(1/K150*100)^(1/2)*1.65696)*100)</f>
        <v/>
      </c>
      <c r="N150" s="47" t="str">
        <f t="shared" ref="N150" si="2126">IF(A150="","",1/L150*(E150/100/2)^(2/3)*(1/K150)^(1/2)*0.70541)</f>
        <v/>
      </c>
      <c r="O150" s="48" t="str">
        <f t="shared" ref="O150" si="2127">IF(A150="","",ROUNDDOWN(M150/($U$3/8.64)*10000/$AJ$3,0))</f>
        <v/>
      </c>
      <c r="P150" s="49" t="str">
        <f t="shared" ref="P150" si="2128">IF(A150="","",IF(O150&gt;Q150,"＞","＜"))</f>
        <v/>
      </c>
      <c r="Q150" s="48" t="str">
        <f t="shared" ref="Q150" si="2129">IF(A150="","",I150)</f>
        <v/>
      </c>
      <c r="R150" s="51" t="str">
        <f t="shared" ref="R150" si="2130">IF(A150="","",IF(P150="＞","OK","NG"))</f>
        <v/>
      </c>
      <c r="S150" s="86"/>
      <c r="T150" s="87"/>
      <c r="U150" s="28" t="str">
        <f t="shared" ref="U150" si="2131">IF(S150="","",IF(T150=1,"素焼土管",IF(T150=2,"合成樹脂管",IF(T150=3,"無孔管",""))))</f>
        <v/>
      </c>
      <c r="V150" s="29"/>
      <c r="W150" s="88"/>
      <c r="X150" s="89"/>
      <c r="Y150" s="90"/>
      <c r="Z150" s="41" t="str">
        <f t="shared" ref="Z150" si="2132">IF(S150="","",IF(AND(T151=3,I150=""),Z148+Y150,IF(AND(Z148="",I148=""),I150+Y150,IF(AND(T151=3,I150&gt;0,Z148&gt;0),I150+Z148+Y150,IF(Z148="",I148+I150+X150+Y150,IF(I150="",Z148+X150+Y150,Z148+I150+X150+Y150))))))</f>
        <v/>
      </c>
      <c r="AA150" s="45" t="str">
        <f t="shared" ref="AA150" si="2133">IF(AB150="",""," 1/")</f>
        <v/>
      </c>
      <c r="AB150" s="91"/>
      <c r="AC150" s="30" t="str">
        <f t="shared" ref="AC150" si="2134">IF(S150="","",IF(T150="","",IF(T150=1,0.013,0.012)))</f>
        <v/>
      </c>
      <c r="AD150" s="31" t="str">
        <f t="shared" ref="AD150" si="2135">IF(S150="","",IF(T150="","",(1/AC150*(W150/100/2)^(8/3)*(1/AB150*100)^(1/2)*1.65696)*100))</f>
        <v/>
      </c>
      <c r="AE150" s="31" t="str">
        <f t="shared" ref="AE150" si="2136">IF(S150="","",IF(T150="","",1/AC150*(W150/100/2)^(2/3)*(1/AB150)^(1/2)*0.70541))</f>
        <v/>
      </c>
      <c r="AF150" s="31" t="str">
        <f t="shared" ref="AF150" si="2137">IF(S150="","",IF(T150="","",ROUNDDOWN(AD150/($U$3/8.64),3)))</f>
        <v/>
      </c>
      <c r="AG150" s="32" t="str">
        <f t="shared" ref="AG150" si="2138">IF(S150="","",IF(T150="","",ROUNDDOWN(AF150*10000/$AJ$3,0)))</f>
        <v/>
      </c>
      <c r="AH150" s="33" t="str">
        <f t="shared" ref="AH150" si="2139">IF(S150="","",IF(T150="","",IF(AG150&gt;AI150,"＞","＜")))</f>
        <v/>
      </c>
      <c r="AI150" s="41" t="str">
        <f t="shared" ref="AI150" si="2140">IF(S150="","",Z150)</f>
        <v/>
      </c>
      <c r="AJ150" s="43" t="str">
        <f t="shared" ref="AJ150" si="2141">IF(S150="","",AI150*$AJ$3/10000)</f>
        <v/>
      </c>
      <c r="AK150" s="33" t="str">
        <f t="shared" ref="AK150" si="2142">IF(S150="","",IF(T150="","",IF(AND(T150=1,AE150&gt;1),"NG",IF(AH150="＞","OK","NG"))))</f>
        <v/>
      </c>
    </row>
    <row r="151" spans="1:37" ht="15.75" customHeight="1" x14ac:dyDescent="0.15">
      <c r="A151" s="92"/>
      <c r="B151" s="93"/>
      <c r="C151" s="59"/>
      <c r="D151" s="61"/>
      <c r="E151" s="94"/>
      <c r="F151" s="95"/>
      <c r="G151" s="95"/>
      <c r="H151" s="96"/>
      <c r="I151" s="54"/>
      <c r="J151" s="46"/>
      <c r="K151" s="97"/>
      <c r="L151" s="57"/>
      <c r="M151" s="44"/>
      <c r="N151" s="44"/>
      <c r="O151" s="42"/>
      <c r="P151" s="50"/>
      <c r="Q151" s="42"/>
      <c r="R151" s="52"/>
      <c r="S151" s="98"/>
      <c r="T151" s="99">
        <v>2</v>
      </c>
      <c r="U151" s="34" t="str">
        <f t="shared" ref="U151" si="2143">IF(S150="","",IF(T150=T151,"〃",IF(T151=1,"素焼土管",IF(T151=2,"合成樹脂管",IF(T151=3,"無孔管","")))))</f>
        <v/>
      </c>
      <c r="V151" s="35"/>
      <c r="W151" s="100"/>
      <c r="X151" s="101"/>
      <c r="Y151" s="95"/>
      <c r="Z151" s="42"/>
      <c r="AA151" s="46"/>
      <c r="AB151" s="97"/>
      <c r="AC151" s="36" t="str">
        <f t="shared" ref="AC151" si="2144">IF(S150="","",IF(T151=1,0.013,0.012))</f>
        <v/>
      </c>
      <c r="AD151" s="37" t="str">
        <f t="shared" ref="AD151" si="2145">IF(S150="","",(1/AC151*(W151/100/2)^(8/3)*(1/AB150*100)^(1/2)*1.65696)*100)</f>
        <v/>
      </c>
      <c r="AE151" s="37" t="str">
        <f t="shared" ref="AE151" si="2146">IF(S150="","",1/AC151*(W151/100/2)^(2/3)*(1/AB150)^(1/2)*0.70541)</f>
        <v/>
      </c>
      <c r="AF151" s="37" t="str">
        <f t="shared" ref="AF151" si="2147">IF(S150="","",ROUNDDOWN(AD151/($U$3/8.64),3))</f>
        <v/>
      </c>
      <c r="AG151" s="38" t="str">
        <f t="shared" ref="AG151" si="2148">IF(S150="","",ROUNDDOWN(AF151*10000/$AJ$3,0))</f>
        <v/>
      </c>
      <c r="AH151" s="39" t="str">
        <f t="shared" ref="AH151" si="2149">IF(S150="","",IF(AG151&gt;AI150,"＞",IF(AG151=AI150,"=","＜")))</f>
        <v/>
      </c>
      <c r="AI151" s="42"/>
      <c r="AJ151" s="44"/>
      <c r="AK151" s="39" t="str">
        <f t="shared" ref="AK151" si="2150">IF(S150="","",IF(AND(T151=1,AE151&gt;1),"NG",IF(AH151="＞","OK","NG")))</f>
        <v/>
      </c>
    </row>
    <row r="152" spans="1:37" ht="15.75" customHeight="1" x14ac:dyDescent="0.15">
      <c r="A152" s="80"/>
      <c r="B152" s="81">
        <v>2</v>
      </c>
      <c r="C152" s="58" t="str">
        <f t="shared" ref="C152" si="2151">IF(A152="","",IF(B152=1,"素　焼土　管",IF(B152=2,"合　成樹脂管",IF(B152=3,"無孔管",""))))</f>
        <v/>
      </c>
      <c r="D152" s="60"/>
      <c r="E152" s="82"/>
      <c r="F152" s="83"/>
      <c r="G152" s="83"/>
      <c r="H152" s="84"/>
      <c r="I152" s="53" t="str">
        <f t="shared" ref="I152" si="2152">IF(A152="","",F152-G152+H152)</f>
        <v/>
      </c>
      <c r="J152" s="55" t="str">
        <f t="shared" ref="J152" si="2153">IF(A152="",""," 1/")</f>
        <v/>
      </c>
      <c r="K152" s="85"/>
      <c r="L152" s="56" t="str">
        <f t="shared" ref="L152" si="2154">IF(A152="","",IF(B152=1,0.013,0.012))</f>
        <v/>
      </c>
      <c r="M152" s="47" t="str">
        <f t="shared" ref="M152" si="2155">IF(A152="","",(1/L152*(E152/100/2)^(8/3)*(1/K152*100)^(1/2)*1.65696)*100)</f>
        <v/>
      </c>
      <c r="N152" s="47" t="str">
        <f t="shared" ref="N152" si="2156">IF(A152="","",1/L152*(E152/100/2)^(2/3)*(1/K152)^(1/2)*0.70541)</f>
        <v/>
      </c>
      <c r="O152" s="48" t="str">
        <f t="shared" ref="O152" si="2157">IF(A152="","",ROUNDDOWN(M152/($U$3/8.64)*10000/$AJ$3,0))</f>
        <v/>
      </c>
      <c r="P152" s="49" t="str">
        <f t="shared" ref="P152" si="2158">IF(A152="","",IF(O152&gt;Q152,"＞","＜"))</f>
        <v/>
      </c>
      <c r="Q152" s="48" t="str">
        <f t="shared" ref="Q152" si="2159">IF(A152="","",I152)</f>
        <v/>
      </c>
      <c r="R152" s="51" t="str">
        <f t="shared" ref="R152" si="2160">IF(A152="","",IF(P152="＞","OK","NG"))</f>
        <v/>
      </c>
      <c r="S152" s="86"/>
      <c r="T152" s="87"/>
      <c r="U152" s="28" t="str">
        <f t="shared" ref="U152" si="2161">IF(S152="","",IF(T152=1,"素焼土管",IF(T152=2,"合成樹脂管",IF(T152=3,"無孔管",""))))</f>
        <v/>
      </c>
      <c r="V152" s="29"/>
      <c r="W152" s="88"/>
      <c r="X152" s="89"/>
      <c r="Y152" s="90"/>
      <c r="Z152" s="41" t="str">
        <f t="shared" ref="Z152" si="2162">IF(S152="","",IF(AND(T153=3,I152=""),Z150+Y152,IF(AND(Z150="",I150=""),I152+Y152,IF(AND(T153=3,I152&gt;0,Z150&gt;0),I152+Z150+Y152,IF(Z150="",I150+I152+X152+Y152,IF(I152="",Z150+X152+Y152,Z150+I152+X152+Y152))))))</f>
        <v/>
      </c>
      <c r="AA152" s="45" t="str">
        <f t="shared" ref="AA152" si="2163">IF(AB152="",""," 1/")</f>
        <v/>
      </c>
      <c r="AB152" s="91"/>
      <c r="AC152" s="30" t="str">
        <f t="shared" ref="AC152" si="2164">IF(S152="","",IF(T152="","",IF(T152=1,0.013,0.012)))</f>
        <v/>
      </c>
      <c r="AD152" s="31" t="str">
        <f t="shared" ref="AD152" si="2165">IF(S152="","",IF(T152="","",(1/AC152*(W152/100/2)^(8/3)*(1/AB152*100)^(1/2)*1.65696)*100))</f>
        <v/>
      </c>
      <c r="AE152" s="31" t="str">
        <f t="shared" ref="AE152" si="2166">IF(S152="","",IF(T152="","",1/AC152*(W152/100/2)^(2/3)*(1/AB152)^(1/2)*0.70541))</f>
        <v/>
      </c>
      <c r="AF152" s="31" t="str">
        <f t="shared" ref="AF152" si="2167">IF(S152="","",IF(T152="","",ROUNDDOWN(AD152/($U$3/8.64),3)))</f>
        <v/>
      </c>
      <c r="AG152" s="32" t="str">
        <f t="shared" ref="AG152" si="2168">IF(S152="","",IF(T152="","",ROUNDDOWN(AF152*10000/$AJ$3,0)))</f>
        <v/>
      </c>
      <c r="AH152" s="33" t="str">
        <f t="shared" ref="AH152" si="2169">IF(S152="","",IF(T152="","",IF(AG152&gt;AI152,"＞","＜")))</f>
        <v/>
      </c>
      <c r="AI152" s="41" t="str">
        <f t="shared" ref="AI152" si="2170">IF(S152="","",Z152)</f>
        <v/>
      </c>
      <c r="AJ152" s="43" t="str">
        <f t="shared" ref="AJ152" si="2171">IF(S152="","",AI152*$AJ$3/10000)</f>
        <v/>
      </c>
      <c r="AK152" s="33" t="str">
        <f t="shared" ref="AK152" si="2172">IF(S152="","",IF(T152="","",IF(AND(T152=1,AE152&gt;1),"NG",IF(AH152="＞","OK","NG"))))</f>
        <v/>
      </c>
    </row>
    <row r="153" spans="1:37" ht="15.75" customHeight="1" x14ac:dyDescent="0.15">
      <c r="A153" s="92"/>
      <c r="B153" s="93"/>
      <c r="C153" s="59"/>
      <c r="D153" s="61"/>
      <c r="E153" s="94"/>
      <c r="F153" s="95"/>
      <c r="G153" s="95"/>
      <c r="H153" s="96"/>
      <c r="I153" s="54"/>
      <c r="J153" s="46"/>
      <c r="K153" s="97"/>
      <c r="L153" s="57"/>
      <c r="M153" s="44"/>
      <c r="N153" s="44"/>
      <c r="O153" s="42"/>
      <c r="P153" s="50"/>
      <c r="Q153" s="42"/>
      <c r="R153" s="52"/>
      <c r="S153" s="98"/>
      <c r="T153" s="99">
        <v>2</v>
      </c>
      <c r="U153" s="34" t="str">
        <f t="shared" ref="U153" si="2173">IF(S152="","",IF(T152=T153,"〃",IF(T153=1,"素焼土管",IF(T153=2,"合成樹脂管",IF(T153=3,"無孔管","")))))</f>
        <v/>
      </c>
      <c r="V153" s="35"/>
      <c r="W153" s="100"/>
      <c r="X153" s="101"/>
      <c r="Y153" s="95"/>
      <c r="Z153" s="42"/>
      <c r="AA153" s="46"/>
      <c r="AB153" s="97"/>
      <c r="AC153" s="36" t="str">
        <f t="shared" ref="AC153" si="2174">IF(S152="","",IF(T153=1,0.013,0.012))</f>
        <v/>
      </c>
      <c r="AD153" s="37" t="str">
        <f t="shared" ref="AD153" si="2175">IF(S152="","",(1/AC153*(W153/100/2)^(8/3)*(1/AB152*100)^(1/2)*1.65696)*100)</f>
        <v/>
      </c>
      <c r="AE153" s="37" t="str">
        <f t="shared" ref="AE153" si="2176">IF(S152="","",1/AC153*(W153/100/2)^(2/3)*(1/AB152)^(1/2)*0.70541)</f>
        <v/>
      </c>
      <c r="AF153" s="37" t="str">
        <f t="shared" ref="AF153" si="2177">IF(S152="","",ROUNDDOWN(AD153/($U$3/8.64),3))</f>
        <v/>
      </c>
      <c r="AG153" s="38" t="str">
        <f t="shared" ref="AG153" si="2178">IF(S152="","",ROUNDDOWN(AF153*10000/$AJ$3,0))</f>
        <v/>
      </c>
      <c r="AH153" s="39" t="str">
        <f t="shared" ref="AH153" si="2179">IF(S152="","",IF(AG153&gt;AI152,"＞",IF(AG153=AI152,"=","＜")))</f>
        <v/>
      </c>
      <c r="AI153" s="42"/>
      <c r="AJ153" s="44"/>
      <c r="AK153" s="39" t="str">
        <f t="shared" ref="AK153" si="2180">IF(S152="","",IF(AND(T153=1,AE153&gt;1),"NG",IF(AH153="＞","OK","NG")))</f>
        <v/>
      </c>
    </row>
    <row r="154" spans="1:37" ht="15.75" customHeight="1" x14ac:dyDescent="0.15">
      <c r="A154" s="80"/>
      <c r="B154" s="81">
        <v>2</v>
      </c>
      <c r="C154" s="58" t="str">
        <f t="shared" ref="C154" si="2181">IF(A154="","",IF(B154=1,"素　焼土　管",IF(B154=2,"合　成樹脂管",IF(B154=3,"無孔管",""))))</f>
        <v/>
      </c>
      <c r="D154" s="60"/>
      <c r="E154" s="82"/>
      <c r="F154" s="83"/>
      <c r="G154" s="83"/>
      <c r="H154" s="84"/>
      <c r="I154" s="53" t="str">
        <f t="shared" ref="I154" si="2182">IF(A154="","",F154-G154+H154)</f>
        <v/>
      </c>
      <c r="J154" s="55" t="str">
        <f t="shared" ref="J154" si="2183">IF(A154="",""," 1/")</f>
        <v/>
      </c>
      <c r="K154" s="85"/>
      <c r="L154" s="56" t="str">
        <f t="shared" ref="L154" si="2184">IF(A154="","",IF(B154=1,0.013,0.012))</f>
        <v/>
      </c>
      <c r="M154" s="47" t="str">
        <f t="shared" ref="M154" si="2185">IF(A154="","",(1/L154*(E154/100/2)^(8/3)*(1/K154*100)^(1/2)*1.65696)*100)</f>
        <v/>
      </c>
      <c r="N154" s="47" t="str">
        <f t="shared" ref="N154" si="2186">IF(A154="","",1/L154*(E154/100/2)^(2/3)*(1/K154)^(1/2)*0.70541)</f>
        <v/>
      </c>
      <c r="O154" s="48" t="str">
        <f t="shared" ref="O154" si="2187">IF(A154="","",ROUNDDOWN(M154/($U$3/8.64)*10000/$AJ$3,0))</f>
        <v/>
      </c>
      <c r="P154" s="49" t="str">
        <f t="shared" ref="P154" si="2188">IF(A154="","",IF(O154&gt;Q154,"＞","＜"))</f>
        <v/>
      </c>
      <c r="Q154" s="48" t="str">
        <f t="shared" ref="Q154" si="2189">IF(A154="","",I154)</f>
        <v/>
      </c>
      <c r="R154" s="51" t="str">
        <f t="shared" ref="R154" si="2190">IF(A154="","",IF(P154="＞","OK","NG"))</f>
        <v/>
      </c>
      <c r="S154" s="86"/>
      <c r="T154" s="87"/>
      <c r="U154" s="28" t="str">
        <f t="shared" ref="U154" si="2191">IF(S154="","",IF(T154=1,"素焼土管",IF(T154=2,"合成樹脂管",IF(T154=3,"無孔管",""))))</f>
        <v/>
      </c>
      <c r="V154" s="29"/>
      <c r="W154" s="88"/>
      <c r="X154" s="89"/>
      <c r="Y154" s="90"/>
      <c r="Z154" s="41" t="str">
        <f t="shared" ref="Z154" si="2192">IF(S154="","",IF(AND(T155=3,I154=""),Z152+Y154,IF(AND(Z152="",I152=""),I154+Y154,IF(AND(T155=3,I154&gt;0,Z152&gt;0),I154+Z152+Y154,IF(Z152="",I152+I154+X154+Y154,IF(I154="",Z152+X154+Y154,Z152+I154+X154+Y154))))))</f>
        <v/>
      </c>
      <c r="AA154" s="45" t="str">
        <f t="shared" ref="AA154" si="2193">IF(AB154="",""," 1/")</f>
        <v/>
      </c>
      <c r="AB154" s="91"/>
      <c r="AC154" s="30" t="str">
        <f t="shared" ref="AC154" si="2194">IF(S154="","",IF(T154="","",IF(T154=1,0.013,0.012)))</f>
        <v/>
      </c>
      <c r="AD154" s="31" t="str">
        <f t="shared" ref="AD154" si="2195">IF(S154="","",IF(T154="","",(1/AC154*(W154/100/2)^(8/3)*(1/AB154*100)^(1/2)*1.65696)*100))</f>
        <v/>
      </c>
      <c r="AE154" s="31" t="str">
        <f t="shared" ref="AE154" si="2196">IF(S154="","",IF(T154="","",1/AC154*(W154/100/2)^(2/3)*(1/AB154)^(1/2)*0.70541))</f>
        <v/>
      </c>
      <c r="AF154" s="31" t="str">
        <f t="shared" ref="AF154" si="2197">IF(S154="","",IF(T154="","",ROUNDDOWN(AD154/($U$3/8.64),3)))</f>
        <v/>
      </c>
      <c r="AG154" s="32" t="str">
        <f t="shared" ref="AG154" si="2198">IF(S154="","",IF(T154="","",ROUNDDOWN(AF154*10000/$AJ$3,0)))</f>
        <v/>
      </c>
      <c r="AH154" s="33" t="str">
        <f t="shared" ref="AH154" si="2199">IF(S154="","",IF(T154="","",IF(AG154&gt;AI154,"＞","＜")))</f>
        <v/>
      </c>
      <c r="AI154" s="41" t="str">
        <f t="shared" ref="AI154" si="2200">IF(S154="","",Z154)</f>
        <v/>
      </c>
      <c r="AJ154" s="43" t="str">
        <f t="shared" ref="AJ154" si="2201">IF(S154="","",AI154*$AJ$3/10000)</f>
        <v/>
      </c>
      <c r="AK154" s="33" t="str">
        <f t="shared" ref="AK154" si="2202">IF(S154="","",IF(T154="","",IF(AND(T154=1,AE154&gt;1),"NG",IF(AH154="＞","OK","NG"))))</f>
        <v/>
      </c>
    </row>
    <row r="155" spans="1:37" ht="15.75" customHeight="1" x14ac:dyDescent="0.15">
      <c r="A155" s="92"/>
      <c r="B155" s="93"/>
      <c r="C155" s="59"/>
      <c r="D155" s="61"/>
      <c r="E155" s="94"/>
      <c r="F155" s="95"/>
      <c r="G155" s="95"/>
      <c r="H155" s="96"/>
      <c r="I155" s="54"/>
      <c r="J155" s="46"/>
      <c r="K155" s="97"/>
      <c r="L155" s="57"/>
      <c r="M155" s="44"/>
      <c r="N155" s="44"/>
      <c r="O155" s="42"/>
      <c r="P155" s="50"/>
      <c r="Q155" s="42"/>
      <c r="R155" s="52"/>
      <c r="S155" s="98"/>
      <c r="T155" s="99">
        <v>2</v>
      </c>
      <c r="U155" s="34" t="str">
        <f t="shared" ref="U155" si="2203">IF(S154="","",IF(T154=T155,"〃",IF(T155=1,"素焼土管",IF(T155=2,"合成樹脂管",IF(T155=3,"無孔管","")))))</f>
        <v/>
      </c>
      <c r="V155" s="35"/>
      <c r="W155" s="100"/>
      <c r="X155" s="101"/>
      <c r="Y155" s="95"/>
      <c r="Z155" s="42"/>
      <c r="AA155" s="46"/>
      <c r="AB155" s="97"/>
      <c r="AC155" s="36" t="str">
        <f t="shared" ref="AC155" si="2204">IF(S154="","",IF(T155=1,0.013,0.012))</f>
        <v/>
      </c>
      <c r="AD155" s="37" t="str">
        <f t="shared" ref="AD155" si="2205">IF(S154="","",(1/AC155*(W155/100/2)^(8/3)*(1/AB154*100)^(1/2)*1.65696)*100)</f>
        <v/>
      </c>
      <c r="AE155" s="37" t="str">
        <f t="shared" ref="AE155" si="2206">IF(S154="","",1/AC155*(W155/100/2)^(2/3)*(1/AB154)^(1/2)*0.70541)</f>
        <v/>
      </c>
      <c r="AF155" s="37" t="str">
        <f t="shared" ref="AF155" si="2207">IF(S154="","",ROUNDDOWN(AD155/($U$3/8.64),3))</f>
        <v/>
      </c>
      <c r="AG155" s="38" t="str">
        <f t="shared" ref="AG155" si="2208">IF(S154="","",ROUNDDOWN(AF155*10000/$AJ$3,0))</f>
        <v/>
      </c>
      <c r="AH155" s="39" t="str">
        <f t="shared" ref="AH155" si="2209">IF(S154="","",IF(AG155&gt;AI154,"＞",IF(AG155=AI154,"=","＜")))</f>
        <v/>
      </c>
      <c r="AI155" s="42"/>
      <c r="AJ155" s="44"/>
      <c r="AK155" s="39" t="str">
        <f t="shared" ref="AK155" si="2210">IF(S154="","",IF(AND(T155=1,AE155&gt;1),"NG",IF(AH155="＞","OK","NG")))</f>
        <v/>
      </c>
    </row>
    <row r="156" spans="1:37" ht="15.75" customHeight="1" x14ac:dyDescent="0.15">
      <c r="A156" s="80"/>
      <c r="B156" s="81">
        <v>2</v>
      </c>
      <c r="C156" s="58" t="str">
        <f t="shared" ref="C156" si="2211">IF(A156="","",IF(B156=1,"素　焼土　管",IF(B156=2,"合　成樹脂管",IF(B156=3,"無孔管",""))))</f>
        <v/>
      </c>
      <c r="D156" s="60"/>
      <c r="E156" s="82"/>
      <c r="F156" s="83"/>
      <c r="G156" s="83"/>
      <c r="H156" s="84"/>
      <c r="I156" s="53" t="str">
        <f t="shared" ref="I156" si="2212">IF(A156="","",F156-G156+H156)</f>
        <v/>
      </c>
      <c r="J156" s="55" t="str">
        <f t="shared" ref="J156" si="2213">IF(A156="",""," 1/")</f>
        <v/>
      </c>
      <c r="K156" s="85"/>
      <c r="L156" s="56" t="str">
        <f t="shared" ref="L156" si="2214">IF(A156="","",IF(B156=1,0.013,0.012))</f>
        <v/>
      </c>
      <c r="M156" s="47" t="str">
        <f t="shared" ref="M156" si="2215">IF(A156="","",(1/L156*(E156/100/2)^(8/3)*(1/K156*100)^(1/2)*1.65696)*100)</f>
        <v/>
      </c>
      <c r="N156" s="47" t="str">
        <f t="shared" ref="N156" si="2216">IF(A156="","",1/L156*(E156/100/2)^(2/3)*(1/K156)^(1/2)*0.70541)</f>
        <v/>
      </c>
      <c r="O156" s="48" t="str">
        <f t="shared" ref="O156" si="2217">IF(A156="","",ROUNDDOWN(M156/($U$3/8.64)*10000/$AJ$3,0))</f>
        <v/>
      </c>
      <c r="P156" s="49" t="str">
        <f t="shared" ref="P156" si="2218">IF(A156="","",IF(O156&gt;Q156,"＞","＜"))</f>
        <v/>
      </c>
      <c r="Q156" s="48" t="str">
        <f t="shared" ref="Q156" si="2219">IF(A156="","",I156)</f>
        <v/>
      </c>
      <c r="R156" s="51" t="str">
        <f t="shared" ref="R156" si="2220">IF(A156="","",IF(P156="＞","OK","NG"))</f>
        <v/>
      </c>
      <c r="S156" s="86"/>
      <c r="T156" s="87"/>
      <c r="U156" s="28" t="str">
        <f t="shared" ref="U156" si="2221">IF(S156="","",IF(T156=1,"素焼土管",IF(T156=2,"合成樹脂管",IF(T156=3,"無孔管",""))))</f>
        <v/>
      </c>
      <c r="V156" s="29"/>
      <c r="W156" s="88"/>
      <c r="X156" s="89"/>
      <c r="Y156" s="90"/>
      <c r="Z156" s="41" t="str">
        <f t="shared" ref="Z156" si="2222">IF(S156="","",IF(AND(T157=3,I156=""),Z154+Y156,IF(AND(Z154="",I154=""),I156+Y156,IF(AND(T157=3,I156&gt;0,Z154&gt;0),I156+Z154+Y156,IF(Z154="",I154+I156+X156+Y156,IF(I156="",Z154+X156+Y156,Z154+I156+X156+Y156))))))</f>
        <v/>
      </c>
      <c r="AA156" s="45" t="str">
        <f t="shared" ref="AA156" si="2223">IF(AB156="",""," 1/")</f>
        <v/>
      </c>
      <c r="AB156" s="91"/>
      <c r="AC156" s="30" t="str">
        <f t="shared" ref="AC156" si="2224">IF(S156="","",IF(T156="","",IF(T156=1,0.013,0.012)))</f>
        <v/>
      </c>
      <c r="AD156" s="31" t="str">
        <f t="shared" ref="AD156" si="2225">IF(S156="","",IF(T156="","",(1/AC156*(W156/100/2)^(8/3)*(1/AB156*100)^(1/2)*1.65696)*100))</f>
        <v/>
      </c>
      <c r="AE156" s="31" t="str">
        <f t="shared" ref="AE156" si="2226">IF(S156="","",IF(T156="","",1/AC156*(W156/100/2)^(2/3)*(1/AB156)^(1/2)*0.70541))</f>
        <v/>
      </c>
      <c r="AF156" s="31" t="str">
        <f t="shared" ref="AF156" si="2227">IF(S156="","",IF(T156="","",ROUNDDOWN(AD156/($U$3/8.64),3)))</f>
        <v/>
      </c>
      <c r="AG156" s="32" t="str">
        <f t="shared" ref="AG156" si="2228">IF(S156="","",IF(T156="","",ROUNDDOWN(AF156*10000/$AJ$3,0)))</f>
        <v/>
      </c>
      <c r="AH156" s="33" t="str">
        <f t="shared" ref="AH156" si="2229">IF(S156="","",IF(T156="","",IF(AG156&gt;AI156,"＞","＜")))</f>
        <v/>
      </c>
      <c r="AI156" s="41" t="str">
        <f t="shared" ref="AI156" si="2230">IF(S156="","",Z156)</f>
        <v/>
      </c>
      <c r="AJ156" s="43" t="str">
        <f t="shared" ref="AJ156" si="2231">IF(S156="","",AI156*$AJ$3/10000)</f>
        <v/>
      </c>
      <c r="AK156" s="33" t="str">
        <f t="shared" ref="AK156" si="2232">IF(S156="","",IF(T156="","",IF(AND(T156=1,AE156&gt;1),"NG",IF(AH156="＞","OK","NG"))))</f>
        <v/>
      </c>
    </row>
    <row r="157" spans="1:37" ht="15.75" customHeight="1" x14ac:dyDescent="0.15">
      <c r="A157" s="92"/>
      <c r="B157" s="93"/>
      <c r="C157" s="59"/>
      <c r="D157" s="61"/>
      <c r="E157" s="94"/>
      <c r="F157" s="95"/>
      <c r="G157" s="95"/>
      <c r="H157" s="96"/>
      <c r="I157" s="54"/>
      <c r="J157" s="46"/>
      <c r="K157" s="97"/>
      <c r="L157" s="57"/>
      <c r="M157" s="44"/>
      <c r="N157" s="44"/>
      <c r="O157" s="42"/>
      <c r="P157" s="50"/>
      <c r="Q157" s="42"/>
      <c r="R157" s="52"/>
      <c r="S157" s="98"/>
      <c r="T157" s="99">
        <v>2</v>
      </c>
      <c r="U157" s="34" t="str">
        <f t="shared" ref="U157" si="2233">IF(S156="","",IF(T156=T157,"〃",IF(T157=1,"素焼土管",IF(T157=2,"合成樹脂管",IF(T157=3,"無孔管","")))))</f>
        <v/>
      </c>
      <c r="V157" s="35"/>
      <c r="W157" s="100"/>
      <c r="X157" s="101"/>
      <c r="Y157" s="95"/>
      <c r="Z157" s="42"/>
      <c r="AA157" s="46"/>
      <c r="AB157" s="97"/>
      <c r="AC157" s="36" t="str">
        <f t="shared" ref="AC157" si="2234">IF(S156="","",IF(T157=1,0.013,0.012))</f>
        <v/>
      </c>
      <c r="AD157" s="37" t="str">
        <f t="shared" ref="AD157" si="2235">IF(S156="","",(1/AC157*(W157/100/2)^(8/3)*(1/AB156*100)^(1/2)*1.65696)*100)</f>
        <v/>
      </c>
      <c r="AE157" s="37" t="str">
        <f t="shared" ref="AE157" si="2236">IF(S156="","",1/AC157*(W157/100/2)^(2/3)*(1/AB156)^(1/2)*0.70541)</f>
        <v/>
      </c>
      <c r="AF157" s="37" t="str">
        <f t="shared" ref="AF157" si="2237">IF(S156="","",ROUNDDOWN(AD157/($U$3/8.64),3))</f>
        <v/>
      </c>
      <c r="AG157" s="38" t="str">
        <f t="shared" ref="AG157" si="2238">IF(S156="","",ROUNDDOWN(AF157*10000/$AJ$3,0))</f>
        <v/>
      </c>
      <c r="AH157" s="39" t="str">
        <f t="shared" ref="AH157" si="2239">IF(S156="","",IF(AG157&gt;AI156,"＞",IF(AG157=AI156,"=","＜")))</f>
        <v/>
      </c>
      <c r="AI157" s="42"/>
      <c r="AJ157" s="44"/>
      <c r="AK157" s="39" t="str">
        <f t="shared" ref="AK157" si="2240">IF(S156="","",IF(AND(T157=1,AE157&gt;1),"NG",IF(AH157="＞","OK","NG")))</f>
        <v/>
      </c>
    </row>
    <row r="158" spans="1:37" ht="15.75" customHeight="1" x14ac:dyDescent="0.15">
      <c r="A158" s="80"/>
      <c r="B158" s="81">
        <v>2</v>
      </c>
      <c r="C158" s="58" t="str">
        <f t="shared" ref="C158" si="2241">IF(A158="","",IF(B158=1,"素　焼土　管",IF(B158=2,"合　成樹脂管",IF(B158=3,"無孔管",""))))</f>
        <v/>
      </c>
      <c r="D158" s="60"/>
      <c r="E158" s="82"/>
      <c r="F158" s="83"/>
      <c r="G158" s="83"/>
      <c r="H158" s="84"/>
      <c r="I158" s="53" t="str">
        <f t="shared" ref="I158" si="2242">IF(A158="","",F158-G158+H158)</f>
        <v/>
      </c>
      <c r="J158" s="55" t="str">
        <f t="shared" ref="J158" si="2243">IF(A158="",""," 1/")</f>
        <v/>
      </c>
      <c r="K158" s="85"/>
      <c r="L158" s="56" t="str">
        <f t="shared" ref="L158" si="2244">IF(A158="","",IF(B158=1,0.013,0.012))</f>
        <v/>
      </c>
      <c r="M158" s="47" t="str">
        <f t="shared" ref="M158" si="2245">IF(A158="","",(1/L158*(E158/100/2)^(8/3)*(1/K158*100)^(1/2)*1.65696)*100)</f>
        <v/>
      </c>
      <c r="N158" s="47" t="str">
        <f t="shared" ref="N158" si="2246">IF(A158="","",1/L158*(E158/100/2)^(2/3)*(1/K158)^(1/2)*0.70541)</f>
        <v/>
      </c>
      <c r="O158" s="48" t="str">
        <f t="shared" ref="O158" si="2247">IF(A158="","",ROUNDDOWN(M158/($U$3/8.64)*10000/$AJ$3,0))</f>
        <v/>
      </c>
      <c r="P158" s="49" t="str">
        <f t="shared" ref="P158" si="2248">IF(A158="","",IF(O158&gt;Q158,"＞","＜"))</f>
        <v/>
      </c>
      <c r="Q158" s="48" t="str">
        <f t="shared" ref="Q158" si="2249">IF(A158="","",I158)</f>
        <v/>
      </c>
      <c r="R158" s="51" t="str">
        <f t="shared" ref="R158" si="2250">IF(A158="","",IF(P158="＞","OK","NG"))</f>
        <v/>
      </c>
      <c r="S158" s="86"/>
      <c r="T158" s="87"/>
      <c r="U158" s="28" t="str">
        <f t="shared" ref="U158" si="2251">IF(S158="","",IF(T158=1,"素焼土管",IF(T158=2,"合成樹脂管",IF(T158=3,"無孔管",""))))</f>
        <v/>
      </c>
      <c r="V158" s="29"/>
      <c r="W158" s="88"/>
      <c r="X158" s="89"/>
      <c r="Y158" s="90"/>
      <c r="Z158" s="41" t="str">
        <f t="shared" ref="Z158" si="2252">IF(S158="","",IF(AND(T159=3,I158=""),Z156+Y158,IF(AND(Z156="",I156=""),I158+Y158,IF(AND(T159=3,I158&gt;0,Z156&gt;0),I158+Z156+Y158,IF(Z156="",I156+I158+X158+Y158,IF(I158="",Z156+X158+Y158,Z156+I158+X158+Y158))))))</f>
        <v/>
      </c>
      <c r="AA158" s="45" t="str">
        <f t="shared" ref="AA158" si="2253">IF(AB158="",""," 1/")</f>
        <v/>
      </c>
      <c r="AB158" s="91"/>
      <c r="AC158" s="30" t="str">
        <f t="shared" ref="AC158" si="2254">IF(S158="","",IF(T158="","",IF(T158=1,0.013,0.012)))</f>
        <v/>
      </c>
      <c r="AD158" s="31" t="str">
        <f t="shared" ref="AD158" si="2255">IF(S158="","",IF(T158="","",(1/AC158*(W158/100/2)^(8/3)*(1/AB158*100)^(1/2)*1.65696)*100))</f>
        <v/>
      </c>
      <c r="AE158" s="31" t="str">
        <f t="shared" ref="AE158" si="2256">IF(S158="","",IF(T158="","",1/AC158*(W158/100/2)^(2/3)*(1/AB158)^(1/2)*0.70541))</f>
        <v/>
      </c>
      <c r="AF158" s="31" t="str">
        <f t="shared" ref="AF158" si="2257">IF(S158="","",IF(T158="","",ROUNDDOWN(AD158/($U$3/8.64),3)))</f>
        <v/>
      </c>
      <c r="AG158" s="32" t="str">
        <f t="shared" ref="AG158" si="2258">IF(S158="","",IF(T158="","",ROUNDDOWN(AF158*10000/$AJ$3,0)))</f>
        <v/>
      </c>
      <c r="AH158" s="33" t="str">
        <f t="shared" ref="AH158" si="2259">IF(S158="","",IF(T158="","",IF(AG158&gt;AI158,"＞","＜")))</f>
        <v/>
      </c>
      <c r="AI158" s="41" t="str">
        <f t="shared" ref="AI158" si="2260">IF(S158="","",Z158)</f>
        <v/>
      </c>
      <c r="AJ158" s="43" t="str">
        <f t="shared" ref="AJ158" si="2261">IF(S158="","",AI158*$AJ$3/10000)</f>
        <v/>
      </c>
      <c r="AK158" s="33" t="str">
        <f t="shared" ref="AK158" si="2262">IF(S158="","",IF(T158="","",IF(AND(T158=1,AE158&gt;1),"NG",IF(AH158="＞","OK","NG"))))</f>
        <v/>
      </c>
    </row>
    <row r="159" spans="1:37" ht="15.75" customHeight="1" x14ac:dyDescent="0.15">
      <c r="A159" s="92"/>
      <c r="B159" s="93"/>
      <c r="C159" s="59"/>
      <c r="D159" s="61"/>
      <c r="E159" s="94"/>
      <c r="F159" s="95"/>
      <c r="G159" s="95"/>
      <c r="H159" s="96"/>
      <c r="I159" s="54"/>
      <c r="J159" s="46"/>
      <c r="K159" s="97"/>
      <c r="L159" s="57"/>
      <c r="M159" s="44"/>
      <c r="N159" s="44"/>
      <c r="O159" s="42"/>
      <c r="P159" s="50"/>
      <c r="Q159" s="42"/>
      <c r="R159" s="52"/>
      <c r="S159" s="98"/>
      <c r="T159" s="99">
        <v>2</v>
      </c>
      <c r="U159" s="34" t="str">
        <f t="shared" ref="U159" si="2263">IF(S158="","",IF(T158=T159,"〃",IF(T159=1,"素焼土管",IF(T159=2,"合成樹脂管",IF(T159=3,"無孔管","")))))</f>
        <v/>
      </c>
      <c r="V159" s="35"/>
      <c r="W159" s="100"/>
      <c r="X159" s="101"/>
      <c r="Y159" s="95"/>
      <c r="Z159" s="42"/>
      <c r="AA159" s="46"/>
      <c r="AB159" s="97"/>
      <c r="AC159" s="36" t="str">
        <f t="shared" ref="AC159" si="2264">IF(S158="","",IF(T159=1,0.013,0.012))</f>
        <v/>
      </c>
      <c r="AD159" s="37" t="str">
        <f t="shared" ref="AD159" si="2265">IF(S158="","",(1/AC159*(W159/100/2)^(8/3)*(1/AB158*100)^(1/2)*1.65696)*100)</f>
        <v/>
      </c>
      <c r="AE159" s="37" t="str">
        <f t="shared" ref="AE159" si="2266">IF(S158="","",1/AC159*(W159/100/2)^(2/3)*(1/AB158)^(1/2)*0.70541)</f>
        <v/>
      </c>
      <c r="AF159" s="37" t="str">
        <f t="shared" ref="AF159" si="2267">IF(S158="","",ROUNDDOWN(AD159/($U$3/8.64),3))</f>
        <v/>
      </c>
      <c r="AG159" s="38" t="str">
        <f t="shared" ref="AG159" si="2268">IF(S158="","",ROUNDDOWN(AF159*10000/$AJ$3,0))</f>
        <v/>
      </c>
      <c r="AH159" s="39" t="str">
        <f t="shared" ref="AH159" si="2269">IF(S158="","",IF(AG159&gt;AI158,"＞",IF(AG159=AI158,"=","＜")))</f>
        <v/>
      </c>
      <c r="AI159" s="42"/>
      <c r="AJ159" s="44"/>
      <c r="AK159" s="39" t="str">
        <f t="shared" ref="AK159" si="2270">IF(S158="","",IF(AND(T159=1,AE159&gt;1),"NG",IF(AH159="＞","OK","NG")))</f>
        <v/>
      </c>
    </row>
    <row r="160" spans="1:37" ht="15.75" customHeight="1" x14ac:dyDescent="0.15">
      <c r="A160" s="80"/>
      <c r="B160" s="81">
        <v>2</v>
      </c>
      <c r="C160" s="58" t="str">
        <f t="shared" ref="C160" si="2271">IF(A160="","",IF(B160=1,"素　焼土　管",IF(B160=2,"合　成樹脂管",IF(B160=3,"無孔管",""))))</f>
        <v/>
      </c>
      <c r="D160" s="60"/>
      <c r="E160" s="82"/>
      <c r="F160" s="83"/>
      <c r="G160" s="83"/>
      <c r="H160" s="84"/>
      <c r="I160" s="53" t="str">
        <f t="shared" ref="I160" si="2272">IF(A160="","",F160-G160+H160)</f>
        <v/>
      </c>
      <c r="J160" s="55" t="str">
        <f t="shared" ref="J160" si="2273">IF(A160="",""," 1/")</f>
        <v/>
      </c>
      <c r="K160" s="85"/>
      <c r="L160" s="56" t="str">
        <f t="shared" ref="L160" si="2274">IF(A160="","",IF(B160=1,0.013,0.012))</f>
        <v/>
      </c>
      <c r="M160" s="47" t="str">
        <f t="shared" ref="M160" si="2275">IF(A160="","",(1/L160*(E160/100/2)^(8/3)*(1/K160*100)^(1/2)*1.65696)*100)</f>
        <v/>
      </c>
      <c r="N160" s="47" t="str">
        <f t="shared" ref="N160" si="2276">IF(A160="","",1/L160*(E160/100/2)^(2/3)*(1/K160)^(1/2)*0.70541)</f>
        <v/>
      </c>
      <c r="O160" s="48" t="str">
        <f t="shared" ref="O160" si="2277">IF(A160="","",ROUNDDOWN(M160/($U$3/8.64)*10000/$AJ$3,0))</f>
        <v/>
      </c>
      <c r="P160" s="49" t="str">
        <f t="shared" ref="P160" si="2278">IF(A160="","",IF(O160&gt;Q160,"＞","＜"))</f>
        <v/>
      </c>
      <c r="Q160" s="48" t="str">
        <f t="shared" ref="Q160" si="2279">IF(A160="","",I160)</f>
        <v/>
      </c>
      <c r="R160" s="51" t="str">
        <f t="shared" ref="R160" si="2280">IF(A160="","",IF(P160="＞","OK","NG"))</f>
        <v/>
      </c>
      <c r="S160" s="86"/>
      <c r="T160" s="87"/>
      <c r="U160" s="28" t="str">
        <f t="shared" ref="U160" si="2281">IF(S160="","",IF(T160=1,"素焼土管",IF(T160=2,"合成樹脂管",IF(T160=3,"無孔管",""))))</f>
        <v/>
      </c>
      <c r="V160" s="29"/>
      <c r="W160" s="88"/>
      <c r="X160" s="89"/>
      <c r="Y160" s="90"/>
      <c r="Z160" s="41" t="str">
        <f t="shared" ref="Z160" si="2282">IF(S160="","",IF(AND(T161=3,I160=""),Z158+Y160,IF(AND(Z158="",I158=""),I160+Y160,IF(AND(T161=3,I160&gt;0,Z158&gt;0),I160+Z158+Y160,IF(Z158="",I158+I160+X160+Y160,IF(I160="",Z158+X160+Y160,Z158+I160+X160+Y160))))))</f>
        <v/>
      </c>
      <c r="AA160" s="45" t="str">
        <f t="shared" ref="AA160" si="2283">IF(AB160="",""," 1/")</f>
        <v/>
      </c>
      <c r="AB160" s="91"/>
      <c r="AC160" s="30" t="str">
        <f t="shared" ref="AC160" si="2284">IF(S160="","",IF(T160="","",IF(T160=1,0.013,0.012)))</f>
        <v/>
      </c>
      <c r="AD160" s="31" t="str">
        <f t="shared" ref="AD160" si="2285">IF(S160="","",IF(T160="","",(1/AC160*(W160/100/2)^(8/3)*(1/AB160*100)^(1/2)*1.65696)*100))</f>
        <v/>
      </c>
      <c r="AE160" s="31" t="str">
        <f t="shared" ref="AE160" si="2286">IF(S160="","",IF(T160="","",1/AC160*(W160/100/2)^(2/3)*(1/AB160)^(1/2)*0.70541))</f>
        <v/>
      </c>
      <c r="AF160" s="31" t="str">
        <f t="shared" ref="AF160" si="2287">IF(S160="","",IF(T160="","",ROUNDDOWN(AD160/($U$3/8.64),3)))</f>
        <v/>
      </c>
      <c r="AG160" s="32" t="str">
        <f t="shared" ref="AG160" si="2288">IF(S160="","",IF(T160="","",ROUNDDOWN(AF160*10000/$AJ$3,0)))</f>
        <v/>
      </c>
      <c r="AH160" s="33" t="str">
        <f t="shared" ref="AH160" si="2289">IF(S160="","",IF(T160="","",IF(AG160&gt;AI160,"＞","＜")))</f>
        <v/>
      </c>
      <c r="AI160" s="41" t="str">
        <f t="shared" ref="AI160" si="2290">IF(S160="","",Z160)</f>
        <v/>
      </c>
      <c r="AJ160" s="43" t="str">
        <f t="shared" ref="AJ160" si="2291">IF(S160="","",AI160*$AJ$3/10000)</f>
        <v/>
      </c>
      <c r="AK160" s="33" t="str">
        <f t="shared" ref="AK160" si="2292">IF(S160="","",IF(T160="","",IF(AND(T160=1,AE160&gt;1),"NG",IF(AH160="＞","OK","NG"))))</f>
        <v/>
      </c>
    </row>
    <row r="161" spans="1:37" ht="15.75" customHeight="1" x14ac:dyDescent="0.15">
      <c r="A161" s="92"/>
      <c r="B161" s="93"/>
      <c r="C161" s="59"/>
      <c r="D161" s="61"/>
      <c r="E161" s="94"/>
      <c r="F161" s="95"/>
      <c r="G161" s="95"/>
      <c r="H161" s="96"/>
      <c r="I161" s="54"/>
      <c r="J161" s="46"/>
      <c r="K161" s="97"/>
      <c r="L161" s="57"/>
      <c r="M161" s="44"/>
      <c r="N161" s="44"/>
      <c r="O161" s="42"/>
      <c r="P161" s="50"/>
      <c r="Q161" s="42"/>
      <c r="R161" s="52"/>
      <c r="S161" s="98"/>
      <c r="T161" s="99">
        <v>2</v>
      </c>
      <c r="U161" s="34" t="str">
        <f t="shared" ref="U161" si="2293">IF(S160="","",IF(T160=T161,"〃",IF(T161=1,"素焼土管",IF(T161=2,"合成樹脂管",IF(T161=3,"無孔管","")))))</f>
        <v/>
      </c>
      <c r="V161" s="35"/>
      <c r="W161" s="100"/>
      <c r="X161" s="101"/>
      <c r="Y161" s="95"/>
      <c r="Z161" s="42"/>
      <c r="AA161" s="46"/>
      <c r="AB161" s="97"/>
      <c r="AC161" s="36" t="str">
        <f t="shared" ref="AC161" si="2294">IF(S160="","",IF(T161=1,0.013,0.012))</f>
        <v/>
      </c>
      <c r="AD161" s="37" t="str">
        <f t="shared" ref="AD161" si="2295">IF(S160="","",(1/AC161*(W161/100/2)^(8/3)*(1/AB160*100)^(1/2)*1.65696)*100)</f>
        <v/>
      </c>
      <c r="AE161" s="37" t="str">
        <f t="shared" ref="AE161" si="2296">IF(S160="","",1/AC161*(W161/100/2)^(2/3)*(1/AB160)^(1/2)*0.70541)</f>
        <v/>
      </c>
      <c r="AF161" s="37" t="str">
        <f t="shared" ref="AF161" si="2297">IF(S160="","",ROUNDDOWN(AD161/($U$3/8.64),3))</f>
        <v/>
      </c>
      <c r="AG161" s="38" t="str">
        <f t="shared" ref="AG161" si="2298">IF(S160="","",ROUNDDOWN(AF161*10000/$AJ$3,0))</f>
        <v/>
      </c>
      <c r="AH161" s="39" t="str">
        <f t="shared" ref="AH161" si="2299">IF(S160="","",IF(AG161&gt;AI160,"＞",IF(AG161=AI160,"=","＜")))</f>
        <v/>
      </c>
      <c r="AI161" s="42"/>
      <c r="AJ161" s="44"/>
      <c r="AK161" s="39" t="str">
        <f t="shared" ref="AK161" si="2300">IF(S160="","",IF(AND(T161=1,AE161&gt;1),"NG",IF(AH161="＞","OK","NG")))</f>
        <v/>
      </c>
    </row>
    <row r="162" spans="1:37" ht="15.75" customHeight="1" x14ac:dyDescent="0.15">
      <c r="A162" s="80"/>
      <c r="B162" s="81">
        <v>2</v>
      </c>
      <c r="C162" s="58" t="str">
        <f t="shared" ref="C162" si="2301">IF(A162="","",IF(B162=1,"素　焼土　管",IF(B162=2,"合　成樹脂管",IF(B162=3,"無孔管",""))))</f>
        <v/>
      </c>
      <c r="D162" s="60"/>
      <c r="E162" s="82"/>
      <c r="F162" s="83"/>
      <c r="G162" s="83"/>
      <c r="H162" s="84"/>
      <c r="I162" s="53" t="str">
        <f t="shared" ref="I162" si="2302">IF(A162="","",F162-G162+H162)</f>
        <v/>
      </c>
      <c r="J162" s="55" t="str">
        <f t="shared" ref="J162" si="2303">IF(A162="",""," 1/")</f>
        <v/>
      </c>
      <c r="K162" s="85"/>
      <c r="L162" s="56" t="str">
        <f t="shared" ref="L162" si="2304">IF(A162="","",IF(B162=1,0.013,0.012))</f>
        <v/>
      </c>
      <c r="M162" s="47" t="str">
        <f t="shared" ref="M162" si="2305">IF(A162="","",(1/L162*(E162/100/2)^(8/3)*(1/K162*100)^(1/2)*1.65696)*100)</f>
        <v/>
      </c>
      <c r="N162" s="47" t="str">
        <f t="shared" ref="N162" si="2306">IF(A162="","",1/L162*(E162/100/2)^(2/3)*(1/K162)^(1/2)*0.70541)</f>
        <v/>
      </c>
      <c r="O162" s="48" t="str">
        <f t="shared" ref="O162" si="2307">IF(A162="","",ROUNDDOWN(M162/($U$3/8.64)*10000/$AJ$3,0))</f>
        <v/>
      </c>
      <c r="P162" s="49" t="str">
        <f t="shared" ref="P162" si="2308">IF(A162="","",IF(O162&gt;Q162,"＞","＜"))</f>
        <v/>
      </c>
      <c r="Q162" s="48" t="str">
        <f t="shared" ref="Q162" si="2309">IF(A162="","",I162)</f>
        <v/>
      </c>
      <c r="R162" s="51" t="str">
        <f t="shared" ref="R162" si="2310">IF(A162="","",IF(P162="＞","OK","NG"))</f>
        <v/>
      </c>
      <c r="S162" s="86"/>
      <c r="T162" s="87"/>
      <c r="U162" s="28" t="str">
        <f t="shared" ref="U162" si="2311">IF(S162="","",IF(T162=1,"素焼土管",IF(T162=2,"合成樹脂管",IF(T162=3,"無孔管",""))))</f>
        <v/>
      </c>
      <c r="V162" s="29"/>
      <c r="W162" s="88"/>
      <c r="X162" s="89"/>
      <c r="Y162" s="90"/>
      <c r="Z162" s="41" t="str">
        <f t="shared" ref="Z162" si="2312">IF(S162="","",IF(AND(T163=3,I162=""),Z160+Y162,IF(AND(Z160="",I160=""),I162+Y162,IF(AND(T163=3,I162&gt;0,Z160&gt;0),I162+Z160+Y162,IF(Z160="",I160+I162+X162+Y162,IF(I162="",Z160+X162+Y162,Z160+I162+X162+Y162))))))</f>
        <v/>
      </c>
      <c r="AA162" s="45" t="str">
        <f t="shared" ref="AA162" si="2313">IF(AB162="",""," 1/")</f>
        <v/>
      </c>
      <c r="AB162" s="91"/>
      <c r="AC162" s="30" t="str">
        <f t="shared" ref="AC162" si="2314">IF(S162="","",IF(T162="","",IF(T162=1,0.013,0.012)))</f>
        <v/>
      </c>
      <c r="AD162" s="31" t="str">
        <f t="shared" ref="AD162" si="2315">IF(S162="","",IF(T162="","",(1/AC162*(W162/100/2)^(8/3)*(1/AB162*100)^(1/2)*1.65696)*100))</f>
        <v/>
      </c>
      <c r="AE162" s="31" t="str">
        <f t="shared" ref="AE162" si="2316">IF(S162="","",IF(T162="","",1/AC162*(W162/100/2)^(2/3)*(1/AB162)^(1/2)*0.70541))</f>
        <v/>
      </c>
      <c r="AF162" s="31" t="str">
        <f t="shared" ref="AF162" si="2317">IF(S162="","",IF(T162="","",ROUNDDOWN(AD162/($U$3/8.64),3)))</f>
        <v/>
      </c>
      <c r="AG162" s="32" t="str">
        <f t="shared" ref="AG162" si="2318">IF(S162="","",IF(T162="","",ROUNDDOWN(AF162*10000/$AJ$3,0)))</f>
        <v/>
      </c>
      <c r="AH162" s="33" t="str">
        <f t="shared" ref="AH162" si="2319">IF(S162="","",IF(T162="","",IF(AG162&gt;AI162,"＞","＜")))</f>
        <v/>
      </c>
      <c r="AI162" s="41" t="str">
        <f t="shared" ref="AI162" si="2320">IF(S162="","",Z162)</f>
        <v/>
      </c>
      <c r="AJ162" s="43" t="str">
        <f t="shared" ref="AJ162" si="2321">IF(S162="","",AI162*$AJ$3/10000)</f>
        <v/>
      </c>
      <c r="AK162" s="33" t="str">
        <f t="shared" ref="AK162" si="2322">IF(S162="","",IF(T162="","",IF(AND(T162=1,AE162&gt;1),"NG",IF(AH162="＞","OK","NG"))))</f>
        <v/>
      </c>
    </row>
    <row r="163" spans="1:37" ht="15.75" customHeight="1" x14ac:dyDescent="0.15">
      <c r="A163" s="92"/>
      <c r="B163" s="93"/>
      <c r="C163" s="59"/>
      <c r="D163" s="61"/>
      <c r="E163" s="94"/>
      <c r="F163" s="95"/>
      <c r="G163" s="95"/>
      <c r="H163" s="96"/>
      <c r="I163" s="54"/>
      <c r="J163" s="46"/>
      <c r="K163" s="97"/>
      <c r="L163" s="57"/>
      <c r="M163" s="44"/>
      <c r="N163" s="44"/>
      <c r="O163" s="42"/>
      <c r="P163" s="50"/>
      <c r="Q163" s="42"/>
      <c r="R163" s="52"/>
      <c r="S163" s="98"/>
      <c r="T163" s="99">
        <v>2</v>
      </c>
      <c r="U163" s="34" t="str">
        <f t="shared" ref="U163" si="2323">IF(S162="","",IF(T162=T163,"〃",IF(T163=1,"素焼土管",IF(T163=2,"合成樹脂管",IF(T163=3,"無孔管","")))))</f>
        <v/>
      </c>
      <c r="V163" s="35"/>
      <c r="W163" s="100"/>
      <c r="X163" s="101"/>
      <c r="Y163" s="95"/>
      <c r="Z163" s="42"/>
      <c r="AA163" s="46"/>
      <c r="AB163" s="97"/>
      <c r="AC163" s="36" t="str">
        <f t="shared" ref="AC163" si="2324">IF(S162="","",IF(T163=1,0.013,0.012))</f>
        <v/>
      </c>
      <c r="AD163" s="37" t="str">
        <f t="shared" ref="AD163" si="2325">IF(S162="","",(1/AC163*(W163/100/2)^(8/3)*(1/AB162*100)^(1/2)*1.65696)*100)</f>
        <v/>
      </c>
      <c r="AE163" s="37" t="str">
        <f t="shared" ref="AE163" si="2326">IF(S162="","",1/AC163*(W163/100/2)^(2/3)*(1/AB162)^(1/2)*0.70541)</f>
        <v/>
      </c>
      <c r="AF163" s="37" t="str">
        <f t="shared" ref="AF163" si="2327">IF(S162="","",ROUNDDOWN(AD163/($U$3/8.64),3))</f>
        <v/>
      </c>
      <c r="AG163" s="38" t="str">
        <f t="shared" ref="AG163" si="2328">IF(S162="","",ROUNDDOWN(AF163*10000/$AJ$3,0))</f>
        <v/>
      </c>
      <c r="AH163" s="39" t="str">
        <f t="shared" ref="AH163" si="2329">IF(S162="","",IF(AG163&gt;AI162,"＞",IF(AG163=AI162,"=","＜")))</f>
        <v/>
      </c>
      <c r="AI163" s="42"/>
      <c r="AJ163" s="44"/>
      <c r="AK163" s="39" t="str">
        <f t="shared" ref="AK163" si="2330">IF(S162="","",IF(AND(T163=1,AE163&gt;1),"NG",IF(AH163="＞","OK","NG")))</f>
        <v/>
      </c>
    </row>
    <row r="164" spans="1:37" ht="15.75" customHeight="1" x14ac:dyDescent="0.15">
      <c r="A164" s="80"/>
      <c r="B164" s="81">
        <v>2</v>
      </c>
      <c r="C164" s="58" t="str">
        <f>IF(A164="","",IF(B164=1,"素　焼土　管",IF(B164=2,"合　成樹脂管",IF(B164=3,"無孔管",""))))</f>
        <v/>
      </c>
      <c r="D164" s="60"/>
      <c r="E164" s="82"/>
      <c r="F164" s="83"/>
      <c r="G164" s="83"/>
      <c r="H164" s="84"/>
      <c r="I164" s="53" t="str">
        <f>IF(A164="","",F164-G164+H164)</f>
        <v/>
      </c>
      <c r="J164" s="55" t="str">
        <f>IF(A164="",""," 1/")</f>
        <v/>
      </c>
      <c r="K164" s="85"/>
      <c r="L164" s="56" t="str">
        <f>IF(A164="","",IF(B164=1,0.013,0.012))</f>
        <v/>
      </c>
      <c r="M164" s="47" t="str">
        <f>IF(A164="","",(1/L164*(E164/100/2)^(8/3)*(1/K164*100)^(1/2)*1.65696)*100)</f>
        <v/>
      </c>
      <c r="N164" s="47" t="str">
        <f>IF(A164="","",1/L164*(E164/100/2)^(2/3)*(1/K164)^(1/2)*0.70541)</f>
        <v/>
      </c>
      <c r="O164" s="48" t="str">
        <f>IF(A164="","",ROUNDDOWN(M164/($U$3/8.64)*10000/$AJ$3,0))</f>
        <v/>
      </c>
      <c r="P164" s="49" t="str">
        <f>IF(A164="","",IF(O164&gt;Q164,"＞","＜"))</f>
        <v/>
      </c>
      <c r="Q164" s="48" t="str">
        <f>IF(A164="","",I164)</f>
        <v/>
      </c>
      <c r="R164" s="51" t="str">
        <f>IF(A164="","",IF(P164="＞","OK","NG"))</f>
        <v/>
      </c>
      <c r="S164" s="86"/>
      <c r="T164" s="87"/>
      <c r="U164" s="28" t="str">
        <f>IF(S164="","",IF(T164=1,"素焼土管",IF(T164=2,"合成樹脂管",IF(T164=3,"無孔管",""))))</f>
        <v/>
      </c>
      <c r="V164" s="29"/>
      <c r="W164" s="88"/>
      <c r="X164" s="89"/>
      <c r="Y164" s="90"/>
      <c r="Z164" s="41" t="str">
        <f>IF(S164="","",IF(AND(T165=3,I164=""),Z162+Y164,IF(AND(Z162="",I162=""),I164+Y164,IF(AND(T165=3,I164&gt;0,Z162&gt;0),I164+Z162+Y164,IF(Z162="",I162+I164+X164+Y164,IF(I164="",Z162+X164+Y164,Z162+I164+X164+Y164))))))</f>
        <v/>
      </c>
      <c r="AA164" s="45" t="str">
        <f>IF(AB164="",""," 1/")</f>
        <v/>
      </c>
      <c r="AB164" s="91"/>
      <c r="AC164" s="30" t="str">
        <f>IF(S164="","",IF(T164="","",IF(T164=1,0.013,0.012)))</f>
        <v/>
      </c>
      <c r="AD164" s="31" t="str">
        <f>IF(S164="","",IF(T164="","",(1/AC164*(W164/100/2)^(8/3)*(1/AB164*100)^(1/2)*1.65696)*100))</f>
        <v/>
      </c>
      <c r="AE164" s="31" t="str">
        <f>IF(S164="","",IF(T164="","",1/AC164*(W164/100/2)^(2/3)*(1/AB164)^(1/2)*0.70541))</f>
        <v/>
      </c>
      <c r="AF164" s="31" t="str">
        <f>IF(S164="","",IF(T164="","",ROUNDDOWN(AD164/($U$3/8.64),3)))</f>
        <v/>
      </c>
      <c r="AG164" s="32" t="str">
        <f>IF(S164="","",IF(T164="","",ROUNDDOWN(AF164*10000/$AJ$3,0)))</f>
        <v/>
      </c>
      <c r="AH164" s="33" t="str">
        <f t="shared" ref="AH164:AH202" si="2331">IF(S164="","",IF(T164="","",IF(AG164&gt;AI164,"＞","＜")))</f>
        <v/>
      </c>
      <c r="AI164" s="41" t="str">
        <f>IF(S164="","",Z164)</f>
        <v/>
      </c>
      <c r="AJ164" s="43" t="str">
        <f>IF(S164="","",AI164*$AJ$3/10000)</f>
        <v/>
      </c>
      <c r="AK164" s="33" t="str">
        <f>IF(S164="","",IF(T164="","",IF(AND(T164=1,AE164&gt;1),"NG",IF(AH164="＞","OK","NG"))))</f>
        <v/>
      </c>
    </row>
    <row r="165" spans="1:37" ht="15.75" customHeight="1" x14ac:dyDescent="0.15">
      <c r="A165" s="92"/>
      <c r="B165" s="93"/>
      <c r="C165" s="59"/>
      <c r="D165" s="61"/>
      <c r="E165" s="94"/>
      <c r="F165" s="95"/>
      <c r="G165" s="95"/>
      <c r="H165" s="96"/>
      <c r="I165" s="54"/>
      <c r="J165" s="46"/>
      <c r="K165" s="97"/>
      <c r="L165" s="57"/>
      <c r="M165" s="44"/>
      <c r="N165" s="44"/>
      <c r="O165" s="42"/>
      <c r="P165" s="50"/>
      <c r="Q165" s="42"/>
      <c r="R165" s="52"/>
      <c r="S165" s="98"/>
      <c r="T165" s="99">
        <v>2</v>
      </c>
      <c r="U165" s="34" t="str">
        <f>IF(S164="","",IF(T164=T165,"〃",IF(T165=1,"素焼土管",IF(T165=2,"合成樹脂管",IF(T165=3,"無孔管","")))))</f>
        <v/>
      </c>
      <c r="V165" s="35"/>
      <c r="W165" s="100"/>
      <c r="X165" s="101"/>
      <c r="Y165" s="95"/>
      <c r="Z165" s="42"/>
      <c r="AA165" s="46"/>
      <c r="AB165" s="97"/>
      <c r="AC165" s="36" t="str">
        <f>IF(S164="","",IF(T165=1,0.013,0.012))</f>
        <v/>
      </c>
      <c r="AD165" s="37" t="str">
        <f>IF(S164="","",(1/AC165*(W165/100/2)^(8/3)*(1/AB164*100)^(1/2)*1.65696)*100)</f>
        <v/>
      </c>
      <c r="AE165" s="37" t="str">
        <f>IF(S164="","",1/AC165*(W165/100/2)^(2/3)*(1/AB164)^(1/2)*0.70541)</f>
        <v/>
      </c>
      <c r="AF165" s="37" t="str">
        <f>IF(S164="","",ROUNDDOWN(AD165/($U$3/8.64),3))</f>
        <v/>
      </c>
      <c r="AG165" s="38" t="str">
        <f>IF(S164="","",ROUNDDOWN(AF165*10000/$AJ$3,0))</f>
        <v/>
      </c>
      <c r="AH165" s="39" t="str">
        <f t="shared" ref="AH165" si="2332">IF(S164="","",IF(AG165&gt;AI164,"＞",IF(AG165=AI164,"=","＜")))</f>
        <v/>
      </c>
      <c r="AI165" s="42"/>
      <c r="AJ165" s="44"/>
      <c r="AK165" s="39" t="str">
        <f>IF(S164="","",IF(AND(T165=1,AE165&gt;1),"NG",IF(AH165="＞","OK","NG")))</f>
        <v/>
      </c>
    </row>
    <row r="166" spans="1:37" ht="15.75" customHeight="1" x14ac:dyDescent="0.15">
      <c r="A166" s="80"/>
      <c r="B166" s="81">
        <v>2</v>
      </c>
      <c r="C166" s="58" t="str">
        <f>IF(A166="","",IF(B166=1,"素　焼土　管",IF(B166=2,"合　成樹脂管",IF(B166=3,"無孔管",""))))</f>
        <v/>
      </c>
      <c r="D166" s="60"/>
      <c r="E166" s="82"/>
      <c r="F166" s="83"/>
      <c r="G166" s="83"/>
      <c r="H166" s="84"/>
      <c r="I166" s="53" t="str">
        <f>IF(A166="","",F166-G166+H166)</f>
        <v/>
      </c>
      <c r="J166" s="55" t="str">
        <f>IF(A166="",""," 1/")</f>
        <v/>
      </c>
      <c r="K166" s="85"/>
      <c r="L166" s="56" t="str">
        <f>IF(A166="","",IF(B166=1,0.013,0.012))</f>
        <v/>
      </c>
      <c r="M166" s="47" t="str">
        <f>IF(A166="","",(1/L166*(E166/100/2)^(8/3)*(1/K166*100)^(1/2)*1.65696)*100)</f>
        <v/>
      </c>
      <c r="N166" s="47" t="str">
        <f>IF(A166="","",1/L166*(E166/100/2)^(2/3)*(1/K166)^(1/2)*0.70541)</f>
        <v/>
      </c>
      <c r="O166" s="48" t="str">
        <f>IF(A166="","",ROUNDDOWN(M166/($U$3/8.64)*10000/$AJ$3,0))</f>
        <v/>
      </c>
      <c r="P166" s="49" t="str">
        <f>IF(A166="","",IF(O166&gt;Q166,"＞","＜"))</f>
        <v/>
      </c>
      <c r="Q166" s="48" t="str">
        <f>IF(A166="","",I166)</f>
        <v/>
      </c>
      <c r="R166" s="51" t="str">
        <f>IF(A166="","",IF(P166="＞","OK","NG"))</f>
        <v/>
      </c>
      <c r="S166" s="86"/>
      <c r="T166" s="87"/>
      <c r="U166" s="28" t="str">
        <f>IF(S166="","",IF(T166=1,"素焼土管",IF(T166=2,"合成樹脂管",IF(T166=3,"無孔管",""))))</f>
        <v/>
      </c>
      <c r="V166" s="29"/>
      <c r="W166" s="88"/>
      <c r="X166" s="89"/>
      <c r="Y166" s="90"/>
      <c r="Z166" s="41" t="str">
        <f>IF(S166="","",IF(AND(T167=3,I166=""),Z164+Y166,IF(AND(Z164="",I164=""),I166+Y166,IF(AND(T167=3,I166&gt;0,Z164&gt;0),I166+Z164+Y166,IF(Z164="",I164+I166+X166+Y166,IF(I166="",Z164+X166+Y166,Z164+I166+X166+Y166))))))</f>
        <v/>
      </c>
      <c r="AA166" s="45" t="str">
        <f>IF(AB166="",""," 1/")</f>
        <v/>
      </c>
      <c r="AB166" s="91"/>
      <c r="AC166" s="30" t="str">
        <f>IF(S166="","",IF(T166="","",IF(T166=1,0.013,0.012)))</f>
        <v/>
      </c>
      <c r="AD166" s="31" t="str">
        <f>IF(S166="","",IF(T166="","",(1/AC166*(W166/100/2)^(8/3)*(1/AB166*100)^(1/2)*1.65696)*100))</f>
        <v/>
      </c>
      <c r="AE166" s="31" t="str">
        <f>IF(S166="","",IF(T166="","",1/AC166*(W166/100/2)^(2/3)*(1/AB166)^(1/2)*0.70541))</f>
        <v/>
      </c>
      <c r="AF166" s="31" t="str">
        <f>IF(S166="","",IF(T166="","",ROUNDDOWN(AD166/($U$3/8.64),3)))</f>
        <v/>
      </c>
      <c r="AG166" s="32" t="str">
        <f>IF(S166="","",IF(T166="","",ROUNDDOWN(AF166*10000/$AJ$3,0)))</f>
        <v/>
      </c>
      <c r="AH166" s="33" t="str">
        <f t="shared" si="2331"/>
        <v/>
      </c>
      <c r="AI166" s="41" t="str">
        <f>IF(S166="","",Z166)</f>
        <v/>
      </c>
      <c r="AJ166" s="43" t="str">
        <f>IF(S166="","",AI166*$AJ$3/10000)</f>
        <v/>
      </c>
      <c r="AK166" s="33" t="str">
        <f>IF(S166="","",IF(T166="","",IF(AND(T166=1,AE166&gt;1),"NG",IF(AH166="＞","OK","NG"))))</f>
        <v/>
      </c>
    </row>
    <row r="167" spans="1:37" ht="15.75" customHeight="1" x14ac:dyDescent="0.15">
      <c r="A167" s="92"/>
      <c r="B167" s="93"/>
      <c r="C167" s="59"/>
      <c r="D167" s="61"/>
      <c r="E167" s="94"/>
      <c r="F167" s="95"/>
      <c r="G167" s="95"/>
      <c r="H167" s="96"/>
      <c r="I167" s="54"/>
      <c r="J167" s="46"/>
      <c r="K167" s="97"/>
      <c r="L167" s="57"/>
      <c r="M167" s="44"/>
      <c r="N167" s="44"/>
      <c r="O167" s="42"/>
      <c r="P167" s="50"/>
      <c r="Q167" s="42"/>
      <c r="R167" s="52"/>
      <c r="S167" s="98"/>
      <c r="T167" s="99">
        <v>2</v>
      </c>
      <c r="U167" s="34" t="str">
        <f>IF(S166="","",IF(T166=T167,"〃",IF(T167=1,"素焼土管",IF(T167=2,"合成樹脂管",IF(T167=3,"無孔管","")))))</f>
        <v/>
      </c>
      <c r="V167" s="35"/>
      <c r="W167" s="100"/>
      <c r="X167" s="101"/>
      <c r="Y167" s="95"/>
      <c r="Z167" s="42"/>
      <c r="AA167" s="46"/>
      <c r="AB167" s="97"/>
      <c r="AC167" s="36" t="str">
        <f>IF(S166="","",IF(T167=1,0.013,0.012))</f>
        <v/>
      </c>
      <c r="AD167" s="37" t="str">
        <f>IF(S166="","",(1/AC167*(W167/100/2)^(8/3)*(1/AB166*100)^(1/2)*1.65696)*100)</f>
        <v/>
      </c>
      <c r="AE167" s="37" t="str">
        <f>IF(S166="","",1/AC167*(W167/100/2)^(2/3)*(1/AB166)^(1/2)*0.70541)</f>
        <v/>
      </c>
      <c r="AF167" s="37" t="str">
        <f>IF(S166="","",ROUNDDOWN(AD167/($U$3/8.64),3))</f>
        <v/>
      </c>
      <c r="AG167" s="38" t="str">
        <f>IF(S166="","",ROUNDDOWN(AF167*10000/$AJ$3,0))</f>
        <v/>
      </c>
      <c r="AH167" s="39" t="str">
        <f t="shared" ref="AH167" si="2333">IF(S166="","",IF(AG167&gt;AI166,"＞",IF(AG167=AI166,"=","＜")))</f>
        <v/>
      </c>
      <c r="AI167" s="42"/>
      <c r="AJ167" s="44"/>
      <c r="AK167" s="39" t="str">
        <f>IF(S166="","",IF(AND(T167=1,AE167&gt;1),"NG",IF(AH167="＞","OK","NG")))</f>
        <v/>
      </c>
    </row>
    <row r="168" spans="1:37" ht="15.75" customHeight="1" x14ac:dyDescent="0.15">
      <c r="A168" s="80"/>
      <c r="B168" s="81">
        <v>2</v>
      </c>
      <c r="C168" s="58" t="str">
        <f>IF(A168="","",IF(B168=1,"素　焼土　管",IF(B168=2,"合　成樹脂管",IF(B168=3,"無孔管",""))))</f>
        <v/>
      </c>
      <c r="D168" s="60"/>
      <c r="E168" s="82"/>
      <c r="F168" s="83"/>
      <c r="G168" s="83"/>
      <c r="H168" s="84"/>
      <c r="I168" s="53" t="str">
        <f>IF(A168="","",F168-G168+H168)</f>
        <v/>
      </c>
      <c r="J168" s="55" t="str">
        <f>IF(A168="",""," 1/")</f>
        <v/>
      </c>
      <c r="K168" s="85"/>
      <c r="L168" s="56" t="str">
        <f>IF(A168="","",IF(B168=1,0.013,0.012))</f>
        <v/>
      </c>
      <c r="M168" s="47" t="str">
        <f>IF(A168="","",(1/L168*(E168/100/2)^(8/3)*(1/K168*100)^(1/2)*1.65696)*100)</f>
        <v/>
      </c>
      <c r="N168" s="47" t="str">
        <f>IF(A168="","",1/L168*(E168/100/2)^(2/3)*(1/K168)^(1/2)*0.70541)</f>
        <v/>
      </c>
      <c r="O168" s="48" t="str">
        <f>IF(A168="","",ROUNDDOWN(M168/($U$3/8.64)*10000/$AJ$3,0))</f>
        <v/>
      </c>
      <c r="P168" s="49" t="str">
        <f>IF(A168="","",IF(O168&gt;Q168,"＞","＜"))</f>
        <v/>
      </c>
      <c r="Q168" s="48" t="str">
        <f>IF(A168="","",I168)</f>
        <v/>
      </c>
      <c r="R168" s="51" t="str">
        <f>IF(A168="","",IF(P168="＞","OK","NG"))</f>
        <v/>
      </c>
      <c r="S168" s="86"/>
      <c r="T168" s="87"/>
      <c r="U168" s="28" t="str">
        <f>IF(S168="","",IF(T168=1,"素焼土管",IF(T168=2,"合成樹脂管",IF(T168=3,"無孔管",""))))</f>
        <v/>
      </c>
      <c r="V168" s="29"/>
      <c r="W168" s="88"/>
      <c r="X168" s="89"/>
      <c r="Y168" s="90"/>
      <c r="Z168" s="41" t="str">
        <f>IF(S168="","",IF(AND(T169=3,I168=""),Z166+Y168,IF(AND(Z166="",I166=""),I168+Y168,IF(AND(T169=3,I168&gt;0,Z166&gt;0),I168+Z166+Y168,IF(Z166="",I166+I168+X168+Y168,IF(I168="",Z166+X168+Y168,Z166+I168+X168+Y168))))))</f>
        <v/>
      </c>
      <c r="AA168" s="45" t="str">
        <f>IF(AB168="",""," 1/")</f>
        <v/>
      </c>
      <c r="AB168" s="91"/>
      <c r="AC168" s="30" t="str">
        <f>IF(S168="","",IF(T168="","",IF(T168=1,0.013,0.012)))</f>
        <v/>
      </c>
      <c r="AD168" s="31" t="str">
        <f>IF(S168="","",IF(T168="","",(1/AC168*(W168/100/2)^(8/3)*(1/AB168*100)^(1/2)*1.65696)*100))</f>
        <v/>
      </c>
      <c r="AE168" s="31" t="str">
        <f>IF(S168="","",IF(T168="","",1/AC168*(W168/100/2)^(2/3)*(1/AB168)^(1/2)*0.70541))</f>
        <v/>
      </c>
      <c r="AF168" s="31" t="str">
        <f>IF(S168="","",IF(T168="","",ROUNDDOWN(AD168/($U$3/8.64),3)))</f>
        <v/>
      </c>
      <c r="AG168" s="32" t="str">
        <f>IF(S168="","",IF(T168="","",ROUNDDOWN(AF168*10000/$AJ$3,0)))</f>
        <v/>
      </c>
      <c r="AH168" s="33" t="str">
        <f t="shared" si="2331"/>
        <v/>
      </c>
      <c r="AI168" s="41" t="str">
        <f>IF(S168="","",Z168)</f>
        <v/>
      </c>
      <c r="AJ168" s="43" t="str">
        <f>IF(S168="","",AI168*$AJ$3/10000)</f>
        <v/>
      </c>
      <c r="AK168" s="33" t="str">
        <f>IF(S168="","",IF(T168="","",IF(AND(T168=1,AE168&gt;1),"NG",IF(AH168="＞","OK","NG"))))</f>
        <v/>
      </c>
    </row>
    <row r="169" spans="1:37" ht="15.75" customHeight="1" x14ac:dyDescent="0.15">
      <c r="A169" s="92"/>
      <c r="B169" s="93"/>
      <c r="C169" s="59"/>
      <c r="D169" s="61"/>
      <c r="E169" s="94"/>
      <c r="F169" s="95"/>
      <c r="G169" s="95"/>
      <c r="H169" s="96"/>
      <c r="I169" s="54"/>
      <c r="J169" s="46"/>
      <c r="K169" s="97"/>
      <c r="L169" s="57"/>
      <c r="M169" s="44"/>
      <c r="N169" s="44"/>
      <c r="O169" s="42"/>
      <c r="P169" s="50"/>
      <c r="Q169" s="42"/>
      <c r="R169" s="52"/>
      <c r="S169" s="98"/>
      <c r="T169" s="99">
        <v>2</v>
      </c>
      <c r="U169" s="34" t="str">
        <f>IF(S168="","",IF(T168=T169,"〃",IF(T169=1,"素焼土管",IF(T169=2,"合成樹脂管",IF(T169=3,"無孔管","")))))</f>
        <v/>
      </c>
      <c r="V169" s="35"/>
      <c r="W169" s="100"/>
      <c r="X169" s="101"/>
      <c r="Y169" s="95"/>
      <c r="Z169" s="42"/>
      <c r="AA169" s="46"/>
      <c r="AB169" s="97"/>
      <c r="AC169" s="36" t="str">
        <f>IF(S168="","",IF(T169=1,0.013,0.012))</f>
        <v/>
      </c>
      <c r="AD169" s="37" t="str">
        <f>IF(S168="","",(1/AC169*(W169/100/2)^(8/3)*(1/AB168*100)^(1/2)*1.65696)*100)</f>
        <v/>
      </c>
      <c r="AE169" s="37" t="str">
        <f>IF(S168="","",1/AC169*(W169/100/2)^(2/3)*(1/AB168)^(1/2)*0.70541)</f>
        <v/>
      </c>
      <c r="AF169" s="37" t="str">
        <f>IF(S168="","",ROUNDDOWN(AD169/($U$3/8.64),3))</f>
        <v/>
      </c>
      <c r="AG169" s="38" t="str">
        <f>IF(S168="","",ROUNDDOWN(AF169*10000/$AJ$3,0))</f>
        <v/>
      </c>
      <c r="AH169" s="39" t="str">
        <f t="shared" ref="AH169" si="2334">IF(S168="","",IF(AG169&gt;AI168,"＞",IF(AG169=AI168,"=","＜")))</f>
        <v/>
      </c>
      <c r="AI169" s="42"/>
      <c r="AJ169" s="44"/>
      <c r="AK169" s="39" t="str">
        <f>IF(S168="","",IF(AND(T169=1,AE169&gt;1),"NG",IF(AH169="＞","OK","NG")))</f>
        <v/>
      </c>
    </row>
    <row r="170" spans="1:37" ht="15.75" customHeight="1" x14ac:dyDescent="0.15">
      <c r="A170" s="80"/>
      <c r="B170" s="81">
        <v>2</v>
      </c>
      <c r="C170" s="58" t="str">
        <f>IF(A170="","",IF(B170=1,"素　焼土　管",IF(B170=2,"合　成樹脂管",IF(B170=3,"無孔管",""))))</f>
        <v/>
      </c>
      <c r="D170" s="60"/>
      <c r="E170" s="82"/>
      <c r="F170" s="83"/>
      <c r="G170" s="83"/>
      <c r="H170" s="84"/>
      <c r="I170" s="53" t="str">
        <f>IF(A170="","",F170-G170+H170)</f>
        <v/>
      </c>
      <c r="J170" s="55" t="str">
        <f>IF(A170="",""," 1/")</f>
        <v/>
      </c>
      <c r="K170" s="85"/>
      <c r="L170" s="56" t="str">
        <f>IF(A170="","",IF(B170=1,0.013,0.012))</f>
        <v/>
      </c>
      <c r="M170" s="47" t="str">
        <f>IF(A170="","",(1/L170*(E170/100/2)^(8/3)*(1/K170*100)^(1/2)*1.65696)*100)</f>
        <v/>
      </c>
      <c r="N170" s="47" t="str">
        <f>IF(A170="","",1/L170*(E170/100/2)^(2/3)*(1/K170)^(1/2)*0.70541)</f>
        <v/>
      </c>
      <c r="O170" s="48" t="str">
        <f>IF(A170="","",ROUNDDOWN(M170/($U$3/8.64)*10000/$AJ$3,0))</f>
        <v/>
      </c>
      <c r="P170" s="49" t="str">
        <f>IF(A170="","",IF(O170&gt;Q170,"＞","＜"))</f>
        <v/>
      </c>
      <c r="Q170" s="48" t="str">
        <f>IF(A170="","",I170)</f>
        <v/>
      </c>
      <c r="R170" s="51" t="str">
        <f>IF(A170="","",IF(P170="＞","OK","NG"))</f>
        <v/>
      </c>
      <c r="S170" s="86"/>
      <c r="T170" s="87"/>
      <c r="U170" s="28" t="str">
        <f>IF(S170="","",IF(T170=1,"素焼土管",IF(T170=2,"合成樹脂管",IF(T170=3,"無孔管",""))))</f>
        <v/>
      </c>
      <c r="V170" s="29"/>
      <c r="W170" s="88"/>
      <c r="X170" s="89"/>
      <c r="Y170" s="90"/>
      <c r="Z170" s="41" t="str">
        <f>IF(S170="","",IF(AND(T171=3,I170=""),Z168+Y170,IF(AND(Z168="",I168=""),I170+Y170,IF(AND(T171=3,I170&gt;0,Z168&gt;0),I170+Z168+Y170,IF(Z168="",I168+I170+X170+Y170,IF(I170="",Z168+X170+Y170,Z168+I170+X170+Y170))))))</f>
        <v/>
      </c>
      <c r="AA170" s="45" t="str">
        <f>IF(AB170="",""," 1/")</f>
        <v/>
      </c>
      <c r="AB170" s="91"/>
      <c r="AC170" s="30" t="str">
        <f>IF(S170="","",IF(T170="","",IF(T170=1,0.013,0.012)))</f>
        <v/>
      </c>
      <c r="AD170" s="31" t="str">
        <f>IF(S170="","",IF(T170="","",(1/AC170*(W170/100/2)^(8/3)*(1/AB170*100)^(1/2)*1.65696)*100))</f>
        <v/>
      </c>
      <c r="AE170" s="31" t="str">
        <f>IF(S170="","",IF(T170="","",1/AC170*(W170/100/2)^(2/3)*(1/AB170)^(1/2)*0.70541))</f>
        <v/>
      </c>
      <c r="AF170" s="31" t="str">
        <f>IF(S170="","",IF(T170="","",ROUNDDOWN(AD170/($U$3/8.64),3)))</f>
        <v/>
      </c>
      <c r="AG170" s="32" t="str">
        <f>IF(S170="","",IF(T170="","",ROUNDDOWN(AF170*10000/$AJ$3,0)))</f>
        <v/>
      </c>
      <c r="AH170" s="33" t="str">
        <f t="shared" si="2331"/>
        <v/>
      </c>
      <c r="AI170" s="41" t="str">
        <f>IF(S170="","",Z170)</f>
        <v/>
      </c>
      <c r="AJ170" s="43" t="str">
        <f>IF(S170="","",AI170*$AJ$3/10000)</f>
        <v/>
      </c>
      <c r="AK170" s="33" t="str">
        <f>IF(S170="","",IF(T170="","",IF(AND(T170=1,AE170&gt;1),"NG",IF(AH170="＞","OK","NG"))))</f>
        <v/>
      </c>
    </row>
    <row r="171" spans="1:37" ht="15.75" customHeight="1" x14ac:dyDescent="0.15">
      <c r="A171" s="92"/>
      <c r="B171" s="93"/>
      <c r="C171" s="59"/>
      <c r="D171" s="61"/>
      <c r="E171" s="94"/>
      <c r="F171" s="95"/>
      <c r="G171" s="95"/>
      <c r="H171" s="96"/>
      <c r="I171" s="54"/>
      <c r="J171" s="46"/>
      <c r="K171" s="97"/>
      <c r="L171" s="57"/>
      <c r="M171" s="44"/>
      <c r="N171" s="44"/>
      <c r="O171" s="42"/>
      <c r="P171" s="50"/>
      <c r="Q171" s="42"/>
      <c r="R171" s="52"/>
      <c r="S171" s="98"/>
      <c r="T171" s="99">
        <v>2</v>
      </c>
      <c r="U171" s="34" t="str">
        <f>IF(S170="","",IF(T170=T171,"〃",IF(T171=1,"素焼土管",IF(T171=2,"合成樹脂管",IF(T171=3,"無孔管","")))))</f>
        <v/>
      </c>
      <c r="V171" s="35"/>
      <c r="W171" s="100"/>
      <c r="X171" s="101"/>
      <c r="Y171" s="95"/>
      <c r="Z171" s="42"/>
      <c r="AA171" s="46"/>
      <c r="AB171" s="97"/>
      <c r="AC171" s="36" t="str">
        <f>IF(S170="","",IF(T171=1,0.013,0.012))</f>
        <v/>
      </c>
      <c r="AD171" s="37" t="str">
        <f>IF(S170="","",(1/AC171*(W171/100/2)^(8/3)*(1/AB170*100)^(1/2)*1.65696)*100)</f>
        <v/>
      </c>
      <c r="AE171" s="37" t="str">
        <f>IF(S170="","",1/AC171*(W171/100/2)^(2/3)*(1/AB170)^(1/2)*0.70541)</f>
        <v/>
      </c>
      <c r="AF171" s="37" t="str">
        <f>IF(S170="","",ROUNDDOWN(AD171/($U$3/8.64),3))</f>
        <v/>
      </c>
      <c r="AG171" s="38" t="str">
        <f>IF(S170="","",ROUNDDOWN(AF171*10000/$AJ$3,0))</f>
        <v/>
      </c>
      <c r="AH171" s="39" t="str">
        <f t="shared" ref="AH171" si="2335">IF(S170="","",IF(AG171&gt;AI170,"＞",IF(AG171=AI170,"=","＜")))</f>
        <v/>
      </c>
      <c r="AI171" s="42"/>
      <c r="AJ171" s="44"/>
      <c r="AK171" s="39" t="str">
        <f>IF(S170="","",IF(AND(T171=1,AE171&gt;1),"NG",IF(AH171="＞","OK","NG")))</f>
        <v/>
      </c>
    </row>
    <row r="172" spans="1:37" ht="15.75" customHeight="1" x14ac:dyDescent="0.15">
      <c r="A172" s="80"/>
      <c r="B172" s="81">
        <v>2</v>
      </c>
      <c r="C172" s="58" t="str">
        <f>IF(A172="","",IF(B172=1,"素　焼土　管",IF(B172=2,"合　成樹脂管",IF(B172=3,"無孔管",""))))</f>
        <v/>
      </c>
      <c r="D172" s="60"/>
      <c r="E172" s="82"/>
      <c r="F172" s="83"/>
      <c r="G172" s="83"/>
      <c r="H172" s="84"/>
      <c r="I172" s="53" t="str">
        <f>IF(A172="","",F172-G172+H172)</f>
        <v/>
      </c>
      <c r="J172" s="55" t="str">
        <f>IF(A172="",""," 1/")</f>
        <v/>
      </c>
      <c r="K172" s="85"/>
      <c r="L172" s="56" t="str">
        <f>IF(A172="","",IF(B172=1,0.013,0.012))</f>
        <v/>
      </c>
      <c r="M172" s="47" t="str">
        <f>IF(A172="","",(1/L172*(E172/100/2)^(8/3)*(1/K172*100)^(1/2)*1.65696)*100)</f>
        <v/>
      </c>
      <c r="N172" s="47" t="str">
        <f>IF(A172="","",1/L172*(E172/100/2)^(2/3)*(1/K172)^(1/2)*0.70541)</f>
        <v/>
      </c>
      <c r="O172" s="48" t="str">
        <f>IF(A172="","",ROUNDDOWN(M172/($U$3/8.64)*10000/$AJ$3,0))</f>
        <v/>
      </c>
      <c r="P172" s="49" t="str">
        <f>IF(A172="","",IF(O172&gt;Q172,"＞","＜"))</f>
        <v/>
      </c>
      <c r="Q172" s="48" t="str">
        <f>IF(A172="","",I172)</f>
        <v/>
      </c>
      <c r="R172" s="51" t="str">
        <f>IF(A172="","",IF(P172="＞","OK","NG"))</f>
        <v/>
      </c>
      <c r="S172" s="86"/>
      <c r="T172" s="87"/>
      <c r="U172" s="28" t="str">
        <f>IF(S172="","",IF(T172=1,"素焼土管",IF(T172=2,"合成樹脂管",IF(T172=3,"無孔管",""))))</f>
        <v/>
      </c>
      <c r="V172" s="29"/>
      <c r="W172" s="88"/>
      <c r="X172" s="89"/>
      <c r="Y172" s="90"/>
      <c r="Z172" s="41" t="str">
        <f>IF(S172="","",IF(AND(T173=3,I172=""),Z170+Y172,IF(AND(Z170="",I170=""),I172+Y172,IF(AND(T173=3,I172&gt;0,Z170&gt;0),I172+Z170+Y172,IF(Z170="",I170+I172+X172+Y172,IF(I172="",Z170+X172+Y172,Z170+I172+X172+Y172))))))</f>
        <v/>
      </c>
      <c r="AA172" s="45" t="str">
        <f>IF(AB172="",""," 1/")</f>
        <v/>
      </c>
      <c r="AB172" s="91"/>
      <c r="AC172" s="30" t="str">
        <f>IF(S172="","",IF(T172="","",IF(T172=1,0.013,0.012)))</f>
        <v/>
      </c>
      <c r="AD172" s="31" t="str">
        <f>IF(S172="","",IF(T172="","",(1/AC172*(W172/100/2)^(8/3)*(1/AB172*100)^(1/2)*1.65696)*100))</f>
        <v/>
      </c>
      <c r="AE172" s="31" t="str">
        <f>IF(S172="","",IF(T172="","",1/AC172*(W172/100/2)^(2/3)*(1/AB172)^(1/2)*0.70541))</f>
        <v/>
      </c>
      <c r="AF172" s="31" t="str">
        <f>IF(S172="","",IF(T172="","",ROUNDDOWN(AD172/($U$3/8.64),3)))</f>
        <v/>
      </c>
      <c r="AG172" s="32" t="str">
        <f>IF(S172="","",IF(T172="","",ROUNDDOWN(AF172*10000/$AJ$3,0)))</f>
        <v/>
      </c>
      <c r="AH172" s="33" t="str">
        <f t="shared" si="2331"/>
        <v/>
      </c>
      <c r="AI172" s="41" t="str">
        <f>IF(S172="","",Z172)</f>
        <v/>
      </c>
      <c r="AJ172" s="43" t="str">
        <f>IF(S172="","",AI172*$AJ$3/10000)</f>
        <v/>
      </c>
      <c r="AK172" s="33" t="str">
        <f>IF(S172="","",IF(T172="","",IF(AND(T172=1,AE172&gt;1),"NG",IF(AH172="＞","OK","NG"))))</f>
        <v/>
      </c>
    </row>
    <row r="173" spans="1:37" ht="15.75" customHeight="1" x14ac:dyDescent="0.15">
      <c r="A173" s="92"/>
      <c r="B173" s="93"/>
      <c r="C173" s="59"/>
      <c r="D173" s="61"/>
      <c r="E173" s="94"/>
      <c r="F173" s="95"/>
      <c r="G173" s="95"/>
      <c r="H173" s="96"/>
      <c r="I173" s="54"/>
      <c r="J173" s="46"/>
      <c r="K173" s="97"/>
      <c r="L173" s="57"/>
      <c r="M173" s="44"/>
      <c r="N173" s="44"/>
      <c r="O173" s="42"/>
      <c r="P173" s="50"/>
      <c r="Q173" s="42"/>
      <c r="R173" s="52"/>
      <c r="S173" s="98"/>
      <c r="T173" s="99">
        <v>2</v>
      </c>
      <c r="U173" s="34" t="str">
        <f>IF(S172="","",IF(T172=T173,"〃",IF(T173=1,"素焼土管",IF(T173=2,"合成樹脂管",IF(T173=3,"無孔管","")))))</f>
        <v/>
      </c>
      <c r="V173" s="35"/>
      <c r="W173" s="100"/>
      <c r="X173" s="101"/>
      <c r="Y173" s="95"/>
      <c r="Z173" s="42"/>
      <c r="AA173" s="46"/>
      <c r="AB173" s="97"/>
      <c r="AC173" s="36" t="str">
        <f>IF(S172="","",IF(T173=1,0.013,0.012))</f>
        <v/>
      </c>
      <c r="AD173" s="37" t="str">
        <f>IF(S172="","",(1/AC173*(W173/100/2)^(8/3)*(1/AB172*100)^(1/2)*1.65696)*100)</f>
        <v/>
      </c>
      <c r="AE173" s="37" t="str">
        <f>IF(S172="","",1/AC173*(W173/100/2)^(2/3)*(1/AB172)^(1/2)*0.70541)</f>
        <v/>
      </c>
      <c r="AF173" s="37" t="str">
        <f>IF(S172="","",ROUNDDOWN(AD173/($U$3/8.64),3))</f>
        <v/>
      </c>
      <c r="AG173" s="38" t="str">
        <f>IF(S172="","",ROUNDDOWN(AF173*10000/$AJ$3,0))</f>
        <v/>
      </c>
      <c r="AH173" s="39" t="str">
        <f t="shared" ref="AH173" si="2336">IF(S172="","",IF(AG173&gt;AI172,"＞",IF(AG173=AI172,"=","＜")))</f>
        <v/>
      </c>
      <c r="AI173" s="42"/>
      <c r="AJ173" s="44"/>
      <c r="AK173" s="39" t="str">
        <f>IF(S172="","",IF(AND(T173=1,AE173&gt;1),"NG",IF(AH173="＞","OK","NG")))</f>
        <v/>
      </c>
    </row>
    <row r="174" spans="1:37" ht="15.75" customHeight="1" x14ac:dyDescent="0.15">
      <c r="A174" s="80"/>
      <c r="B174" s="81">
        <v>2</v>
      </c>
      <c r="C174" s="58" t="str">
        <f>IF(A174="","",IF(B174=1,"素　焼土　管",IF(B174=2,"合　成樹脂管",IF(B174=3,"無孔管",""))))</f>
        <v/>
      </c>
      <c r="D174" s="60"/>
      <c r="E174" s="82"/>
      <c r="F174" s="83"/>
      <c r="G174" s="83"/>
      <c r="H174" s="84"/>
      <c r="I174" s="53" t="str">
        <f>IF(A174="","",F174-G174+H174)</f>
        <v/>
      </c>
      <c r="J174" s="55" t="str">
        <f>IF(A174="",""," 1/")</f>
        <v/>
      </c>
      <c r="K174" s="85"/>
      <c r="L174" s="56" t="str">
        <f>IF(A174="","",IF(B174=1,0.013,0.012))</f>
        <v/>
      </c>
      <c r="M174" s="47" t="str">
        <f>IF(A174="","",(1/L174*(E174/100/2)^(8/3)*(1/K174*100)^(1/2)*1.65696)*100)</f>
        <v/>
      </c>
      <c r="N174" s="47" t="str">
        <f>IF(A174="","",1/L174*(E174/100/2)^(2/3)*(1/K174)^(1/2)*0.70541)</f>
        <v/>
      </c>
      <c r="O174" s="48" t="str">
        <f>IF(A174="","",ROUNDDOWN(M174/($U$3/8.64)*10000/$AJ$3,0))</f>
        <v/>
      </c>
      <c r="P174" s="49" t="str">
        <f>IF(A174="","",IF(O174&gt;Q174,"＞","＜"))</f>
        <v/>
      </c>
      <c r="Q174" s="48" t="str">
        <f>IF(A174="","",I174)</f>
        <v/>
      </c>
      <c r="R174" s="51" t="str">
        <f>IF(A174="","",IF(P174="＞","OK","NG"))</f>
        <v/>
      </c>
      <c r="S174" s="86"/>
      <c r="T174" s="87"/>
      <c r="U174" s="28" t="str">
        <f>IF(S174="","",IF(T174=1,"素焼土管",IF(T174=2,"合成樹脂管",IF(T174=3,"無孔管",""))))</f>
        <v/>
      </c>
      <c r="V174" s="29"/>
      <c r="W174" s="88"/>
      <c r="X174" s="89"/>
      <c r="Y174" s="90"/>
      <c r="Z174" s="41" t="str">
        <f>IF(S174="","",IF(AND(T175=3,I174=""),Z172+Y174,IF(AND(Z172="",I172=""),I174+Y174,IF(AND(T175=3,I174&gt;0,Z172&gt;0),I174+Z172+Y174,IF(Z172="",I172+I174+X174+Y174,IF(I174="",Z172+X174+Y174,Z172+I174+X174+Y174))))))</f>
        <v/>
      </c>
      <c r="AA174" s="45" t="str">
        <f>IF(AB174="",""," 1/")</f>
        <v/>
      </c>
      <c r="AB174" s="91"/>
      <c r="AC174" s="30" t="str">
        <f>IF(S174="","",IF(T174="","",IF(T174=1,0.013,0.012)))</f>
        <v/>
      </c>
      <c r="AD174" s="31" t="str">
        <f>IF(S174="","",IF(T174="","",(1/AC174*(W174/100/2)^(8/3)*(1/AB174*100)^(1/2)*1.65696)*100))</f>
        <v/>
      </c>
      <c r="AE174" s="31" t="str">
        <f>IF(S174="","",IF(T174="","",1/AC174*(W174/100/2)^(2/3)*(1/AB174)^(1/2)*0.70541))</f>
        <v/>
      </c>
      <c r="AF174" s="31" t="str">
        <f>IF(S174="","",IF(T174="","",ROUNDDOWN(AD174/($U$3/8.64),3)))</f>
        <v/>
      </c>
      <c r="AG174" s="32" t="str">
        <f>IF(S174="","",IF(T174="","",ROUNDDOWN(AF174*10000/$AJ$3,0)))</f>
        <v/>
      </c>
      <c r="AH174" s="33" t="str">
        <f t="shared" si="2331"/>
        <v/>
      </c>
      <c r="AI174" s="41" t="str">
        <f>IF(S174="","",Z174)</f>
        <v/>
      </c>
      <c r="AJ174" s="43" t="str">
        <f>IF(S174="","",AI174*$AJ$3/10000)</f>
        <v/>
      </c>
      <c r="AK174" s="33" t="str">
        <f>IF(S174="","",IF(T174="","",IF(AND(T174=1,AE174&gt;1),"NG",IF(AH174="＞","OK","NG"))))</f>
        <v/>
      </c>
    </row>
    <row r="175" spans="1:37" ht="15.75" customHeight="1" x14ac:dyDescent="0.15">
      <c r="A175" s="92"/>
      <c r="B175" s="93"/>
      <c r="C175" s="59"/>
      <c r="D175" s="61"/>
      <c r="E175" s="94"/>
      <c r="F175" s="95"/>
      <c r="G175" s="95"/>
      <c r="H175" s="96"/>
      <c r="I175" s="54"/>
      <c r="J175" s="46"/>
      <c r="K175" s="97"/>
      <c r="L175" s="57"/>
      <c r="M175" s="44"/>
      <c r="N175" s="44"/>
      <c r="O175" s="42"/>
      <c r="P175" s="50"/>
      <c r="Q175" s="42"/>
      <c r="R175" s="52"/>
      <c r="S175" s="98"/>
      <c r="T175" s="99">
        <v>2</v>
      </c>
      <c r="U175" s="34" t="str">
        <f>IF(S174="","",IF(T174=T175,"〃",IF(T175=1,"素焼土管",IF(T175=2,"合成樹脂管",IF(T175=3,"無孔管","")))))</f>
        <v/>
      </c>
      <c r="V175" s="35"/>
      <c r="W175" s="100"/>
      <c r="X175" s="101"/>
      <c r="Y175" s="95"/>
      <c r="Z175" s="42"/>
      <c r="AA175" s="46"/>
      <c r="AB175" s="97"/>
      <c r="AC175" s="36" t="str">
        <f>IF(S174="","",IF(T175=1,0.013,0.012))</f>
        <v/>
      </c>
      <c r="AD175" s="37" t="str">
        <f>IF(S174="","",(1/AC175*(W175/100/2)^(8/3)*(1/AB174*100)^(1/2)*1.65696)*100)</f>
        <v/>
      </c>
      <c r="AE175" s="37" t="str">
        <f>IF(S174="","",1/AC175*(W175/100/2)^(2/3)*(1/AB174)^(1/2)*0.70541)</f>
        <v/>
      </c>
      <c r="AF175" s="37" t="str">
        <f>IF(S174="","",ROUNDDOWN(AD175/($U$3/8.64),3))</f>
        <v/>
      </c>
      <c r="AG175" s="38" t="str">
        <f>IF(S174="","",ROUNDDOWN(AF175*10000/$AJ$3,0))</f>
        <v/>
      </c>
      <c r="AH175" s="39" t="str">
        <f t="shared" ref="AH175" si="2337">IF(S174="","",IF(AG175&gt;AI174,"＞",IF(AG175=AI174,"=","＜")))</f>
        <v/>
      </c>
      <c r="AI175" s="42"/>
      <c r="AJ175" s="44"/>
      <c r="AK175" s="39" t="str">
        <f>IF(S174="","",IF(AND(T175=1,AE175&gt;1),"NG",IF(AH175="＞","OK","NG")))</f>
        <v/>
      </c>
    </row>
    <row r="176" spans="1:37" ht="15.75" customHeight="1" x14ac:dyDescent="0.15">
      <c r="A176" s="80"/>
      <c r="B176" s="81">
        <v>2</v>
      </c>
      <c r="C176" s="58" t="str">
        <f>IF(A176="","",IF(B176=1,"素　焼土　管",IF(B176=2,"合　成樹脂管",IF(B176=3,"無孔管",""))))</f>
        <v/>
      </c>
      <c r="D176" s="60"/>
      <c r="E176" s="82"/>
      <c r="F176" s="83"/>
      <c r="G176" s="83"/>
      <c r="H176" s="84"/>
      <c r="I176" s="53" t="str">
        <f>IF(A176="","",F176-G176+H176)</f>
        <v/>
      </c>
      <c r="J176" s="55" t="str">
        <f>IF(A176="",""," 1/")</f>
        <v/>
      </c>
      <c r="K176" s="85"/>
      <c r="L176" s="56" t="str">
        <f>IF(A176="","",IF(B176=1,0.013,0.012))</f>
        <v/>
      </c>
      <c r="M176" s="47" t="str">
        <f>IF(A176="","",(1/L176*(E176/100/2)^(8/3)*(1/K176*100)^(1/2)*1.65696)*100)</f>
        <v/>
      </c>
      <c r="N176" s="47" t="str">
        <f>IF(A176="","",1/L176*(E176/100/2)^(2/3)*(1/K176)^(1/2)*0.70541)</f>
        <v/>
      </c>
      <c r="O176" s="48" t="str">
        <f>IF(A176="","",ROUNDDOWN(M176/($U$3/8.64)*10000/$AJ$3,0))</f>
        <v/>
      </c>
      <c r="P176" s="49" t="str">
        <f>IF(A176="","",IF(O176&gt;Q176,"＞","＜"))</f>
        <v/>
      </c>
      <c r="Q176" s="48" t="str">
        <f>IF(A176="","",I176)</f>
        <v/>
      </c>
      <c r="R176" s="51" t="str">
        <f>IF(A176="","",IF(P176="＞","OK","NG"))</f>
        <v/>
      </c>
      <c r="S176" s="86"/>
      <c r="T176" s="87"/>
      <c r="U176" s="28" t="str">
        <f>IF(S176="","",IF(T176=1,"素焼土管",IF(T176=2,"合成樹脂管",IF(T176=3,"無孔管",""))))</f>
        <v/>
      </c>
      <c r="V176" s="29"/>
      <c r="W176" s="88"/>
      <c r="X176" s="89"/>
      <c r="Y176" s="90"/>
      <c r="Z176" s="41" t="str">
        <f>IF(S176="","",IF(AND(T177=3,I176=""),Z174+Y176,IF(AND(Z174="",I174=""),I176+Y176,IF(AND(T177=3,I176&gt;0,Z174&gt;0),I176+Z174+Y176,IF(Z174="",I174+I176+X176+Y176,IF(I176="",Z174+X176+Y176,Z174+I176+X176+Y176))))))</f>
        <v/>
      </c>
      <c r="AA176" s="45" t="str">
        <f>IF(AB176="",""," 1/")</f>
        <v/>
      </c>
      <c r="AB176" s="91"/>
      <c r="AC176" s="30" t="str">
        <f>IF(S176="","",IF(T176="","",IF(T176=1,0.013,0.012)))</f>
        <v/>
      </c>
      <c r="AD176" s="31" t="str">
        <f>IF(S176="","",IF(T176="","",(1/AC176*(W176/100/2)^(8/3)*(1/AB176*100)^(1/2)*1.65696)*100))</f>
        <v/>
      </c>
      <c r="AE176" s="31" t="str">
        <f>IF(S176="","",IF(T176="","",1/AC176*(W176/100/2)^(2/3)*(1/AB176)^(1/2)*0.70541))</f>
        <v/>
      </c>
      <c r="AF176" s="31" t="str">
        <f>IF(S176="","",IF(T176="","",ROUNDDOWN(AD176/($U$3/8.64),3)))</f>
        <v/>
      </c>
      <c r="AG176" s="32" t="str">
        <f>IF(S176="","",IF(T176="","",ROUNDDOWN(AF176*10000/$AJ$3,0)))</f>
        <v/>
      </c>
      <c r="AH176" s="33" t="str">
        <f t="shared" si="2331"/>
        <v/>
      </c>
      <c r="AI176" s="41" t="str">
        <f>IF(S176="","",Z176)</f>
        <v/>
      </c>
      <c r="AJ176" s="43" t="str">
        <f>IF(S176="","",AI176*$AJ$3/10000)</f>
        <v/>
      </c>
      <c r="AK176" s="33" t="str">
        <f>IF(S176="","",IF(T176="","",IF(AND(T176=1,AE176&gt;1),"NG",IF(AH176="＞","OK","NG"))))</f>
        <v/>
      </c>
    </row>
    <row r="177" spans="1:37" ht="15.75" customHeight="1" x14ac:dyDescent="0.15">
      <c r="A177" s="92"/>
      <c r="B177" s="93"/>
      <c r="C177" s="59"/>
      <c r="D177" s="61"/>
      <c r="E177" s="94"/>
      <c r="F177" s="95"/>
      <c r="G177" s="95"/>
      <c r="H177" s="96"/>
      <c r="I177" s="54"/>
      <c r="J177" s="46"/>
      <c r="K177" s="97"/>
      <c r="L177" s="57"/>
      <c r="M177" s="44"/>
      <c r="N177" s="44"/>
      <c r="O177" s="42"/>
      <c r="P177" s="50"/>
      <c r="Q177" s="42"/>
      <c r="R177" s="52"/>
      <c r="S177" s="98"/>
      <c r="T177" s="99">
        <v>2</v>
      </c>
      <c r="U177" s="34" t="str">
        <f>IF(S176="","",IF(T176=T177,"〃",IF(T177=1,"素焼土管",IF(T177=2,"合成樹脂管",IF(T177=3,"無孔管","")))))</f>
        <v/>
      </c>
      <c r="V177" s="35"/>
      <c r="W177" s="100"/>
      <c r="X177" s="101"/>
      <c r="Y177" s="95"/>
      <c r="Z177" s="42"/>
      <c r="AA177" s="46"/>
      <c r="AB177" s="97"/>
      <c r="AC177" s="36" t="str">
        <f>IF(S176="","",IF(T177=1,0.013,0.012))</f>
        <v/>
      </c>
      <c r="AD177" s="37" t="str">
        <f>IF(S176="","",(1/AC177*(W177/100/2)^(8/3)*(1/AB176*100)^(1/2)*1.65696)*100)</f>
        <v/>
      </c>
      <c r="AE177" s="37" t="str">
        <f>IF(S176="","",1/AC177*(W177/100/2)^(2/3)*(1/AB176)^(1/2)*0.70541)</f>
        <v/>
      </c>
      <c r="AF177" s="37" t="str">
        <f>IF(S176="","",ROUNDDOWN(AD177/($U$3/8.64),3))</f>
        <v/>
      </c>
      <c r="AG177" s="38" t="str">
        <f>IF(S176="","",ROUNDDOWN(AF177*10000/$AJ$3,0))</f>
        <v/>
      </c>
      <c r="AH177" s="39" t="str">
        <f t="shared" ref="AH177" si="2338">IF(S176="","",IF(AG177&gt;AI176,"＞",IF(AG177=AI176,"=","＜")))</f>
        <v/>
      </c>
      <c r="AI177" s="42"/>
      <c r="AJ177" s="44"/>
      <c r="AK177" s="39" t="str">
        <f>IF(S176="","",IF(AND(T177=1,AE177&gt;1),"NG",IF(AH177="＞","OK","NG")))</f>
        <v/>
      </c>
    </row>
    <row r="178" spans="1:37" ht="15.75" customHeight="1" x14ac:dyDescent="0.15">
      <c r="A178" s="80"/>
      <c r="B178" s="81">
        <v>2</v>
      </c>
      <c r="C178" s="58" t="str">
        <f>IF(A178="","",IF(B178=1,"素　焼土　管",IF(B178=2,"合　成樹脂管",IF(B178=3,"無孔管",""))))</f>
        <v/>
      </c>
      <c r="D178" s="60"/>
      <c r="E178" s="82"/>
      <c r="F178" s="83"/>
      <c r="G178" s="83"/>
      <c r="H178" s="84"/>
      <c r="I178" s="53" t="str">
        <f>IF(A178="","",F178-G178+H178)</f>
        <v/>
      </c>
      <c r="J178" s="55" t="str">
        <f>IF(A178="",""," 1/")</f>
        <v/>
      </c>
      <c r="K178" s="85"/>
      <c r="L178" s="56" t="str">
        <f>IF(A178="","",IF(B178=1,0.013,0.012))</f>
        <v/>
      </c>
      <c r="M178" s="47" t="str">
        <f>IF(A178="","",(1/L178*(E178/100/2)^(8/3)*(1/K178*100)^(1/2)*1.65696)*100)</f>
        <v/>
      </c>
      <c r="N178" s="47" t="str">
        <f>IF(A178="","",1/L178*(E178/100/2)^(2/3)*(1/K178)^(1/2)*0.70541)</f>
        <v/>
      </c>
      <c r="O178" s="48" t="str">
        <f>IF(A178="","",ROUNDDOWN(M178/($U$3/8.64)*10000/$AJ$3,0))</f>
        <v/>
      </c>
      <c r="P178" s="49" t="str">
        <f>IF(A178="","",IF(O178&gt;Q178,"＞","＜"))</f>
        <v/>
      </c>
      <c r="Q178" s="48" t="str">
        <f>IF(A178="","",I178)</f>
        <v/>
      </c>
      <c r="R178" s="51" t="str">
        <f>IF(A178="","",IF(P178="＞","OK","NG"))</f>
        <v/>
      </c>
      <c r="S178" s="86"/>
      <c r="T178" s="87"/>
      <c r="U178" s="28" t="str">
        <f>IF(S178="","",IF(T178=1,"素焼土管",IF(T178=2,"合成樹脂管",IF(T178=3,"無孔管",""))))</f>
        <v/>
      </c>
      <c r="V178" s="29"/>
      <c r="W178" s="88"/>
      <c r="X178" s="89"/>
      <c r="Y178" s="90"/>
      <c r="Z178" s="41" t="str">
        <f>IF(S178="","",IF(AND(T179=3,I178=""),Z176+Y178,IF(AND(Z176="",I176=""),I178+Y178,IF(AND(T179=3,I178&gt;0,Z176&gt;0),I178+Z176+Y178,IF(Z176="",I176+I178+X178+Y178,IF(I178="",Z176+X178+Y178,Z176+I178+X178+Y178))))))</f>
        <v/>
      </c>
      <c r="AA178" s="45" t="str">
        <f>IF(AB178="",""," 1/")</f>
        <v/>
      </c>
      <c r="AB178" s="91"/>
      <c r="AC178" s="30" t="str">
        <f>IF(S178="","",IF(T178="","",IF(T178=1,0.013,0.012)))</f>
        <v/>
      </c>
      <c r="AD178" s="31" t="str">
        <f>IF(S178="","",IF(T178="","",(1/AC178*(W178/100/2)^(8/3)*(1/AB178*100)^(1/2)*1.65696)*100))</f>
        <v/>
      </c>
      <c r="AE178" s="31" t="str">
        <f>IF(S178="","",IF(T178="","",1/AC178*(W178/100/2)^(2/3)*(1/AB178)^(1/2)*0.70541))</f>
        <v/>
      </c>
      <c r="AF178" s="31" t="str">
        <f>IF(S178="","",IF(T178="","",ROUNDDOWN(AD178/($U$3/8.64),3)))</f>
        <v/>
      </c>
      <c r="AG178" s="32" t="str">
        <f>IF(S178="","",IF(T178="","",ROUNDDOWN(AF178*10000/$AJ$3,0)))</f>
        <v/>
      </c>
      <c r="AH178" s="33" t="str">
        <f t="shared" si="2331"/>
        <v/>
      </c>
      <c r="AI178" s="41" t="str">
        <f>IF(S178="","",Z178)</f>
        <v/>
      </c>
      <c r="AJ178" s="43" t="str">
        <f>IF(S178="","",AI178*$AJ$3/10000)</f>
        <v/>
      </c>
      <c r="AK178" s="33" t="str">
        <f>IF(S178="","",IF(T178="","",IF(AND(T178=1,AE178&gt;1),"NG",IF(AH178="＞","OK","NG"))))</f>
        <v/>
      </c>
    </row>
    <row r="179" spans="1:37" ht="15.75" customHeight="1" x14ac:dyDescent="0.15">
      <c r="A179" s="92"/>
      <c r="B179" s="93"/>
      <c r="C179" s="59"/>
      <c r="D179" s="61"/>
      <c r="E179" s="94"/>
      <c r="F179" s="95"/>
      <c r="G179" s="95"/>
      <c r="H179" s="96"/>
      <c r="I179" s="54"/>
      <c r="J179" s="46"/>
      <c r="K179" s="97"/>
      <c r="L179" s="57"/>
      <c r="M179" s="44"/>
      <c r="N179" s="44"/>
      <c r="O179" s="42"/>
      <c r="P179" s="50"/>
      <c r="Q179" s="42"/>
      <c r="R179" s="52"/>
      <c r="S179" s="98"/>
      <c r="T179" s="99">
        <v>2</v>
      </c>
      <c r="U179" s="34" t="str">
        <f>IF(S178="","",IF(T178=T179,"〃",IF(T179=1,"素焼土管",IF(T179=2,"合成樹脂管",IF(T179=3,"無孔管","")))))</f>
        <v/>
      </c>
      <c r="V179" s="35"/>
      <c r="W179" s="100"/>
      <c r="X179" s="101"/>
      <c r="Y179" s="95"/>
      <c r="Z179" s="42"/>
      <c r="AA179" s="46"/>
      <c r="AB179" s="97"/>
      <c r="AC179" s="36" t="str">
        <f>IF(S178="","",IF(T179=1,0.013,0.012))</f>
        <v/>
      </c>
      <c r="AD179" s="37" t="str">
        <f>IF(S178="","",(1/AC179*(W179/100/2)^(8/3)*(1/AB178*100)^(1/2)*1.65696)*100)</f>
        <v/>
      </c>
      <c r="AE179" s="37" t="str">
        <f>IF(S178="","",1/AC179*(W179/100/2)^(2/3)*(1/AB178)^(1/2)*0.70541)</f>
        <v/>
      </c>
      <c r="AF179" s="37" t="str">
        <f>IF(S178="","",ROUNDDOWN(AD179/($U$3/8.64),3))</f>
        <v/>
      </c>
      <c r="AG179" s="38" t="str">
        <f>IF(S178="","",ROUNDDOWN(AF179*10000/$AJ$3,0))</f>
        <v/>
      </c>
      <c r="AH179" s="39" t="str">
        <f t="shared" ref="AH179" si="2339">IF(S178="","",IF(AG179&gt;AI178,"＞",IF(AG179=AI178,"=","＜")))</f>
        <v/>
      </c>
      <c r="AI179" s="42"/>
      <c r="AJ179" s="44"/>
      <c r="AK179" s="39" t="str">
        <f>IF(S178="","",IF(AND(T179=1,AE179&gt;1),"NG",IF(AH179="＞","OK","NG")))</f>
        <v/>
      </c>
    </row>
    <row r="180" spans="1:37" ht="15.75" customHeight="1" x14ac:dyDescent="0.15">
      <c r="A180" s="80"/>
      <c r="B180" s="81">
        <v>2</v>
      </c>
      <c r="C180" s="58" t="str">
        <f>IF(A180="","",IF(B180=1,"素　焼土　管",IF(B180=2,"合　成樹脂管",IF(B180=3,"無孔管",""))))</f>
        <v/>
      </c>
      <c r="D180" s="60"/>
      <c r="E180" s="82"/>
      <c r="F180" s="83"/>
      <c r="G180" s="83"/>
      <c r="H180" s="84"/>
      <c r="I180" s="53" t="str">
        <f>IF(A180="","",F180-G180+H180)</f>
        <v/>
      </c>
      <c r="J180" s="55" t="str">
        <f>IF(A180="",""," 1/")</f>
        <v/>
      </c>
      <c r="K180" s="85"/>
      <c r="L180" s="56" t="str">
        <f>IF(A180="","",IF(B180=1,0.013,0.012))</f>
        <v/>
      </c>
      <c r="M180" s="47" t="str">
        <f>IF(A180="","",(1/L180*(E180/100/2)^(8/3)*(1/K180*100)^(1/2)*1.65696)*100)</f>
        <v/>
      </c>
      <c r="N180" s="47" t="str">
        <f>IF(A180="","",1/L180*(E180/100/2)^(2/3)*(1/K180)^(1/2)*0.70541)</f>
        <v/>
      </c>
      <c r="O180" s="48" t="str">
        <f>IF(A180="","",ROUNDDOWN(M180/($U$3/8.64)*10000/$AJ$3,0))</f>
        <v/>
      </c>
      <c r="P180" s="49" t="str">
        <f>IF(A180="","",IF(O180&gt;Q180,"＞","＜"))</f>
        <v/>
      </c>
      <c r="Q180" s="48" t="str">
        <f>IF(A180="","",I180)</f>
        <v/>
      </c>
      <c r="R180" s="51" t="str">
        <f>IF(A180="","",IF(P180="＞","OK","NG"))</f>
        <v/>
      </c>
      <c r="S180" s="86"/>
      <c r="T180" s="87"/>
      <c r="U180" s="28" t="str">
        <f>IF(S180="","",IF(T180=1,"素焼土管",IF(T180=2,"合成樹脂管",IF(T180=3,"無孔管",""))))</f>
        <v/>
      </c>
      <c r="V180" s="29"/>
      <c r="W180" s="88"/>
      <c r="X180" s="89"/>
      <c r="Y180" s="90"/>
      <c r="Z180" s="41" t="str">
        <f>IF(S180="","",IF(AND(T181=3,I180=""),Z178+Y180,IF(AND(Z178="",I178=""),I180+Y180,IF(AND(T181=3,I180&gt;0,Z178&gt;0),I180+Z178+Y180,IF(Z178="",I178+I180+X180+Y180,IF(I180="",Z178+X180+Y180,Z178+I180+X180+Y180))))))</f>
        <v/>
      </c>
      <c r="AA180" s="45" t="str">
        <f>IF(AB180="",""," 1/")</f>
        <v/>
      </c>
      <c r="AB180" s="91"/>
      <c r="AC180" s="30" t="str">
        <f>IF(S180="","",IF(T180="","",IF(T180=1,0.013,0.012)))</f>
        <v/>
      </c>
      <c r="AD180" s="31" t="str">
        <f>IF(S180="","",IF(T180="","",(1/AC180*(W180/100/2)^(8/3)*(1/AB180*100)^(1/2)*1.65696)*100))</f>
        <v/>
      </c>
      <c r="AE180" s="31" t="str">
        <f>IF(S180="","",IF(T180="","",1/AC180*(W180/100/2)^(2/3)*(1/AB180)^(1/2)*0.70541))</f>
        <v/>
      </c>
      <c r="AF180" s="31" t="str">
        <f>IF(S180="","",IF(T180="","",ROUNDDOWN(AD180/($U$3/8.64),3)))</f>
        <v/>
      </c>
      <c r="AG180" s="32" t="str">
        <f>IF(S180="","",IF(T180="","",ROUNDDOWN(AF180*10000/$AJ$3,0)))</f>
        <v/>
      </c>
      <c r="AH180" s="33" t="str">
        <f t="shared" si="2331"/>
        <v/>
      </c>
      <c r="AI180" s="41" t="str">
        <f>IF(S180="","",Z180)</f>
        <v/>
      </c>
      <c r="AJ180" s="43" t="str">
        <f>IF(S180="","",AI180*$AJ$3/10000)</f>
        <v/>
      </c>
      <c r="AK180" s="33" t="str">
        <f>IF(S180="","",IF(T180="","",IF(AND(T180=1,AE180&gt;1),"NG",IF(AH180="＞","OK","NG"))))</f>
        <v/>
      </c>
    </row>
    <row r="181" spans="1:37" ht="15.75" customHeight="1" x14ac:dyDescent="0.15">
      <c r="A181" s="92"/>
      <c r="B181" s="93"/>
      <c r="C181" s="59"/>
      <c r="D181" s="61"/>
      <c r="E181" s="94"/>
      <c r="F181" s="95"/>
      <c r="G181" s="95"/>
      <c r="H181" s="96"/>
      <c r="I181" s="54"/>
      <c r="J181" s="46"/>
      <c r="K181" s="97"/>
      <c r="L181" s="57"/>
      <c r="M181" s="44"/>
      <c r="N181" s="44"/>
      <c r="O181" s="42"/>
      <c r="P181" s="50"/>
      <c r="Q181" s="42"/>
      <c r="R181" s="52"/>
      <c r="S181" s="98"/>
      <c r="T181" s="99">
        <v>2</v>
      </c>
      <c r="U181" s="34" t="str">
        <f>IF(S180="","",IF(T180=T181,"〃",IF(T181=1,"素焼土管",IF(T181=2,"合成樹脂管",IF(T181=3,"無孔管","")))))</f>
        <v/>
      </c>
      <c r="V181" s="35"/>
      <c r="W181" s="100"/>
      <c r="X181" s="101"/>
      <c r="Y181" s="95"/>
      <c r="Z181" s="42"/>
      <c r="AA181" s="46"/>
      <c r="AB181" s="97"/>
      <c r="AC181" s="36" t="str">
        <f>IF(S180="","",IF(T181=1,0.013,0.012))</f>
        <v/>
      </c>
      <c r="AD181" s="37" t="str">
        <f>IF(S180="","",(1/AC181*(W181/100/2)^(8/3)*(1/AB180*100)^(1/2)*1.65696)*100)</f>
        <v/>
      </c>
      <c r="AE181" s="37" t="str">
        <f>IF(S180="","",1/AC181*(W181/100/2)^(2/3)*(1/AB180)^(1/2)*0.70541)</f>
        <v/>
      </c>
      <c r="AF181" s="37" t="str">
        <f>IF(S180="","",ROUNDDOWN(AD181/($U$3/8.64),3))</f>
        <v/>
      </c>
      <c r="AG181" s="38" t="str">
        <f>IF(S180="","",ROUNDDOWN(AF181*10000/$AJ$3,0))</f>
        <v/>
      </c>
      <c r="AH181" s="39" t="str">
        <f t="shared" ref="AH181" si="2340">IF(S180="","",IF(AG181&gt;AI180,"＞",IF(AG181=AI180,"=","＜")))</f>
        <v/>
      </c>
      <c r="AI181" s="42"/>
      <c r="AJ181" s="44"/>
      <c r="AK181" s="39" t="str">
        <f>IF(S180="","",IF(AND(T181=1,AE181&gt;1),"NG",IF(AH181="＞","OK","NG")))</f>
        <v/>
      </c>
    </row>
    <row r="182" spans="1:37" ht="15.75" customHeight="1" x14ac:dyDescent="0.15">
      <c r="A182" s="80"/>
      <c r="B182" s="81">
        <v>2</v>
      </c>
      <c r="C182" s="58" t="str">
        <f>IF(A182="","",IF(B182=1,"素　焼土　管",IF(B182=2,"合　成樹脂管",IF(B182=3,"無孔管",""))))</f>
        <v/>
      </c>
      <c r="D182" s="60"/>
      <c r="E182" s="82"/>
      <c r="F182" s="83"/>
      <c r="G182" s="83"/>
      <c r="H182" s="84"/>
      <c r="I182" s="53" t="str">
        <f>IF(A182="","",F182-G182+H182)</f>
        <v/>
      </c>
      <c r="J182" s="55" t="str">
        <f>IF(A182="",""," 1/")</f>
        <v/>
      </c>
      <c r="K182" s="85"/>
      <c r="L182" s="56" t="str">
        <f>IF(A182="","",IF(B182=1,0.013,0.012))</f>
        <v/>
      </c>
      <c r="M182" s="47" t="str">
        <f>IF(A182="","",(1/L182*(E182/100/2)^(8/3)*(1/K182*100)^(1/2)*1.65696)*100)</f>
        <v/>
      </c>
      <c r="N182" s="47" t="str">
        <f>IF(A182="","",1/L182*(E182/100/2)^(2/3)*(1/K182)^(1/2)*0.70541)</f>
        <v/>
      </c>
      <c r="O182" s="48" t="str">
        <f>IF(A182="","",ROUNDDOWN(M182/($U$3/8.64)*10000/$AJ$3,0))</f>
        <v/>
      </c>
      <c r="P182" s="49" t="str">
        <f>IF(A182="","",IF(O182&gt;Q182,"＞","＜"))</f>
        <v/>
      </c>
      <c r="Q182" s="48" t="str">
        <f>IF(A182="","",I182)</f>
        <v/>
      </c>
      <c r="R182" s="51" t="str">
        <f>IF(A182="","",IF(P182="＞","OK","NG"))</f>
        <v/>
      </c>
      <c r="S182" s="86"/>
      <c r="T182" s="87"/>
      <c r="U182" s="28" t="str">
        <f>IF(S182="","",IF(T182=1,"素焼土管",IF(T182=2,"合成樹脂管",IF(T182=3,"無孔管",""))))</f>
        <v/>
      </c>
      <c r="V182" s="29"/>
      <c r="W182" s="88"/>
      <c r="X182" s="89"/>
      <c r="Y182" s="90"/>
      <c r="Z182" s="41" t="str">
        <f>IF(S182="","",IF(AND(T183=3,I182=""),Z180+Y182,IF(AND(Z180="",I180=""),I182+Y182,IF(AND(T183=3,I182&gt;0,Z180&gt;0),I182+Z180+Y182,IF(Z180="",I180+I182+X182+Y182,IF(I182="",Z180+X182+Y182,Z180+I182+X182+Y182))))))</f>
        <v/>
      </c>
      <c r="AA182" s="45" t="str">
        <f>IF(AB182="",""," 1/")</f>
        <v/>
      </c>
      <c r="AB182" s="91"/>
      <c r="AC182" s="30" t="str">
        <f>IF(S182="","",IF(T182="","",IF(T182=1,0.013,0.012)))</f>
        <v/>
      </c>
      <c r="AD182" s="31" t="str">
        <f>IF(S182="","",IF(T182="","",(1/AC182*(W182/100/2)^(8/3)*(1/AB182*100)^(1/2)*1.65696)*100))</f>
        <v/>
      </c>
      <c r="AE182" s="31" t="str">
        <f>IF(S182="","",IF(T182="","",1/AC182*(W182/100/2)^(2/3)*(1/AB182)^(1/2)*0.70541))</f>
        <v/>
      </c>
      <c r="AF182" s="31" t="str">
        <f>IF(S182="","",IF(T182="","",ROUNDDOWN(AD182/($U$3/8.64),3)))</f>
        <v/>
      </c>
      <c r="AG182" s="32" t="str">
        <f>IF(S182="","",IF(T182="","",ROUNDDOWN(AF182*10000/$AJ$3,0)))</f>
        <v/>
      </c>
      <c r="AH182" s="33" t="str">
        <f t="shared" si="2331"/>
        <v/>
      </c>
      <c r="AI182" s="41" t="str">
        <f>IF(S182="","",Z182)</f>
        <v/>
      </c>
      <c r="AJ182" s="43" t="str">
        <f>IF(S182="","",AI182*$AJ$3/10000)</f>
        <v/>
      </c>
      <c r="AK182" s="33" t="str">
        <f>IF(S182="","",IF(T182="","",IF(AND(T182=1,AE182&gt;1),"NG",IF(AH182="＞","OK","NG"))))</f>
        <v/>
      </c>
    </row>
    <row r="183" spans="1:37" ht="15.75" customHeight="1" x14ac:dyDescent="0.15">
      <c r="A183" s="92"/>
      <c r="B183" s="93"/>
      <c r="C183" s="59"/>
      <c r="D183" s="61"/>
      <c r="E183" s="94"/>
      <c r="F183" s="95"/>
      <c r="G183" s="95"/>
      <c r="H183" s="96"/>
      <c r="I183" s="54"/>
      <c r="J183" s="46"/>
      <c r="K183" s="97"/>
      <c r="L183" s="57"/>
      <c r="M183" s="44"/>
      <c r="N183" s="44"/>
      <c r="O183" s="42"/>
      <c r="P183" s="50"/>
      <c r="Q183" s="42"/>
      <c r="R183" s="52"/>
      <c r="S183" s="98"/>
      <c r="T183" s="99">
        <v>2</v>
      </c>
      <c r="U183" s="34" t="str">
        <f>IF(S182="","",IF(T182=T183,"〃",IF(T183=1,"素焼土管",IF(T183=2,"合成樹脂管",IF(T183=3,"無孔管","")))))</f>
        <v/>
      </c>
      <c r="V183" s="35"/>
      <c r="W183" s="100"/>
      <c r="X183" s="101"/>
      <c r="Y183" s="95"/>
      <c r="Z183" s="42"/>
      <c r="AA183" s="46"/>
      <c r="AB183" s="97"/>
      <c r="AC183" s="36" t="str">
        <f>IF(S182="","",IF(T183=1,0.013,0.012))</f>
        <v/>
      </c>
      <c r="AD183" s="37" t="str">
        <f>IF(S182="","",(1/AC183*(W183/100/2)^(8/3)*(1/AB182*100)^(1/2)*1.65696)*100)</f>
        <v/>
      </c>
      <c r="AE183" s="37" t="str">
        <f>IF(S182="","",1/AC183*(W183/100/2)^(2/3)*(1/AB182)^(1/2)*0.70541)</f>
        <v/>
      </c>
      <c r="AF183" s="37" t="str">
        <f>IF(S182="","",ROUNDDOWN(AD183/($U$3/8.64),3))</f>
        <v/>
      </c>
      <c r="AG183" s="38" t="str">
        <f>IF(S182="","",ROUNDDOWN(AF183*10000/$AJ$3,0))</f>
        <v/>
      </c>
      <c r="AH183" s="39" t="str">
        <f t="shared" ref="AH183" si="2341">IF(S182="","",IF(AG183&gt;AI182,"＞",IF(AG183=AI182,"=","＜")))</f>
        <v/>
      </c>
      <c r="AI183" s="42"/>
      <c r="AJ183" s="44"/>
      <c r="AK183" s="39" t="str">
        <f>IF(S182="","",IF(AND(T183=1,AE183&gt;1),"NG",IF(AH183="＞","OK","NG")))</f>
        <v/>
      </c>
    </row>
    <row r="184" spans="1:37" ht="15.75" customHeight="1" x14ac:dyDescent="0.15">
      <c r="A184" s="80"/>
      <c r="B184" s="81">
        <v>2</v>
      </c>
      <c r="C184" s="58" t="str">
        <f>IF(A184="","",IF(B184=1,"素　焼土　管",IF(B184=2,"合　成樹脂管",IF(B184=3,"無孔管",""))))</f>
        <v/>
      </c>
      <c r="D184" s="60"/>
      <c r="E184" s="82"/>
      <c r="F184" s="83"/>
      <c r="G184" s="83"/>
      <c r="H184" s="84"/>
      <c r="I184" s="53" t="str">
        <f>IF(A184="","",F184-G184+H184)</f>
        <v/>
      </c>
      <c r="J184" s="55" t="str">
        <f>IF(A184="",""," 1/")</f>
        <v/>
      </c>
      <c r="K184" s="85"/>
      <c r="L184" s="56" t="str">
        <f>IF(A184="","",IF(B184=1,0.013,0.012))</f>
        <v/>
      </c>
      <c r="M184" s="47" t="str">
        <f>IF(A184="","",(1/L184*(E184/100/2)^(8/3)*(1/K184*100)^(1/2)*1.65696)*100)</f>
        <v/>
      </c>
      <c r="N184" s="47" t="str">
        <f>IF(A184="","",1/L184*(E184/100/2)^(2/3)*(1/K184)^(1/2)*0.70541)</f>
        <v/>
      </c>
      <c r="O184" s="48" t="str">
        <f>IF(A184="","",ROUNDDOWN(M184/($U$3/8.64)*10000/$AJ$3,0))</f>
        <v/>
      </c>
      <c r="P184" s="49" t="str">
        <f>IF(A184="","",IF(O184&gt;Q184,"＞","＜"))</f>
        <v/>
      </c>
      <c r="Q184" s="48" t="str">
        <f>IF(A184="","",I184)</f>
        <v/>
      </c>
      <c r="R184" s="51" t="str">
        <f>IF(A184="","",IF(P184="＞","OK","NG"))</f>
        <v/>
      </c>
      <c r="S184" s="86"/>
      <c r="T184" s="87"/>
      <c r="U184" s="28" t="str">
        <f>IF(S184="","",IF(T184=1,"素焼土管",IF(T184=2,"合成樹脂管",IF(T184=3,"無孔管",""))))</f>
        <v/>
      </c>
      <c r="V184" s="29"/>
      <c r="W184" s="88"/>
      <c r="X184" s="89"/>
      <c r="Y184" s="90"/>
      <c r="Z184" s="41" t="str">
        <f>IF(S184="","",IF(AND(T185=3,I184=""),Z182+Y184,IF(AND(Z182="",I182=""),I184+Y184,IF(AND(T185=3,I184&gt;0,Z182&gt;0),I184+Z182+Y184,IF(Z182="",I182+I184+X184+Y184,IF(I184="",Z182+X184+Y184,Z182+I184+X184+Y184))))))</f>
        <v/>
      </c>
      <c r="AA184" s="45" t="str">
        <f>IF(AB184="",""," 1/")</f>
        <v/>
      </c>
      <c r="AB184" s="91"/>
      <c r="AC184" s="30" t="str">
        <f>IF(S184="","",IF(T184="","",IF(T184=1,0.013,0.012)))</f>
        <v/>
      </c>
      <c r="AD184" s="31" t="str">
        <f>IF(S184="","",IF(T184="","",(1/AC184*(W184/100/2)^(8/3)*(1/AB184*100)^(1/2)*1.65696)*100))</f>
        <v/>
      </c>
      <c r="AE184" s="31" t="str">
        <f>IF(S184="","",IF(T184="","",1/AC184*(W184/100/2)^(2/3)*(1/AB184)^(1/2)*0.70541))</f>
        <v/>
      </c>
      <c r="AF184" s="31" t="str">
        <f>IF(S184="","",IF(T184="","",ROUNDDOWN(AD184/($U$3/8.64),3)))</f>
        <v/>
      </c>
      <c r="AG184" s="32" t="str">
        <f>IF(S184="","",IF(T184="","",ROUNDDOWN(AF184*10000/$AJ$3,0)))</f>
        <v/>
      </c>
      <c r="AH184" s="33" t="str">
        <f t="shared" si="2331"/>
        <v/>
      </c>
      <c r="AI184" s="41" t="str">
        <f>IF(S184="","",Z184)</f>
        <v/>
      </c>
      <c r="AJ184" s="43" t="str">
        <f>IF(S184="","",AI184*$AJ$3/10000)</f>
        <v/>
      </c>
      <c r="AK184" s="33" t="str">
        <f>IF(S184="","",IF(T184="","",IF(AND(T184=1,AE184&gt;1),"NG",IF(AH184="＞","OK","NG"))))</f>
        <v/>
      </c>
    </row>
    <row r="185" spans="1:37" ht="15.75" customHeight="1" x14ac:dyDescent="0.15">
      <c r="A185" s="92"/>
      <c r="B185" s="93"/>
      <c r="C185" s="59"/>
      <c r="D185" s="61"/>
      <c r="E185" s="94"/>
      <c r="F185" s="95"/>
      <c r="G185" s="95"/>
      <c r="H185" s="96"/>
      <c r="I185" s="54"/>
      <c r="J185" s="46"/>
      <c r="K185" s="97"/>
      <c r="L185" s="57"/>
      <c r="M185" s="44"/>
      <c r="N185" s="44"/>
      <c r="O185" s="42"/>
      <c r="P185" s="50"/>
      <c r="Q185" s="42"/>
      <c r="R185" s="52"/>
      <c r="S185" s="98"/>
      <c r="T185" s="99">
        <v>2</v>
      </c>
      <c r="U185" s="34" t="str">
        <f>IF(S184="","",IF(T184=T185,"〃",IF(T185=1,"素焼土管",IF(T185=2,"合成樹脂管",IF(T185=3,"無孔管","")))))</f>
        <v/>
      </c>
      <c r="V185" s="35"/>
      <c r="W185" s="100"/>
      <c r="X185" s="101"/>
      <c r="Y185" s="95"/>
      <c r="Z185" s="42"/>
      <c r="AA185" s="46"/>
      <c r="AB185" s="97"/>
      <c r="AC185" s="36" t="str">
        <f>IF(S184="","",IF(T185=1,0.013,0.012))</f>
        <v/>
      </c>
      <c r="AD185" s="37" t="str">
        <f>IF(S184="","",(1/AC185*(W185/100/2)^(8/3)*(1/AB184*100)^(1/2)*1.65696)*100)</f>
        <v/>
      </c>
      <c r="AE185" s="37" t="str">
        <f>IF(S184="","",1/AC185*(W185/100/2)^(2/3)*(1/AB184)^(1/2)*0.70541)</f>
        <v/>
      </c>
      <c r="AF185" s="37" t="str">
        <f>IF(S184="","",ROUNDDOWN(AD185/($U$3/8.64),3))</f>
        <v/>
      </c>
      <c r="AG185" s="38" t="str">
        <f>IF(S184="","",ROUNDDOWN(AF185*10000/$AJ$3,0))</f>
        <v/>
      </c>
      <c r="AH185" s="39" t="str">
        <f t="shared" ref="AH185" si="2342">IF(S184="","",IF(AG185&gt;AI184,"＞",IF(AG185=AI184,"=","＜")))</f>
        <v/>
      </c>
      <c r="AI185" s="42"/>
      <c r="AJ185" s="44"/>
      <c r="AK185" s="39" t="str">
        <f>IF(S184="","",IF(AND(T185=1,AE185&gt;1),"NG",IF(AH185="＞","OK","NG")))</f>
        <v/>
      </c>
    </row>
    <row r="186" spans="1:37" ht="15.75" customHeight="1" x14ac:dyDescent="0.15">
      <c r="A186" s="80"/>
      <c r="B186" s="81">
        <v>2</v>
      </c>
      <c r="C186" s="58" t="str">
        <f>IF(A186="","",IF(B186=1,"素　焼土　管",IF(B186=2,"合　成樹脂管",IF(B186=3,"無孔管",""))))</f>
        <v/>
      </c>
      <c r="D186" s="60"/>
      <c r="E186" s="82"/>
      <c r="F186" s="83"/>
      <c r="G186" s="83"/>
      <c r="H186" s="84"/>
      <c r="I186" s="53" t="str">
        <f>IF(A186="","",F186-G186+H186)</f>
        <v/>
      </c>
      <c r="J186" s="55" t="str">
        <f>IF(A186="",""," 1/")</f>
        <v/>
      </c>
      <c r="K186" s="85"/>
      <c r="L186" s="56" t="str">
        <f>IF(A186="","",IF(B186=1,0.013,0.012))</f>
        <v/>
      </c>
      <c r="M186" s="47" t="str">
        <f>IF(A186="","",(1/L186*(E186/100/2)^(8/3)*(1/K186*100)^(1/2)*1.65696)*100)</f>
        <v/>
      </c>
      <c r="N186" s="47" t="str">
        <f>IF(A186="","",1/L186*(E186/100/2)^(2/3)*(1/K186)^(1/2)*0.70541)</f>
        <v/>
      </c>
      <c r="O186" s="48" t="str">
        <f>IF(A186="","",ROUNDDOWN(M186/($U$3/8.64)*10000/$AJ$3,0))</f>
        <v/>
      </c>
      <c r="P186" s="49" t="str">
        <f>IF(A186="","",IF(O186&gt;Q186,"＞","＜"))</f>
        <v/>
      </c>
      <c r="Q186" s="48" t="str">
        <f>IF(A186="","",I186)</f>
        <v/>
      </c>
      <c r="R186" s="51" t="str">
        <f>IF(A186="","",IF(P186="＞","OK","NG"))</f>
        <v/>
      </c>
      <c r="S186" s="86"/>
      <c r="T186" s="87"/>
      <c r="U186" s="28" t="str">
        <f>IF(S186="","",IF(T186=1,"素焼土管",IF(T186=2,"合成樹脂管",IF(T186=3,"無孔管",""))))</f>
        <v/>
      </c>
      <c r="V186" s="29"/>
      <c r="W186" s="88"/>
      <c r="X186" s="89"/>
      <c r="Y186" s="90"/>
      <c r="Z186" s="41" t="str">
        <f>IF(S186="","",IF(AND(T187=3,I186=""),Z184+Y186,IF(AND(Z184="",I184=""),I186+Y186,IF(AND(T187=3,I186&gt;0,Z184&gt;0),I186+Z184+Y186,IF(Z184="",I184+I186+X186+Y186,IF(I186="",Z184+X186+Y186,Z184+I186+X186+Y186))))))</f>
        <v/>
      </c>
      <c r="AA186" s="45" t="str">
        <f>IF(AB186="",""," 1/")</f>
        <v/>
      </c>
      <c r="AB186" s="91"/>
      <c r="AC186" s="30" t="str">
        <f>IF(S186="","",IF(T186="","",IF(T186=1,0.013,0.012)))</f>
        <v/>
      </c>
      <c r="AD186" s="31" t="str">
        <f>IF(S186="","",IF(T186="","",(1/AC186*(W186/100/2)^(8/3)*(1/AB186*100)^(1/2)*1.65696)*100))</f>
        <v/>
      </c>
      <c r="AE186" s="31" t="str">
        <f>IF(S186="","",IF(T186="","",1/AC186*(W186/100/2)^(2/3)*(1/AB186)^(1/2)*0.70541))</f>
        <v/>
      </c>
      <c r="AF186" s="31" t="str">
        <f>IF(S186="","",IF(T186="","",ROUNDDOWN(AD186/($U$3/8.64),3)))</f>
        <v/>
      </c>
      <c r="AG186" s="32" t="str">
        <f>IF(S186="","",IF(T186="","",ROUNDDOWN(AF186*10000/$AJ$3,0)))</f>
        <v/>
      </c>
      <c r="AH186" s="33" t="str">
        <f t="shared" si="2331"/>
        <v/>
      </c>
      <c r="AI186" s="41" t="str">
        <f>IF(S186="","",Z186)</f>
        <v/>
      </c>
      <c r="AJ186" s="43" t="str">
        <f>IF(S186="","",AI186*$AJ$3/10000)</f>
        <v/>
      </c>
      <c r="AK186" s="33" t="str">
        <f>IF(S186="","",IF(T186="","",IF(AND(T186=1,AE186&gt;1),"NG",IF(AH186="＞","OK","NG"))))</f>
        <v/>
      </c>
    </row>
    <row r="187" spans="1:37" ht="15.75" customHeight="1" x14ac:dyDescent="0.15">
      <c r="A187" s="92"/>
      <c r="B187" s="93"/>
      <c r="C187" s="59"/>
      <c r="D187" s="61"/>
      <c r="E187" s="94"/>
      <c r="F187" s="95"/>
      <c r="G187" s="95"/>
      <c r="H187" s="96"/>
      <c r="I187" s="54"/>
      <c r="J187" s="46"/>
      <c r="K187" s="97"/>
      <c r="L187" s="57"/>
      <c r="M187" s="44"/>
      <c r="N187" s="44"/>
      <c r="O187" s="42"/>
      <c r="P187" s="50"/>
      <c r="Q187" s="42"/>
      <c r="R187" s="52"/>
      <c r="S187" s="98"/>
      <c r="T187" s="99">
        <v>2</v>
      </c>
      <c r="U187" s="34" t="str">
        <f>IF(S186="","",IF(T186=T187,"〃",IF(T187=1,"素焼土管",IF(T187=2,"合成樹脂管",IF(T187=3,"無孔管","")))))</f>
        <v/>
      </c>
      <c r="V187" s="35"/>
      <c r="W187" s="100"/>
      <c r="X187" s="101"/>
      <c r="Y187" s="95"/>
      <c r="Z187" s="42"/>
      <c r="AA187" s="46"/>
      <c r="AB187" s="97"/>
      <c r="AC187" s="36" t="str">
        <f>IF(S186="","",IF(T187=1,0.013,0.012))</f>
        <v/>
      </c>
      <c r="AD187" s="37" t="str">
        <f>IF(S186="","",(1/AC187*(W187/100/2)^(8/3)*(1/AB186*100)^(1/2)*1.65696)*100)</f>
        <v/>
      </c>
      <c r="AE187" s="37" t="str">
        <f>IF(S186="","",1/AC187*(W187/100/2)^(2/3)*(1/AB186)^(1/2)*0.70541)</f>
        <v/>
      </c>
      <c r="AF187" s="37" t="str">
        <f>IF(S186="","",ROUNDDOWN(AD187/($U$3/8.64),3))</f>
        <v/>
      </c>
      <c r="AG187" s="38" t="str">
        <f>IF(S186="","",ROUNDDOWN(AF187*10000/$AJ$3,0))</f>
        <v/>
      </c>
      <c r="AH187" s="39" t="str">
        <f t="shared" ref="AH187" si="2343">IF(S186="","",IF(AG187&gt;AI186,"＞",IF(AG187=AI186,"=","＜")))</f>
        <v/>
      </c>
      <c r="AI187" s="42"/>
      <c r="AJ187" s="44"/>
      <c r="AK187" s="39" t="str">
        <f>IF(S186="","",IF(AND(T187=1,AE187&gt;1),"NG",IF(AH187="＞","OK","NG")))</f>
        <v/>
      </c>
    </row>
    <row r="188" spans="1:37" ht="15.75" customHeight="1" x14ac:dyDescent="0.15">
      <c r="A188" s="80"/>
      <c r="B188" s="81">
        <v>2</v>
      </c>
      <c r="C188" s="58" t="str">
        <f>IF(A188="","",IF(B188=1,"素　焼土　管",IF(B188=2,"合　成樹脂管",IF(B188=3,"無孔管",""))))</f>
        <v/>
      </c>
      <c r="D188" s="60"/>
      <c r="E188" s="82"/>
      <c r="F188" s="83"/>
      <c r="G188" s="83"/>
      <c r="H188" s="84"/>
      <c r="I188" s="53" t="str">
        <f>IF(A188="","",F188-G188+H188)</f>
        <v/>
      </c>
      <c r="J188" s="55" t="str">
        <f>IF(A188="",""," 1/")</f>
        <v/>
      </c>
      <c r="K188" s="85"/>
      <c r="L188" s="56" t="str">
        <f>IF(A188="","",IF(B188=1,0.013,0.012))</f>
        <v/>
      </c>
      <c r="M188" s="47" t="str">
        <f>IF(A188="","",(1/L188*(E188/100/2)^(8/3)*(1/K188*100)^(1/2)*1.65696)*100)</f>
        <v/>
      </c>
      <c r="N188" s="47" t="str">
        <f>IF(A188="","",1/L188*(E188/100/2)^(2/3)*(1/K188)^(1/2)*0.70541)</f>
        <v/>
      </c>
      <c r="O188" s="48" t="str">
        <f>IF(A188="","",ROUNDDOWN(M188/($U$3/8.64)*10000/$AJ$3,0))</f>
        <v/>
      </c>
      <c r="P188" s="49" t="str">
        <f>IF(A188="","",IF(O188&gt;Q188,"＞","＜"))</f>
        <v/>
      </c>
      <c r="Q188" s="48" t="str">
        <f>IF(A188="","",I188)</f>
        <v/>
      </c>
      <c r="R188" s="51" t="str">
        <f>IF(A188="","",IF(P188="＞","OK","NG"))</f>
        <v/>
      </c>
      <c r="S188" s="86"/>
      <c r="T188" s="87"/>
      <c r="U188" s="28" t="str">
        <f>IF(S188="","",IF(T188=1,"素焼土管",IF(T188=2,"合成樹脂管",IF(T188=3,"無孔管",""))))</f>
        <v/>
      </c>
      <c r="V188" s="29"/>
      <c r="W188" s="88"/>
      <c r="X188" s="89"/>
      <c r="Y188" s="90"/>
      <c r="Z188" s="41" t="str">
        <f>IF(S188="","",IF(AND(T189=3,I188=""),Z186+Y188,IF(AND(Z186="",I186=""),I188+Y188,IF(AND(T189=3,I188&gt;0,Z186&gt;0),I188+Z186+Y188,IF(Z186="",I186+I188+X188+Y188,IF(I188="",Z186+X188+Y188,Z186+I188+X188+Y188))))))</f>
        <v/>
      </c>
      <c r="AA188" s="45" t="str">
        <f>IF(AB188="",""," 1/")</f>
        <v/>
      </c>
      <c r="AB188" s="91"/>
      <c r="AC188" s="30" t="str">
        <f>IF(S188="","",IF(T188="","",IF(T188=1,0.013,0.012)))</f>
        <v/>
      </c>
      <c r="AD188" s="31" t="str">
        <f>IF(S188="","",IF(T188="","",(1/AC188*(W188/100/2)^(8/3)*(1/AB188*100)^(1/2)*1.65696)*100))</f>
        <v/>
      </c>
      <c r="AE188" s="31" t="str">
        <f>IF(S188="","",IF(T188="","",1/AC188*(W188/100/2)^(2/3)*(1/AB188)^(1/2)*0.70541))</f>
        <v/>
      </c>
      <c r="AF188" s="31" t="str">
        <f>IF(S188="","",IF(T188="","",ROUNDDOWN(AD188/($U$3/8.64),3)))</f>
        <v/>
      </c>
      <c r="AG188" s="32" t="str">
        <f>IF(S188="","",IF(T188="","",ROUNDDOWN(AF188*10000/$AJ$3,0)))</f>
        <v/>
      </c>
      <c r="AH188" s="33" t="str">
        <f t="shared" si="2331"/>
        <v/>
      </c>
      <c r="AI188" s="41" t="str">
        <f>IF(S188="","",Z188)</f>
        <v/>
      </c>
      <c r="AJ188" s="43" t="str">
        <f>IF(S188="","",AI188*$AJ$3/10000)</f>
        <v/>
      </c>
      <c r="AK188" s="33" t="str">
        <f>IF(S188="","",IF(T188="","",IF(AND(T188=1,AE188&gt;1),"NG",IF(AH188="＞","OK","NG"))))</f>
        <v/>
      </c>
    </row>
    <row r="189" spans="1:37" ht="15.75" customHeight="1" x14ac:dyDescent="0.15">
      <c r="A189" s="92"/>
      <c r="B189" s="93"/>
      <c r="C189" s="59"/>
      <c r="D189" s="61"/>
      <c r="E189" s="94"/>
      <c r="F189" s="95"/>
      <c r="G189" s="95"/>
      <c r="H189" s="96"/>
      <c r="I189" s="54"/>
      <c r="J189" s="46"/>
      <c r="K189" s="97"/>
      <c r="L189" s="57"/>
      <c r="M189" s="44"/>
      <c r="N189" s="44"/>
      <c r="O189" s="42"/>
      <c r="P189" s="50"/>
      <c r="Q189" s="42"/>
      <c r="R189" s="52"/>
      <c r="S189" s="98"/>
      <c r="T189" s="99">
        <v>2</v>
      </c>
      <c r="U189" s="34" t="str">
        <f>IF(S188="","",IF(T188=T189,"〃",IF(T189=1,"素焼土管",IF(T189=2,"合成樹脂管",IF(T189=3,"無孔管","")))))</f>
        <v/>
      </c>
      <c r="V189" s="35"/>
      <c r="W189" s="100"/>
      <c r="X189" s="101"/>
      <c r="Y189" s="95"/>
      <c r="Z189" s="42"/>
      <c r="AA189" s="46"/>
      <c r="AB189" s="97"/>
      <c r="AC189" s="36" t="str">
        <f>IF(S188="","",IF(T189=1,0.013,0.012))</f>
        <v/>
      </c>
      <c r="AD189" s="37" t="str">
        <f>IF(S188="","",(1/AC189*(W189/100/2)^(8/3)*(1/AB188*100)^(1/2)*1.65696)*100)</f>
        <v/>
      </c>
      <c r="AE189" s="37" t="str">
        <f>IF(S188="","",1/AC189*(W189/100/2)^(2/3)*(1/AB188)^(1/2)*0.70541)</f>
        <v/>
      </c>
      <c r="AF189" s="37" t="str">
        <f>IF(S188="","",ROUNDDOWN(AD189/($U$3/8.64),3))</f>
        <v/>
      </c>
      <c r="AG189" s="38" t="str">
        <f>IF(S188="","",ROUNDDOWN(AF189*10000/$AJ$3,0))</f>
        <v/>
      </c>
      <c r="AH189" s="39" t="str">
        <f t="shared" ref="AH189" si="2344">IF(S188="","",IF(AG189&gt;AI188,"＞",IF(AG189=AI188,"=","＜")))</f>
        <v/>
      </c>
      <c r="AI189" s="42"/>
      <c r="AJ189" s="44"/>
      <c r="AK189" s="39" t="str">
        <f>IF(S188="","",IF(AND(T189=1,AE189&gt;1),"NG",IF(AH189="＞","OK","NG")))</f>
        <v/>
      </c>
    </row>
    <row r="190" spans="1:37" ht="15.75" customHeight="1" x14ac:dyDescent="0.15">
      <c r="A190" s="80"/>
      <c r="B190" s="81">
        <v>2</v>
      </c>
      <c r="C190" s="58" t="str">
        <f>IF(A190="","",IF(B190=1,"素　焼土　管",IF(B190=2,"合　成樹脂管",IF(B190=3,"無孔管",""))))</f>
        <v/>
      </c>
      <c r="D190" s="60"/>
      <c r="E190" s="82"/>
      <c r="F190" s="83"/>
      <c r="G190" s="83"/>
      <c r="H190" s="84"/>
      <c r="I190" s="53" t="str">
        <f>IF(A190="","",F190-G190+H190)</f>
        <v/>
      </c>
      <c r="J190" s="55" t="str">
        <f>IF(A190="",""," 1/")</f>
        <v/>
      </c>
      <c r="K190" s="85"/>
      <c r="L190" s="56" t="str">
        <f>IF(A190="","",IF(B190=1,0.013,0.012))</f>
        <v/>
      </c>
      <c r="M190" s="47" t="str">
        <f>IF(A190="","",(1/L190*(E190/100/2)^(8/3)*(1/K190*100)^(1/2)*1.65696)*100)</f>
        <v/>
      </c>
      <c r="N190" s="47" t="str">
        <f>IF(A190="","",1/L190*(E190/100/2)^(2/3)*(1/K190)^(1/2)*0.70541)</f>
        <v/>
      </c>
      <c r="O190" s="48" t="str">
        <f>IF(A190="","",ROUNDDOWN(M190/($U$3/8.64)*10000/$AJ$3,0))</f>
        <v/>
      </c>
      <c r="P190" s="49" t="str">
        <f>IF(A190="","",IF(O190&gt;Q190,"＞","＜"))</f>
        <v/>
      </c>
      <c r="Q190" s="48" t="str">
        <f>IF(A190="","",I190)</f>
        <v/>
      </c>
      <c r="R190" s="51" t="str">
        <f>IF(A190="","",IF(P190="＞","OK","NG"))</f>
        <v/>
      </c>
      <c r="S190" s="86"/>
      <c r="T190" s="87"/>
      <c r="U190" s="28" t="str">
        <f>IF(S190="","",IF(T190=1,"素焼土管",IF(T190=2,"合成樹脂管",IF(T190=3,"無孔管",""))))</f>
        <v/>
      </c>
      <c r="V190" s="29"/>
      <c r="W190" s="88"/>
      <c r="X190" s="89"/>
      <c r="Y190" s="90"/>
      <c r="Z190" s="41" t="str">
        <f>IF(S190="","",IF(AND(T191=3,I190=""),Z188+Y190,IF(AND(Z188="",I188=""),I190+Y190,IF(AND(T191=3,I190&gt;0,Z188&gt;0),I190+Z188+Y190,IF(Z188="",I188+I190+X190+Y190,IF(I190="",Z188+X190+Y190,Z188+I190+X190+Y190))))))</f>
        <v/>
      </c>
      <c r="AA190" s="45" t="str">
        <f>IF(AB190="",""," 1/")</f>
        <v/>
      </c>
      <c r="AB190" s="91"/>
      <c r="AC190" s="30" t="str">
        <f>IF(S190="","",IF(T190="","",IF(T190=1,0.013,0.012)))</f>
        <v/>
      </c>
      <c r="AD190" s="31" t="str">
        <f>IF(S190="","",IF(T190="","",(1/AC190*(W190/100/2)^(8/3)*(1/AB190*100)^(1/2)*1.65696)*100))</f>
        <v/>
      </c>
      <c r="AE190" s="31" t="str">
        <f>IF(S190="","",IF(T190="","",1/AC190*(W190/100/2)^(2/3)*(1/AB190)^(1/2)*0.70541))</f>
        <v/>
      </c>
      <c r="AF190" s="31" t="str">
        <f>IF(S190="","",IF(T190="","",ROUNDDOWN(AD190/($U$3/8.64),3)))</f>
        <v/>
      </c>
      <c r="AG190" s="32" t="str">
        <f>IF(S190="","",IF(T190="","",ROUNDDOWN(AF190*10000/$AJ$3,0)))</f>
        <v/>
      </c>
      <c r="AH190" s="33" t="str">
        <f t="shared" si="2331"/>
        <v/>
      </c>
      <c r="AI190" s="41" t="str">
        <f>IF(S190="","",Z190)</f>
        <v/>
      </c>
      <c r="AJ190" s="43" t="str">
        <f>IF(S190="","",AI190*$AJ$3/10000)</f>
        <v/>
      </c>
      <c r="AK190" s="33" t="str">
        <f>IF(S190="","",IF(T190="","",IF(AND(T190=1,AE190&gt;1),"NG",IF(AH190="＞","OK","NG"))))</f>
        <v/>
      </c>
    </row>
    <row r="191" spans="1:37" ht="15.75" customHeight="1" x14ac:dyDescent="0.15">
      <c r="A191" s="92"/>
      <c r="B191" s="93"/>
      <c r="C191" s="59"/>
      <c r="D191" s="61"/>
      <c r="E191" s="94"/>
      <c r="F191" s="95"/>
      <c r="G191" s="95"/>
      <c r="H191" s="96"/>
      <c r="I191" s="54"/>
      <c r="J191" s="46"/>
      <c r="K191" s="97"/>
      <c r="L191" s="57"/>
      <c r="M191" s="44"/>
      <c r="N191" s="44"/>
      <c r="O191" s="42"/>
      <c r="P191" s="50"/>
      <c r="Q191" s="42"/>
      <c r="R191" s="52"/>
      <c r="S191" s="98"/>
      <c r="T191" s="99">
        <v>2</v>
      </c>
      <c r="U191" s="34" t="str">
        <f>IF(S190="","",IF(T190=T191,"〃",IF(T191=1,"素焼土管",IF(T191=2,"合成樹脂管",IF(T191=3,"無孔管","")))))</f>
        <v/>
      </c>
      <c r="V191" s="35"/>
      <c r="W191" s="100"/>
      <c r="X191" s="101"/>
      <c r="Y191" s="95"/>
      <c r="Z191" s="42"/>
      <c r="AA191" s="46"/>
      <c r="AB191" s="97"/>
      <c r="AC191" s="36" t="str">
        <f>IF(S190="","",IF(T191=1,0.013,0.012))</f>
        <v/>
      </c>
      <c r="AD191" s="37" t="str">
        <f>IF(S190="","",(1/AC191*(W191/100/2)^(8/3)*(1/AB190*100)^(1/2)*1.65696)*100)</f>
        <v/>
      </c>
      <c r="AE191" s="37" t="str">
        <f>IF(S190="","",1/AC191*(W191/100/2)^(2/3)*(1/AB190)^(1/2)*0.70541)</f>
        <v/>
      </c>
      <c r="AF191" s="37" t="str">
        <f>IF(S190="","",ROUNDDOWN(AD191/($U$3/8.64),3))</f>
        <v/>
      </c>
      <c r="AG191" s="38" t="str">
        <f>IF(S190="","",ROUNDDOWN(AF191*10000/$AJ$3,0))</f>
        <v/>
      </c>
      <c r="AH191" s="39" t="str">
        <f t="shared" ref="AH191" si="2345">IF(S190="","",IF(AG191&gt;AI190,"＞",IF(AG191=AI190,"=","＜")))</f>
        <v/>
      </c>
      <c r="AI191" s="42"/>
      <c r="AJ191" s="44"/>
      <c r="AK191" s="39" t="str">
        <f>IF(S190="","",IF(AND(T191=1,AE191&gt;1),"NG",IF(AH191="＞","OK","NG")))</f>
        <v/>
      </c>
    </row>
    <row r="192" spans="1:37" ht="15.75" customHeight="1" x14ac:dyDescent="0.15">
      <c r="A192" s="80"/>
      <c r="B192" s="81">
        <v>2</v>
      </c>
      <c r="C192" s="58" t="str">
        <f>IF(A192="","",IF(B192=1,"素　焼土　管",IF(B192=2,"合　成樹脂管",IF(B192=3,"無孔管",""))))</f>
        <v/>
      </c>
      <c r="D192" s="60"/>
      <c r="E192" s="82"/>
      <c r="F192" s="83"/>
      <c r="G192" s="83"/>
      <c r="H192" s="84"/>
      <c r="I192" s="53" t="str">
        <f>IF(A192="","",F192-G192+H192)</f>
        <v/>
      </c>
      <c r="J192" s="55" t="str">
        <f>IF(A192="",""," 1/")</f>
        <v/>
      </c>
      <c r="K192" s="85"/>
      <c r="L192" s="56" t="str">
        <f>IF(A192="","",IF(B192=1,0.013,0.012))</f>
        <v/>
      </c>
      <c r="M192" s="47" t="str">
        <f>IF(A192="","",(1/L192*(E192/100/2)^(8/3)*(1/K192*100)^(1/2)*1.65696)*100)</f>
        <v/>
      </c>
      <c r="N192" s="47" t="str">
        <f>IF(A192="","",1/L192*(E192/100/2)^(2/3)*(1/K192)^(1/2)*0.70541)</f>
        <v/>
      </c>
      <c r="O192" s="48" t="str">
        <f>IF(A192="","",ROUNDDOWN(M192/($U$3/8.64)*10000/$AJ$3,0))</f>
        <v/>
      </c>
      <c r="P192" s="49" t="str">
        <f>IF(A192="","",IF(O192&gt;Q192,"＞","＜"))</f>
        <v/>
      </c>
      <c r="Q192" s="48" t="str">
        <f>IF(A192="","",I192)</f>
        <v/>
      </c>
      <c r="R192" s="51" t="str">
        <f>IF(A192="","",IF(P192="＞","OK","NG"))</f>
        <v/>
      </c>
      <c r="S192" s="86"/>
      <c r="T192" s="87"/>
      <c r="U192" s="28" t="str">
        <f>IF(S192="","",IF(T192=1,"素焼土管",IF(T192=2,"合成樹脂管",IF(T192=3,"無孔管",""))))</f>
        <v/>
      </c>
      <c r="V192" s="29"/>
      <c r="W192" s="88"/>
      <c r="X192" s="89"/>
      <c r="Y192" s="90"/>
      <c r="Z192" s="41" t="str">
        <f>IF(S192="","",IF(AND(T193=3,I192=""),Z190+Y192,IF(AND(Z190="",I190=""),I192+Y192,IF(AND(T193=3,I192&gt;0,Z190&gt;0),I192+Z190+Y192,IF(Z190="",I190+I192+X192+Y192,IF(I192="",Z190+X192+Y192,Z190+I192+X192+Y192))))))</f>
        <v/>
      </c>
      <c r="AA192" s="45" t="str">
        <f>IF(AB192="",""," 1/")</f>
        <v/>
      </c>
      <c r="AB192" s="91"/>
      <c r="AC192" s="30" t="str">
        <f>IF(S192="","",IF(T192="","",IF(T192=1,0.013,0.012)))</f>
        <v/>
      </c>
      <c r="AD192" s="31" t="str">
        <f>IF(S192="","",IF(T192="","",(1/AC192*(W192/100/2)^(8/3)*(1/AB192*100)^(1/2)*1.65696)*100))</f>
        <v/>
      </c>
      <c r="AE192" s="31" t="str">
        <f>IF(S192="","",IF(T192="","",1/AC192*(W192/100/2)^(2/3)*(1/AB192)^(1/2)*0.70541))</f>
        <v/>
      </c>
      <c r="AF192" s="31" t="str">
        <f>IF(S192="","",IF(T192="","",ROUNDDOWN(AD192/($U$3/8.64),3)))</f>
        <v/>
      </c>
      <c r="AG192" s="32" t="str">
        <f>IF(S192="","",IF(T192="","",ROUNDDOWN(AF192*10000/$AJ$3,0)))</f>
        <v/>
      </c>
      <c r="AH192" s="33" t="str">
        <f t="shared" si="2331"/>
        <v/>
      </c>
      <c r="AI192" s="41" t="str">
        <f>IF(S192="","",Z192)</f>
        <v/>
      </c>
      <c r="AJ192" s="43" t="str">
        <f>IF(S192="","",AI192*$AJ$3/10000)</f>
        <v/>
      </c>
      <c r="AK192" s="33" t="str">
        <f>IF(S192="","",IF(T192="","",IF(AND(T192=1,AE192&gt;1),"NG",IF(AH192="＞","OK","NG"))))</f>
        <v/>
      </c>
    </row>
    <row r="193" spans="1:37" ht="15.75" customHeight="1" x14ac:dyDescent="0.15">
      <c r="A193" s="92"/>
      <c r="B193" s="93"/>
      <c r="C193" s="59"/>
      <c r="D193" s="61"/>
      <c r="E193" s="94"/>
      <c r="F193" s="95"/>
      <c r="G193" s="95"/>
      <c r="H193" s="96"/>
      <c r="I193" s="54"/>
      <c r="J193" s="46"/>
      <c r="K193" s="97"/>
      <c r="L193" s="57"/>
      <c r="M193" s="44"/>
      <c r="N193" s="44"/>
      <c r="O193" s="42"/>
      <c r="P193" s="50"/>
      <c r="Q193" s="42"/>
      <c r="R193" s="52"/>
      <c r="S193" s="98"/>
      <c r="T193" s="99">
        <v>2</v>
      </c>
      <c r="U193" s="34" t="str">
        <f>IF(S192="","",IF(T192=T193,"〃",IF(T193=1,"素焼土管",IF(T193=2,"合成樹脂管",IF(T193=3,"無孔管","")))))</f>
        <v/>
      </c>
      <c r="V193" s="35"/>
      <c r="W193" s="100"/>
      <c r="X193" s="101"/>
      <c r="Y193" s="95"/>
      <c r="Z193" s="42"/>
      <c r="AA193" s="46"/>
      <c r="AB193" s="97"/>
      <c r="AC193" s="36" t="str">
        <f>IF(S192="","",IF(T193=1,0.013,0.012))</f>
        <v/>
      </c>
      <c r="AD193" s="37" t="str">
        <f>IF(S192="","",(1/AC193*(W193/100/2)^(8/3)*(1/AB192*100)^(1/2)*1.65696)*100)</f>
        <v/>
      </c>
      <c r="AE193" s="37" t="str">
        <f>IF(S192="","",1/AC193*(W193/100/2)^(2/3)*(1/AB192)^(1/2)*0.70541)</f>
        <v/>
      </c>
      <c r="AF193" s="37" t="str">
        <f>IF(S192="","",ROUNDDOWN(AD193/($U$3/8.64),3))</f>
        <v/>
      </c>
      <c r="AG193" s="38" t="str">
        <f>IF(S192="","",ROUNDDOWN(AF193*10000/$AJ$3,0))</f>
        <v/>
      </c>
      <c r="AH193" s="39" t="str">
        <f t="shared" ref="AH193" si="2346">IF(S192="","",IF(AG193&gt;AI192,"＞",IF(AG193=AI192,"=","＜")))</f>
        <v/>
      </c>
      <c r="AI193" s="42"/>
      <c r="AJ193" s="44"/>
      <c r="AK193" s="39" t="str">
        <f>IF(S192="","",IF(AND(T193=1,AE193&gt;1),"NG",IF(AH193="＞","OK","NG")))</f>
        <v/>
      </c>
    </row>
    <row r="194" spans="1:37" ht="15.75" customHeight="1" x14ac:dyDescent="0.15">
      <c r="A194" s="80"/>
      <c r="B194" s="81">
        <v>2</v>
      </c>
      <c r="C194" s="58" t="str">
        <f>IF(A194="","",IF(B194=1,"素　焼土　管",IF(B194=2,"合　成樹脂管",IF(B194=3,"無孔管",""))))</f>
        <v/>
      </c>
      <c r="D194" s="60"/>
      <c r="E194" s="82"/>
      <c r="F194" s="83"/>
      <c r="G194" s="83"/>
      <c r="H194" s="84"/>
      <c r="I194" s="53" t="str">
        <f>IF(A194="","",F194-G194+H194)</f>
        <v/>
      </c>
      <c r="J194" s="55" t="str">
        <f>IF(A194="",""," 1/")</f>
        <v/>
      </c>
      <c r="K194" s="85"/>
      <c r="L194" s="56" t="str">
        <f>IF(A194="","",IF(B194=1,0.013,0.012))</f>
        <v/>
      </c>
      <c r="M194" s="47" t="str">
        <f>IF(A194="","",(1/L194*(E194/100/2)^(8/3)*(1/K194*100)^(1/2)*1.65696)*100)</f>
        <v/>
      </c>
      <c r="N194" s="47" t="str">
        <f>IF(A194="","",1/L194*(E194/100/2)^(2/3)*(1/K194)^(1/2)*0.70541)</f>
        <v/>
      </c>
      <c r="O194" s="48" t="str">
        <f>IF(A194="","",ROUNDDOWN(M194/($U$3/8.64)*10000/$AJ$3,0))</f>
        <v/>
      </c>
      <c r="P194" s="49" t="str">
        <f>IF(A194="","",IF(O194&gt;Q194,"＞","＜"))</f>
        <v/>
      </c>
      <c r="Q194" s="48" t="str">
        <f>IF(A194="","",I194)</f>
        <v/>
      </c>
      <c r="R194" s="51" t="str">
        <f>IF(A194="","",IF(P194="＞","OK","NG"))</f>
        <v/>
      </c>
      <c r="S194" s="86"/>
      <c r="T194" s="87"/>
      <c r="U194" s="28" t="str">
        <f>IF(S194="","",IF(T194=1,"素焼土管",IF(T194=2,"合成樹脂管",IF(T194=3,"無孔管",""))))</f>
        <v/>
      </c>
      <c r="V194" s="29"/>
      <c r="W194" s="88"/>
      <c r="X194" s="89"/>
      <c r="Y194" s="90"/>
      <c r="Z194" s="41" t="str">
        <f>IF(S194="","",IF(AND(T195=3,I194=""),Z192+Y194,IF(AND(Z192="",I192=""),I194+Y194,IF(AND(T195=3,I194&gt;0,Z192&gt;0),I194+Z192+Y194,IF(Z192="",I192+I194+X194+Y194,IF(I194="",Z192+X194+Y194,Z192+I194+X194+Y194))))))</f>
        <v/>
      </c>
      <c r="AA194" s="45" t="str">
        <f>IF(AB194="",""," 1/")</f>
        <v/>
      </c>
      <c r="AB194" s="91"/>
      <c r="AC194" s="30" t="str">
        <f>IF(S194="","",IF(T194="","",IF(T194=1,0.013,0.012)))</f>
        <v/>
      </c>
      <c r="AD194" s="31" t="str">
        <f>IF(S194="","",IF(T194="","",(1/AC194*(W194/100/2)^(8/3)*(1/AB194*100)^(1/2)*1.65696)*100))</f>
        <v/>
      </c>
      <c r="AE194" s="31" t="str">
        <f>IF(S194="","",IF(T194="","",1/AC194*(W194/100/2)^(2/3)*(1/AB194)^(1/2)*0.70541))</f>
        <v/>
      </c>
      <c r="AF194" s="31" t="str">
        <f>IF(S194="","",IF(T194="","",ROUNDDOWN(AD194/($U$3/8.64),3)))</f>
        <v/>
      </c>
      <c r="AG194" s="32" t="str">
        <f>IF(S194="","",IF(T194="","",ROUNDDOWN(AF194*10000/$AJ$3,0)))</f>
        <v/>
      </c>
      <c r="AH194" s="33" t="str">
        <f t="shared" si="2331"/>
        <v/>
      </c>
      <c r="AI194" s="41" t="str">
        <f>IF(S194="","",Z194)</f>
        <v/>
      </c>
      <c r="AJ194" s="43" t="str">
        <f>IF(S194="","",AI194*$AJ$3/10000)</f>
        <v/>
      </c>
      <c r="AK194" s="33" t="str">
        <f>IF(S194="","",IF(T194="","",IF(AND(T194=1,AE194&gt;1),"NG",IF(AH194="＞","OK","NG"))))</f>
        <v/>
      </c>
    </row>
    <row r="195" spans="1:37" ht="15.75" customHeight="1" x14ac:dyDescent="0.15">
      <c r="A195" s="92"/>
      <c r="B195" s="93"/>
      <c r="C195" s="59"/>
      <c r="D195" s="61"/>
      <c r="E195" s="94"/>
      <c r="F195" s="95"/>
      <c r="G195" s="95"/>
      <c r="H195" s="96"/>
      <c r="I195" s="54"/>
      <c r="J195" s="46"/>
      <c r="K195" s="97"/>
      <c r="L195" s="57"/>
      <c r="M195" s="44"/>
      <c r="N195" s="44"/>
      <c r="O195" s="42"/>
      <c r="P195" s="50"/>
      <c r="Q195" s="42"/>
      <c r="R195" s="52"/>
      <c r="S195" s="98"/>
      <c r="T195" s="99">
        <v>2</v>
      </c>
      <c r="U195" s="34" t="str">
        <f>IF(S194="","",IF(T194=T195,"〃",IF(T195=1,"素焼土管",IF(T195=2,"合成樹脂管",IF(T195=3,"無孔管","")))))</f>
        <v/>
      </c>
      <c r="V195" s="35"/>
      <c r="W195" s="100"/>
      <c r="X195" s="101"/>
      <c r="Y195" s="95"/>
      <c r="Z195" s="42"/>
      <c r="AA195" s="46"/>
      <c r="AB195" s="97"/>
      <c r="AC195" s="36" t="str">
        <f>IF(S194="","",IF(T195=1,0.013,0.012))</f>
        <v/>
      </c>
      <c r="AD195" s="37" t="str">
        <f>IF(S194="","",(1/AC195*(W195/100/2)^(8/3)*(1/AB194*100)^(1/2)*1.65696)*100)</f>
        <v/>
      </c>
      <c r="AE195" s="37" t="str">
        <f>IF(S194="","",1/AC195*(W195/100/2)^(2/3)*(1/AB194)^(1/2)*0.70541)</f>
        <v/>
      </c>
      <c r="AF195" s="37" t="str">
        <f>IF(S194="","",ROUNDDOWN(AD195/($U$3/8.64),3))</f>
        <v/>
      </c>
      <c r="AG195" s="38" t="str">
        <f>IF(S194="","",ROUNDDOWN(AF195*10000/$AJ$3,0))</f>
        <v/>
      </c>
      <c r="AH195" s="39" t="str">
        <f t="shared" ref="AH195" si="2347">IF(S194="","",IF(AG195&gt;AI194,"＞",IF(AG195=AI194,"=","＜")))</f>
        <v/>
      </c>
      <c r="AI195" s="42"/>
      <c r="AJ195" s="44"/>
      <c r="AK195" s="39" t="str">
        <f>IF(S194="","",IF(AND(T195=1,AE195&gt;1),"NG",IF(AH195="＞","OK","NG")))</f>
        <v/>
      </c>
    </row>
    <row r="196" spans="1:37" ht="15.75" customHeight="1" x14ac:dyDescent="0.15">
      <c r="A196" s="80"/>
      <c r="B196" s="81">
        <v>2</v>
      </c>
      <c r="C196" s="58" t="str">
        <f>IF(A196="","",IF(B196=1,"素　焼土　管",IF(B196=2,"合　成樹脂管",IF(B196=3,"無孔管",""))))</f>
        <v/>
      </c>
      <c r="D196" s="60"/>
      <c r="E196" s="82"/>
      <c r="F196" s="83"/>
      <c r="G196" s="83"/>
      <c r="H196" s="84"/>
      <c r="I196" s="53" t="str">
        <f>IF(A196="","",F196-G196+H196)</f>
        <v/>
      </c>
      <c r="J196" s="55" t="str">
        <f>IF(A196="",""," 1/")</f>
        <v/>
      </c>
      <c r="K196" s="85"/>
      <c r="L196" s="56" t="str">
        <f>IF(A196="","",IF(B196=1,0.013,0.012))</f>
        <v/>
      </c>
      <c r="M196" s="47" t="str">
        <f>IF(A196="","",(1/L196*(E196/100/2)^(8/3)*(1/K196*100)^(1/2)*1.65696)*100)</f>
        <v/>
      </c>
      <c r="N196" s="47" t="str">
        <f>IF(A196="","",1/L196*(E196/100/2)^(2/3)*(1/K196)^(1/2)*0.70541)</f>
        <v/>
      </c>
      <c r="O196" s="48" t="str">
        <f>IF(A196="","",ROUNDDOWN(M196/($U$3/8.64)*10000/$AJ$3,0))</f>
        <v/>
      </c>
      <c r="P196" s="49" t="str">
        <f>IF(A196="","",IF(O196&gt;Q196,"＞","＜"))</f>
        <v/>
      </c>
      <c r="Q196" s="48" t="str">
        <f>IF(A196="","",I196)</f>
        <v/>
      </c>
      <c r="R196" s="51" t="str">
        <f>IF(A196="","",IF(P196="＞","OK","NG"))</f>
        <v/>
      </c>
      <c r="S196" s="86"/>
      <c r="T196" s="87"/>
      <c r="U196" s="28" t="str">
        <f>IF(S196="","",IF(T196=1,"素焼土管",IF(T196=2,"合成樹脂管",IF(T196=3,"無孔管",""))))</f>
        <v/>
      </c>
      <c r="V196" s="29"/>
      <c r="W196" s="88"/>
      <c r="X196" s="89"/>
      <c r="Y196" s="90"/>
      <c r="Z196" s="41" t="str">
        <f>IF(S196="","",IF(AND(T197=3,I196=""),Z194+Y196,IF(AND(Z194="",I194=""),I196+Y196,IF(AND(T197=3,I196&gt;0,Z194&gt;0),I196+Z194+Y196,IF(Z194="",I194+I196+X196+Y196,IF(I196="",Z194+X196+Y196,Z194+I196+X196+Y196))))))</f>
        <v/>
      </c>
      <c r="AA196" s="45" t="str">
        <f>IF(AB196="",""," 1/")</f>
        <v/>
      </c>
      <c r="AB196" s="91"/>
      <c r="AC196" s="30" t="str">
        <f>IF(S196="","",IF(T196="","",IF(T196=1,0.013,0.012)))</f>
        <v/>
      </c>
      <c r="AD196" s="31" t="str">
        <f>IF(S196="","",IF(T196="","",(1/AC196*(W196/100/2)^(8/3)*(1/AB196*100)^(1/2)*1.65696)*100))</f>
        <v/>
      </c>
      <c r="AE196" s="31" t="str">
        <f>IF(S196="","",IF(T196="","",1/AC196*(W196/100/2)^(2/3)*(1/AB196)^(1/2)*0.70541))</f>
        <v/>
      </c>
      <c r="AF196" s="31" t="str">
        <f>IF(S196="","",IF(T196="","",ROUNDDOWN(AD196/($U$3/8.64),3)))</f>
        <v/>
      </c>
      <c r="AG196" s="32" t="str">
        <f>IF(S196="","",IF(T196="","",ROUNDDOWN(AF196*10000/$AJ$3,0)))</f>
        <v/>
      </c>
      <c r="AH196" s="33" t="str">
        <f t="shared" si="2331"/>
        <v/>
      </c>
      <c r="AI196" s="41" t="str">
        <f>IF(S196="","",Z196)</f>
        <v/>
      </c>
      <c r="AJ196" s="43" t="str">
        <f>IF(S196="","",AI196*$AJ$3/10000)</f>
        <v/>
      </c>
      <c r="AK196" s="33" t="str">
        <f>IF(S196="","",IF(T196="","",IF(AND(T196=1,AE196&gt;1),"NG",IF(AH196="＞","OK","NG"))))</f>
        <v/>
      </c>
    </row>
    <row r="197" spans="1:37" ht="15.75" customHeight="1" x14ac:dyDescent="0.15">
      <c r="A197" s="92"/>
      <c r="B197" s="93"/>
      <c r="C197" s="59"/>
      <c r="D197" s="61"/>
      <c r="E197" s="94"/>
      <c r="F197" s="95"/>
      <c r="G197" s="95"/>
      <c r="H197" s="96"/>
      <c r="I197" s="54"/>
      <c r="J197" s="46"/>
      <c r="K197" s="97"/>
      <c r="L197" s="57"/>
      <c r="M197" s="44"/>
      <c r="N197" s="44"/>
      <c r="O197" s="42"/>
      <c r="P197" s="50"/>
      <c r="Q197" s="42"/>
      <c r="R197" s="52"/>
      <c r="S197" s="98"/>
      <c r="T197" s="99">
        <v>2</v>
      </c>
      <c r="U197" s="34" t="str">
        <f>IF(S196="","",IF(T196=T197,"〃",IF(T197=1,"素焼土管",IF(T197=2,"合成樹脂管",IF(T197=3,"無孔管","")))))</f>
        <v/>
      </c>
      <c r="V197" s="35"/>
      <c r="W197" s="100"/>
      <c r="X197" s="101"/>
      <c r="Y197" s="95"/>
      <c r="Z197" s="42"/>
      <c r="AA197" s="46"/>
      <c r="AB197" s="97"/>
      <c r="AC197" s="36" t="str">
        <f>IF(S196="","",IF(T197=1,0.013,0.012))</f>
        <v/>
      </c>
      <c r="AD197" s="37" t="str">
        <f>IF(S196="","",(1/AC197*(W197/100/2)^(8/3)*(1/AB196*100)^(1/2)*1.65696)*100)</f>
        <v/>
      </c>
      <c r="AE197" s="37" t="str">
        <f>IF(S196="","",1/AC197*(W197/100/2)^(2/3)*(1/AB196)^(1/2)*0.70541)</f>
        <v/>
      </c>
      <c r="AF197" s="37" t="str">
        <f>IF(S196="","",ROUNDDOWN(AD197/($U$3/8.64),3))</f>
        <v/>
      </c>
      <c r="AG197" s="38" t="str">
        <f>IF(S196="","",ROUNDDOWN(AF197*10000/$AJ$3,0))</f>
        <v/>
      </c>
      <c r="AH197" s="39" t="str">
        <f t="shared" ref="AH197" si="2348">IF(S196="","",IF(AG197&gt;AI196,"＞",IF(AG197=AI196,"=","＜")))</f>
        <v/>
      </c>
      <c r="AI197" s="42"/>
      <c r="AJ197" s="44"/>
      <c r="AK197" s="39" t="str">
        <f>IF(S196="","",IF(AND(T197=1,AE197&gt;1),"NG",IF(AH197="＞","OK","NG")))</f>
        <v/>
      </c>
    </row>
    <row r="198" spans="1:37" ht="15.75" customHeight="1" x14ac:dyDescent="0.15">
      <c r="A198" s="80"/>
      <c r="B198" s="81">
        <v>2</v>
      </c>
      <c r="C198" s="58" t="str">
        <f>IF(A198="","",IF(B198=1,"素　焼土　管",IF(B198=2,"合　成樹脂管",IF(B198=3,"無孔管",""))))</f>
        <v/>
      </c>
      <c r="D198" s="60"/>
      <c r="E198" s="82"/>
      <c r="F198" s="83"/>
      <c r="G198" s="83"/>
      <c r="H198" s="84"/>
      <c r="I198" s="53" t="str">
        <f>IF(A198="","",F198-G198+H198)</f>
        <v/>
      </c>
      <c r="J198" s="55" t="str">
        <f>IF(A198="",""," 1/")</f>
        <v/>
      </c>
      <c r="K198" s="85"/>
      <c r="L198" s="56" t="str">
        <f>IF(A198="","",IF(B198=1,0.013,0.012))</f>
        <v/>
      </c>
      <c r="M198" s="47" t="str">
        <f>IF(A198="","",(1/L198*(E198/100/2)^(8/3)*(1/K198*100)^(1/2)*1.65696)*100)</f>
        <v/>
      </c>
      <c r="N198" s="47" t="str">
        <f>IF(A198="","",1/L198*(E198/100/2)^(2/3)*(1/K198)^(1/2)*0.70541)</f>
        <v/>
      </c>
      <c r="O198" s="48" t="str">
        <f>IF(A198="","",ROUNDDOWN(M198/($U$3/8.64)*10000/$AJ$3,0))</f>
        <v/>
      </c>
      <c r="P198" s="49" t="str">
        <f>IF(A198="","",IF(O198&gt;Q198,"＞","＜"))</f>
        <v/>
      </c>
      <c r="Q198" s="48" t="str">
        <f>IF(A198="","",I198)</f>
        <v/>
      </c>
      <c r="R198" s="51" t="str">
        <f>IF(A198="","",IF(P198="＞","OK","NG"))</f>
        <v/>
      </c>
      <c r="S198" s="86"/>
      <c r="T198" s="87"/>
      <c r="U198" s="28" t="str">
        <f>IF(S198="","",IF(T198=1,"素焼土管",IF(T198=2,"合成樹脂管",IF(T198=3,"無孔管",""))))</f>
        <v/>
      </c>
      <c r="V198" s="29"/>
      <c r="W198" s="88"/>
      <c r="X198" s="89"/>
      <c r="Y198" s="90"/>
      <c r="Z198" s="41" t="str">
        <f>IF(S198="","",IF(AND(T199=3,I198=""),Z196+Y198,IF(AND(Z196="",I196=""),I198+Y198,IF(AND(T199=3,I198&gt;0,Z196&gt;0),I198+Z196+Y198,IF(Z196="",I196+I198+X198+Y198,IF(I198="",Z196+X198+Y198,Z196+I198+X198+Y198))))))</f>
        <v/>
      </c>
      <c r="AA198" s="45" t="str">
        <f>IF(AB198="",""," 1/")</f>
        <v/>
      </c>
      <c r="AB198" s="91"/>
      <c r="AC198" s="30" t="str">
        <f>IF(S198="","",IF(T198="","",IF(T198=1,0.013,0.012)))</f>
        <v/>
      </c>
      <c r="AD198" s="31" t="str">
        <f>IF(S198="","",IF(T198="","",(1/AC198*(W198/100/2)^(8/3)*(1/AB198*100)^(1/2)*1.65696)*100))</f>
        <v/>
      </c>
      <c r="AE198" s="31" t="str">
        <f>IF(S198="","",IF(T198="","",1/AC198*(W198/100/2)^(2/3)*(1/AB198)^(1/2)*0.70541))</f>
        <v/>
      </c>
      <c r="AF198" s="31" t="str">
        <f>IF(S198="","",IF(T198="","",ROUNDDOWN(AD198/($U$3/8.64),3)))</f>
        <v/>
      </c>
      <c r="AG198" s="32" t="str">
        <f>IF(S198="","",IF(T198="","",ROUNDDOWN(AF198*10000/$AJ$3,0)))</f>
        <v/>
      </c>
      <c r="AH198" s="33" t="str">
        <f t="shared" si="2331"/>
        <v/>
      </c>
      <c r="AI198" s="41" t="str">
        <f>IF(S198="","",Z198)</f>
        <v/>
      </c>
      <c r="AJ198" s="43" t="str">
        <f>IF(S198="","",AI198*$AJ$3/10000)</f>
        <v/>
      </c>
      <c r="AK198" s="33" t="str">
        <f>IF(S198="","",IF(T198="","",IF(AND(T198=1,AE198&gt;1),"NG",IF(AH198="＞","OK","NG"))))</f>
        <v/>
      </c>
    </row>
    <row r="199" spans="1:37" ht="15.75" customHeight="1" x14ac:dyDescent="0.15">
      <c r="A199" s="92"/>
      <c r="B199" s="93"/>
      <c r="C199" s="59"/>
      <c r="D199" s="61"/>
      <c r="E199" s="94"/>
      <c r="F199" s="95"/>
      <c r="G199" s="95"/>
      <c r="H199" s="96"/>
      <c r="I199" s="54"/>
      <c r="J199" s="46"/>
      <c r="K199" s="97"/>
      <c r="L199" s="57"/>
      <c r="M199" s="44"/>
      <c r="N199" s="44"/>
      <c r="O199" s="42"/>
      <c r="P199" s="50"/>
      <c r="Q199" s="42"/>
      <c r="R199" s="52"/>
      <c r="S199" s="98"/>
      <c r="T199" s="99">
        <v>2</v>
      </c>
      <c r="U199" s="34" t="str">
        <f>IF(S198="","",IF(T198=T199,"〃",IF(T199=1,"素焼土管",IF(T199=2,"合成樹脂管",IF(T199=3,"無孔管","")))))</f>
        <v/>
      </c>
      <c r="V199" s="35"/>
      <c r="W199" s="100"/>
      <c r="X199" s="101"/>
      <c r="Y199" s="95"/>
      <c r="Z199" s="42"/>
      <c r="AA199" s="46"/>
      <c r="AB199" s="97"/>
      <c r="AC199" s="36" t="str">
        <f>IF(S198="","",IF(T199=1,0.013,0.012))</f>
        <v/>
      </c>
      <c r="AD199" s="37" t="str">
        <f>IF(S198="","",(1/AC199*(W199/100/2)^(8/3)*(1/AB198*100)^(1/2)*1.65696)*100)</f>
        <v/>
      </c>
      <c r="AE199" s="37" t="str">
        <f>IF(S198="","",1/AC199*(W199/100/2)^(2/3)*(1/AB198)^(1/2)*0.70541)</f>
        <v/>
      </c>
      <c r="AF199" s="37" t="str">
        <f>IF(S198="","",ROUNDDOWN(AD199/($U$3/8.64),3))</f>
        <v/>
      </c>
      <c r="AG199" s="38" t="str">
        <f>IF(S198="","",ROUNDDOWN(AF199*10000/$AJ$3,0))</f>
        <v/>
      </c>
      <c r="AH199" s="39" t="str">
        <f t="shared" ref="AH199" si="2349">IF(S198="","",IF(AG199&gt;AI198,"＞",IF(AG199=AI198,"=","＜")))</f>
        <v/>
      </c>
      <c r="AI199" s="42"/>
      <c r="AJ199" s="44"/>
      <c r="AK199" s="39" t="str">
        <f>IF(S198="","",IF(AND(T199=1,AE199&gt;1),"NG",IF(AH199="＞","OK","NG")))</f>
        <v/>
      </c>
    </row>
    <row r="200" spans="1:37" ht="15.75" customHeight="1" x14ac:dyDescent="0.15">
      <c r="A200" s="80"/>
      <c r="B200" s="81">
        <v>2</v>
      </c>
      <c r="C200" s="58" t="str">
        <f>IF(A200="","",IF(B200=1,"素　焼土　管",IF(B200=2,"合　成樹脂管",IF(B200=3,"無孔管",""))))</f>
        <v/>
      </c>
      <c r="D200" s="60"/>
      <c r="E200" s="82"/>
      <c r="F200" s="83"/>
      <c r="G200" s="83"/>
      <c r="H200" s="84"/>
      <c r="I200" s="53" t="str">
        <f>IF(A200="","",F200-G200+H200)</f>
        <v/>
      </c>
      <c r="J200" s="55" t="str">
        <f>IF(A200="",""," 1/")</f>
        <v/>
      </c>
      <c r="K200" s="85"/>
      <c r="L200" s="56" t="str">
        <f>IF(A200="","",IF(B200=1,0.013,0.012))</f>
        <v/>
      </c>
      <c r="M200" s="47" t="str">
        <f>IF(A200="","",(1/L200*(E200/100/2)^(8/3)*(1/K200*100)^(1/2)*1.65696)*100)</f>
        <v/>
      </c>
      <c r="N200" s="47" t="str">
        <f>IF(A200="","",1/L200*(E200/100/2)^(2/3)*(1/K200)^(1/2)*0.70541)</f>
        <v/>
      </c>
      <c r="O200" s="48" t="str">
        <f>IF(A200="","",ROUNDDOWN(M200/($U$3/8.64)*10000/$AJ$3,0))</f>
        <v/>
      </c>
      <c r="P200" s="49" t="str">
        <f>IF(A200="","",IF(O200&gt;Q200,"＞","＜"))</f>
        <v/>
      </c>
      <c r="Q200" s="48" t="str">
        <f>IF(A200="","",I200)</f>
        <v/>
      </c>
      <c r="R200" s="51" t="str">
        <f>IF(A200="","",IF(P200="＞","OK","NG"))</f>
        <v/>
      </c>
      <c r="S200" s="86"/>
      <c r="T200" s="87"/>
      <c r="U200" s="28" t="str">
        <f>IF(S200="","",IF(T200=1,"素焼土管",IF(T200=2,"合成樹脂管",IF(T200=3,"無孔管",""))))</f>
        <v/>
      </c>
      <c r="V200" s="29"/>
      <c r="W200" s="88"/>
      <c r="X200" s="89"/>
      <c r="Y200" s="90"/>
      <c r="Z200" s="41" t="str">
        <f>IF(S200="","",IF(AND(T201=3,I200=""),Z198+Y200,IF(AND(Z198="",I198=""),I200+Y200,IF(AND(T201=3,I200&gt;0,Z198&gt;0),I200+Z198+Y200,IF(Z198="",I198+I200+X200+Y200,IF(I200="",Z198+X200+Y200,Z198+I200+X200+Y200))))))</f>
        <v/>
      </c>
      <c r="AA200" s="45" t="str">
        <f>IF(AB200="",""," 1/")</f>
        <v/>
      </c>
      <c r="AB200" s="91"/>
      <c r="AC200" s="30" t="str">
        <f>IF(S200="","",IF(T200="","",IF(T200=1,0.013,0.012)))</f>
        <v/>
      </c>
      <c r="AD200" s="31" t="str">
        <f>IF(S200="","",IF(T200="","",(1/AC200*(W200/100/2)^(8/3)*(1/AB200*100)^(1/2)*1.65696)*100))</f>
        <v/>
      </c>
      <c r="AE200" s="31" t="str">
        <f>IF(S200="","",IF(T200="","",1/AC200*(W200/100/2)^(2/3)*(1/AB200)^(1/2)*0.70541))</f>
        <v/>
      </c>
      <c r="AF200" s="31" t="str">
        <f>IF(S200="","",IF(T200="","",ROUNDDOWN(AD200/($U$3/8.64),3)))</f>
        <v/>
      </c>
      <c r="AG200" s="32" t="str">
        <f>IF(S200="","",IF(T200="","",ROUNDDOWN(AF200*10000/$AJ$3,0)))</f>
        <v/>
      </c>
      <c r="AH200" s="33" t="str">
        <f t="shared" si="2331"/>
        <v/>
      </c>
      <c r="AI200" s="41" t="str">
        <f>IF(S200="","",Z200)</f>
        <v/>
      </c>
      <c r="AJ200" s="43" t="str">
        <f>IF(S200="","",AI200*$AJ$3/10000)</f>
        <v/>
      </c>
      <c r="AK200" s="33" t="str">
        <f>IF(S200="","",IF(T200="","",IF(AND(T200=1,AE200&gt;1),"NG",IF(AH200="＞","OK","NG"))))</f>
        <v/>
      </c>
    </row>
    <row r="201" spans="1:37" ht="15.75" customHeight="1" x14ac:dyDescent="0.15">
      <c r="A201" s="92"/>
      <c r="B201" s="93"/>
      <c r="C201" s="59"/>
      <c r="D201" s="61"/>
      <c r="E201" s="94"/>
      <c r="F201" s="95"/>
      <c r="G201" s="95"/>
      <c r="H201" s="96"/>
      <c r="I201" s="54"/>
      <c r="J201" s="46"/>
      <c r="K201" s="97"/>
      <c r="L201" s="57"/>
      <c r="M201" s="44"/>
      <c r="N201" s="44"/>
      <c r="O201" s="42"/>
      <c r="P201" s="50"/>
      <c r="Q201" s="42"/>
      <c r="R201" s="52"/>
      <c r="S201" s="98"/>
      <c r="T201" s="99">
        <v>2</v>
      </c>
      <c r="U201" s="34" t="str">
        <f>IF(S200="","",IF(T200=T201,"〃",IF(T201=1,"素焼土管",IF(T201=2,"合成樹脂管",IF(T201=3,"無孔管","")))))</f>
        <v/>
      </c>
      <c r="V201" s="35"/>
      <c r="W201" s="100"/>
      <c r="X201" s="101"/>
      <c r="Y201" s="95"/>
      <c r="Z201" s="42"/>
      <c r="AA201" s="46"/>
      <c r="AB201" s="97"/>
      <c r="AC201" s="36" t="str">
        <f>IF(S200="","",IF(T201=1,0.013,0.012))</f>
        <v/>
      </c>
      <c r="AD201" s="37" t="str">
        <f>IF(S200="","",(1/AC201*(W201/100/2)^(8/3)*(1/AB200*100)^(1/2)*1.65696)*100)</f>
        <v/>
      </c>
      <c r="AE201" s="37" t="str">
        <f>IF(S200="","",1/AC201*(W201/100/2)^(2/3)*(1/AB200)^(1/2)*0.70541)</f>
        <v/>
      </c>
      <c r="AF201" s="37" t="str">
        <f>IF(S200="","",ROUNDDOWN(AD201/($U$3/8.64),3))</f>
        <v/>
      </c>
      <c r="AG201" s="38" t="str">
        <f>IF(S200="","",ROUNDDOWN(AF201*10000/$AJ$3,0))</f>
        <v/>
      </c>
      <c r="AH201" s="39" t="str">
        <f t="shared" ref="AH201" si="2350">IF(S200="","",IF(AG201&gt;AI200,"＞",IF(AG201=AI200,"=","＜")))</f>
        <v/>
      </c>
      <c r="AI201" s="42"/>
      <c r="AJ201" s="44"/>
      <c r="AK201" s="39" t="str">
        <f>IF(S200="","",IF(AND(T201=1,AE201&gt;1),"NG",IF(AH201="＞","OK","NG")))</f>
        <v/>
      </c>
    </row>
    <row r="202" spans="1:37" ht="15.75" customHeight="1" x14ac:dyDescent="0.15">
      <c r="A202" s="80"/>
      <c r="B202" s="81">
        <v>2</v>
      </c>
      <c r="C202" s="58" t="str">
        <f>IF(A202="","",IF(B202=1,"素　焼土　管",IF(B202=2,"合　成樹脂管",IF(B202=3,"無孔管",""))))</f>
        <v/>
      </c>
      <c r="D202" s="60"/>
      <c r="E202" s="82"/>
      <c r="F202" s="83"/>
      <c r="G202" s="83"/>
      <c r="H202" s="84"/>
      <c r="I202" s="53" t="str">
        <f>IF(A202="","",F202-G202+H202)</f>
        <v/>
      </c>
      <c r="J202" s="55" t="str">
        <f>IF(A202="",""," 1/")</f>
        <v/>
      </c>
      <c r="K202" s="85"/>
      <c r="L202" s="56" t="str">
        <f>IF(A202="","",IF(B202=1,0.013,0.012))</f>
        <v/>
      </c>
      <c r="M202" s="47" t="str">
        <f>IF(A202="","",(1/L202*(E202/100/2)^(8/3)*(1/K202*100)^(1/2)*1.65696)*100)</f>
        <v/>
      </c>
      <c r="N202" s="47" t="str">
        <f>IF(A202="","",1/L202*(E202/100/2)^(2/3)*(1/K202)^(1/2)*0.70541)</f>
        <v/>
      </c>
      <c r="O202" s="48" t="str">
        <f>IF(A202="","",ROUNDDOWN(M202/($U$3/8.64)*10000/$AJ$3,0))</f>
        <v/>
      </c>
      <c r="P202" s="49" t="str">
        <f>IF(A202="","",IF(O202&gt;Q202,"＞","＜"))</f>
        <v/>
      </c>
      <c r="Q202" s="48" t="str">
        <f>IF(A202="","",I202)</f>
        <v/>
      </c>
      <c r="R202" s="51" t="str">
        <f>IF(A202="","",IF(P202="＞","OK","NG"))</f>
        <v/>
      </c>
      <c r="S202" s="86"/>
      <c r="T202" s="87"/>
      <c r="U202" s="28" t="str">
        <f>IF(S202="","",IF(T202=1,"素焼土管",IF(T202=2,"合成樹脂管",IF(T202=3,"無孔管",""))))</f>
        <v/>
      </c>
      <c r="V202" s="29"/>
      <c r="W202" s="88"/>
      <c r="X202" s="89"/>
      <c r="Y202" s="90"/>
      <c r="Z202" s="41" t="str">
        <f>IF(S202="","",IF(AND(T203=3,I202=""),Z200+Y202,IF(AND(Z200="",I200=""),I202+Y202,IF(AND(T203=3,I202&gt;0,Z200&gt;0),I202+Z200+Y202,IF(Z200="",I200+I202+X202+Y202,IF(I202="",Z200+X202+Y202,Z200+I202+X202+Y202))))))</f>
        <v/>
      </c>
      <c r="AA202" s="45" t="str">
        <f>IF(AB202="",""," 1/")</f>
        <v/>
      </c>
      <c r="AB202" s="91"/>
      <c r="AC202" s="30" t="str">
        <f>IF(S202="","",IF(T202="","",IF(T202=1,0.013,0.012)))</f>
        <v/>
      </c>
      <c r="AD202" s="31" t="str">
        <f>IF(S202="","",IF(T202="","",(1/AC202*(W202/100/2)^(8/3)*(1/AB202*100)^(1/2)*1.65696)*100))</f>
        <v/>
      </c>
      <c r="AE202" s="31" t="str">
        <f>IF(S202="","",IF(T202="","",1/AC202*(W202/100/2)^(2/3)*(1/AB202)^(1/2)*0.70541))</f>
        <v/>
      </c>
      <c r="AF202" s="31" t="str">
        <f>IF(S202="","",IF(T202="","",ROUNDDOWN(AD202/($U$3/8.64),3)))</f>
        <v/>
      </c>
      <c r="AG202" s="32" t="str">
        <f>IF(S202="","",IF(T202="","",ROUNDDOWN(AF202*10000/$AJ$3,0)))</f>
        <v/>
      </c>
      <c r="AH202" s="33" t="str">
        <f t="shared" si="2331"/>
        <v/>
      </c>
      <c r="AI202" s="41" t="str">
        <f>IF(S202="","",Z202)</f>
        <v/>
      </c>
      <c r="AJ202" s="43" t="str">
        <f>IF(S202="","",AI202*$AJ$3/10000)</f>
        <v/>
      </c>
      <c r="AK202" s="33" t="str">
        <f>IF(S202="","",IF(T202="","",IF(AND(T202=1,AE202&gt;1),"NG",IF(AH202="＞","OK","NG"))))</f>
        <v/>
      </c>
    </row>
    <row r="203" spans="1:37" ht="15.75" customHeight="1" x14ac:dyDescent="0.15">
      <c r="A203" s="92"/>
      <c r="B203" s="93"/>
      <c r="C203" s="59"/>
      <c r="D203" s="61"/>
      <c r="E203" s="94"/>
      <c r="F203" s="95"/>
      <c r="G203" s="95"/>
      <c r="H203" s="96"/>
      <c r="I203" s="54"/>
      <c r="J203" s="46"/>
      <c r="K203" s="97"/>
      <c r="L203" s="57"/>
      <c r="M203" s="44"/>
      <c r="N203" s="44"/>
      <c r="O203" s="42"/>
      <c r="P203" s="50"/>
      <c r="Q203" s="42"/>
      <c r="R203" s="52"/>
      <c r="S203" s="98"/>
      <c r="T203" s="99">
        <v>2</v>
      </c>
      <c r="U203" s="34" t="str">
        <f>IF(S202="","",IF(T202=T203,"〃",IF(T203=1,"素焼土管",IF(T203=2,"合成樹脂管",IF(T203=3,"無孔管","")))))</f>
        <v/>
      </c>
      <c r="V203" s="35"/>
      <c r="W203" s="100"/>
      <c r="X203" s="101"/>
      <c r="Y203" s="95"/>
      <c r="Z203" s="42"/>
      <c r="AA203" s="46"/>
      <c r="AB203" s="97"/>
      <c r="AC203" s="36" t="str">
        <f>IF(S202="","",IF(T203=1,0.013,0.012))</f>
        <v/>
      </c>
      <c r="AD203" s="37" t="str">
        <f>IF(S202="","",(1/AC203*(W203/100/2)^(8/3)*(1/AB202*100)^(1/2)*1.65696)*100)</f>
        <v/>
      </c>
      <c r="AE203" s="37" t="str">
        <f>IF(S202="","",1/AC203*(W203/100/2)^(2/3)*(1/AB202)^(1/2)*0.70541)</f>
        <v/>
      </c>
      <c r="AF203" s="37" t="str">
        <f>IF(S202="","",ROUNDDOWN(AD203/($U$3/8.64),3))</f>
        <v/>
      </c>
      <c r="AG203" s="38" t="str">
        <f>IF(S202="","",ROUNDDOWN(AF203*10000/$AJ$3,0))</f>
        <v/>
      </c>
      <c r="AH203" s="39" t="str">
        <f t="shared" ref="AH203" si="2351">IF(S202="","",IF(AG203&gt;AI202,"＞",IF(AG203=AI202,"=","＜")))</f>
        <v/>
      </c>
      <c r="AI203" s="42"/>
      <c r="AJ203" s="44"/>
      <c r="AK203" s="39" t="str">
        <f>IF(S202="","",IF(AND(T203=1,AE203&gt;1),"NG",IF(AH203="＞","OK","NG")))</f>
        <v/>
      </c>
    </row>
    <row r="204" spans="1:37" ht="15.75" customHeight="1" x14ac:dyDescent="0.15">
      <c r="A204" s="80"/>
      <c r="B204" s="81">
        <v>2</v>
      </c>
      <c r="C204" s="58" t="str">
        <f>IF(A204="","",IF(B204=1,"素　焼土　管",IF(B204=2,"合　成樹脂管",IF(B204=3,"無孔管",""))))</f>
        <v/>
      </c>
      <c r="D204" s="60"/>
      <c r="E204" s="82"/>
      <c r="F204" s="83"/>
      <c r="G204" s="83"/>
      <c r="H204" s="84"/>
      <c r="I204" s="53" t="str">
        <f>IF(A204="","",F204-G204+H204)</f>
        <v/>
      </c>
      <c r="J204" s="55" t="str">
        <f>IF(A204="",""," 1/")</f>
        <v/>
      </c>
      <c r="K204" s="85"/>
      <c r="L204" s="56" t="str">
        <f>IF(A204="","",IF(B204=1,0.013,0.012))</f>
        <v/>
      </c>
      <c r="M204" s="47" t="str">
        <f>IF(A204="","",(1/L204*(E204/100/2)^(8/3)*(1/K204*100)^(1/2)*1.65696)*100)</f>
        <v/>
      </c>
      <c r="N204" s="47" t="str">
        <f>IF(A204="","",1/L204*(E204/100/2)^(2/3)*(1/K204)^(1/2)*0.70541)</f>
        <v/>
      </c>
      <c r="O204" s="48" t="str">
        <f>IF(A204="","",ROUNDDOWN(M204/($U$3/8.64)*10000/$AJ$3,0))</f>
        <v/>
      </c>
      <c r="P204" s="49" t="str">
        <f>IF(A204="","",IF(O204&gt;Q204,"＞","＜"))</f>
        <v/>
      </c>
      <c r="Q204" s="48" t="str">
        <f>IF(A204="","",I204)</f>
        <v/>
      </c>
      <c r="R204" s="51" t="str">
        <f>IF(A204="","",IF(P204="＞","OK","NG"))</f>
        <v/>
      </c>
      <c r="S204" s="86"/>
      <c r="T204" s="87"/>
      <c r="U204" s="28" t="str">
        <f>IF(S204="","",IF(T204=1,"素焼土管",IF(T204=2,"合成樹脂管",IF(T204=3,"無孔管",""))))</f>
        <v/>
      </c>
      <c r="V204" s="29"/>
      <c r="W204" s="88"/>
      <c r="X204" s="89"/>
      <c r="Y204" s="90"/>
      <c r="Z204" s="41" t="str">
        <f>IF(S204="","",IF(AND(T205=3,I204=""),Z202+Y204,IF(AND(Z202="",I202=""),I204+Y204,IF(AND(T205=3,I204&gt;0,Z202&gt;0),I204+Z202+Y204,IF(Z202="",I202+I204+X204+Y204,IF(I204="",Z202+X204+Y204,Z202+I204+X204+Y204))))))</f>
        <v/>
      </c>
      <c r="AA204" s="45" t="str">
        <f>IF(AB204="",""," 1/")</f>
        <v/>
      </c>
      <c r="AB204" s="91"/>
      <c r="AC204" s="30" t="str">
        <f>IF(S204="","",IF(T204="","",IF(T204=1,0.013,0.012)))</f>
        <v/>
      </c>
      <c r="AD204" s="31" t="str">
        <f>IF(S204="","",IF(T204="","",(1/AC204*(W204/100/2)^(8/3)*(1/AB204*100)^(1/2)*1.65696)*100))</f>
        <v/>
      </c>
      <c r="AE204" s="31" t="str">
        <f>IF(S204="","",IF(T204="","",1/AC204*(W204/100/2)^(2/3)*(1/AB204)^(1/2)*0.70541))</f>
        <v/>
      </c>
      <c r="AF204" s="31" t="str">
        <f>IF(S204="","",IF(T204="","",ROUNDDOWN(AD204/($U$3/8.64),3)))</f>
        <v/>
      </c>
      <c r="AG204" s="32" t="str">
        <f>IF(S204="","",IF(T204="","",ROUNDDOWN(AF204*10000/$AJ$3,0)))</f>
        <v/>
      </c>
      <c r="AH204" s="33" t="str">
        <f t="shared" ref="AH204:AH266" si="2352">IF(S204="","",IF(T204="","",IF(AG204&gt;AI204,"＞","＜")))</f>
        <v/>
      </c>
      <c r="AI204" s="41" t="str">
        <f>IF(S204="","",Z204)</f>
        <v/>
      </c>
      <c r="AJ204" s="43" t="str">
        <f>IF(S204="","",AI204*$AJ$3/10000)</f>
        <v/>
      </c>
      <c r="AK204" s="33" t="str">
        <f>IF(S204="","",IF(T204="","",IF(AND(T204=1,AE204&gt;1),"NG",IF(AH204="＞","OK","NG"))))</f>
        <v/>
      </c>
    </row>
    <row r="205" spans="1:37" ht="15.75" customHeight="1" x14ac:dyDescent="0.15">
      <c r="A205" s="92"/>
      <c r="B205" s="93"/>
      <c r="C205" s="59"/>
      <c r="D205" s="61"/>
      <c r="E205" s="94"/>
      <c r="F205" s="95"/>
      <c r="G205" s="95"/>
      <c r="H205" s="96"/>
      <c r="I205" s="54"/>
      <c r="J205" s="46"/>
      <c r="K205" s="97"/>
      <c r="L205" s="57"/>
      <c r="M205" s="44"/>
      <c r="N205" s="44"/>
      <c r="O205" s="42"/>
      <c r="P205" s="50"/>
      <c r="Q205" s="42"/>
      <c r="R205" s="52"/>
      <c r="S205" s="98"/>
      <c r="T205" s="99">
        <v>2</v>
      </c>
      <c r="U205" s="34" t="str">
        <f>IF(S204="","",IF(T204=T205,"〃",IF(T205=1,"素焼土管",IF(T205=2,"合成樹脂管",IF(T205=3,"無孔管","")))))</f>
        <v/>
      </c>
      <c r="V205" s="35"/>
      <c r="W205" s="100"/>
      <c r="X205" s="101"/>
      <c r="Y205" s="95"/>
      <c r="Z205" s="42"/>
      <c r="AA205" s="46"/>
      <c r="AB205" s="97"/>
      <c r="AC205" s="36" t="str">
        <f>IF(S204="","",IF(T205=1,0.013,0.012))</f>
        <v/>
      </c>
      <c r="AD205" s="37" t="str">
        <f>IF(S204="","",(1/AC205*(W205/100/2)^(8/3)*(1/AB204*100)^(1/2)*1.65696)*100)</f>
        <v/>
      </c>
      <c r="AE205" s="37" t="str">
        <f>IF(S204="","",1/AC205*(W205/100/2)^(2/3)*(1/AB204)^(1/2)*0.70541)</f>
        <v/>
      </c>
      <c r="AF205" s="37" t="str">
        <f>IF(S204="","",ROUNDDOWN(AD205/($U$3/8.64),3))</f>
        <v/>
      </c>
      <c r="AG205" s="38" t="str">
        <f>IF(S204="","",ROUNDDOWN(AF205*10000/$AJ$3,0))</f>
        <v/>
      </c>
      <c r="AH205" s="39" t="str">
        <f t="shared" ref="AH205" si="2353">IF(S204="","",IF(AG205&gt;AI204,"＞",IF(AG205=AI204,"=","＜")))</f>
        <v/>
      </c>
      <c r="AI205" s="42"/>
      <c r="AJ205" s="44"/>
      <c r="AK205" s="39" t="str">
        <f>IF(S204="","",IF(AND(T205=1,AE205&gt;1),"NG",IF(AH205="＞","OK","NG")))</f>
        <v/>
      </c>
    </row>
    <row r="206" spans="1:37" ht="15.75" customHeight="1" x14ac:dyDescent="0.15">
      <c r="A206" s="80"/>
      <c r="B206" s="81">
        <v>2</v>
      </c>
      <c r="C206" s="58" t="str">
        <f>IF(A206="","",IF(B206=1,"素　焼土　管",IF(B206=2,"合　成樹脂管",IF(B206=3,"無孔管",""))))</f>
        <v/>
      </c>
      <c r="D206" s="60"/>
      <c r="E206" s="82"/>
      <c r="F206" s="83"/>
      <c r="G206" s="83"/>
      <c r="H206" s="84"/>
      <c r="I206" s="53" t="str">
        <f>IF(A206="","",F206-G206+H206)</f>
        <v/>
      </c>
      <c r="J206" s="55" t="str">
        <f>IF(A206="",""," 1/")</f>
        <v/>
      </c>
      <c r="K206" s="85"/>
      <c r="L206" s="56" t="str">
        <f>IF(A206="","",IF(B206=1,0.013,0.012))</f>
        <v/>
      </c>
      <c r="M206" s="47" t="str">
        <f>IF(A206="","",(1/L206*(E206/100/2)^(8/3)*(1/K206*100)^(1/2)*1.65696)*100)</f>
        <v/>
      </c>
      <c r="N206" s="47" t="str">
        <f>IF(A206="","",1/L206*(E206/100/2)^(2/3)*(1/K206)^(1/2)*0.70541)</f>
        <v/>
      </c>
      <c r="O206" s="48" t="str">
        <f>IF(A206="","",ROUNDDOWN(M206/($U$3/8.64)*10000/$AJ$3,0))</f>
        <v/>
      </c>
      <c r="P206" s="49" t="str">
        <f>IF(A206="","",IF(O206&gt;Q206,"＞","＜"))</f>
        <v/>
      </c>
      <c r="Q206" s="48" t="str">
        <f>IF(A206="","",I206)</f>
        <v/>
      </c>
      <c r="R206" s="51" t="str">
        <f>IF(A206="","",IF(P206="＞","OK","NG"))</f>
        <v/>
      </c>
      <c r="S206" s="86"/>
      <c r="T206" s="87"/>
      <c r="U206" s="28" t="str">
        <f>IF(S206="","",IF(T206=1,"素焼土管",IF(T206=2,"合成樹脂管",IF(T206=3,"無孔管",""))))</f>
        <v/>
      </c>
      <c r="V206" s="29"/>
      <c r="W206" s="88"/>
      <c r="X206" s="89"/>
      <c r="Y206" s="90"/>
      <c r="Z206" s="41" t="str">
        <f>IF(S206="","",IF(AND(T207=3,I206=""),Z204+Y206,IF(AND(Z204="",I204=""),I206+Y206,IF(AND(T207=3,I206&gt;0,Z204&gt;0),I206+Z204+Y206,IF(Z204="",I204+I206+X206+Y206,IF(I206="",Z204+X206+Y206,Z204+I206+X206+Y206))))))</f>
        <v/>
      </c>
      <c r="AA206" s="45" t="str">
        <f>IF(AB206="",""," 1/")</f>
        <v/>
      </c>
      <c r="AB206" s="91"/>
      <c r="AC206" s="30" t="str">
        <f>IF(S206="","",IF(T206="","",IF(T206=1,0.013,0.012)))</f>
        <v/>
      </c>
      <c r="AD206" s="31" t="str">
        <f>IF(S206="","",IF(T206="","",(1/AC206*(W206/100/2)^(8/3)*(1/AB206*100)^(1/2)*1.65696)*100))</f>
        <v/>
      </c>
      <c r="AE206" s="31" t="str">
        <f>IF(S206="","",IF(T206="","",1/AC206*(W206/100/2)^(2/3)*(1/AB206)^(1/2)*0.70541))</f>
        <v/>
      </c>
      <c r="AF206" s="31" t="str">
        <f>IF(S206="","",IF(T206="","",ROUNDDOWN(AD206/($U$3/8.64),3)))</f>
        <v/>
      </c>
      <c r="AG206" s="32" t="str">
        <f>IF(S206="","",IF(T206="","",ROUNDDOWN(AF206*10000/$AJ$3,0)))</f>
        <v/>
      </c>
      <c r="AH206" s="33" t="str">
        <f t="shared" si="2352"/>
        <v/>
      </c>
      <c r="AI206" s="41" t="str">
        <f>IF(S206="","",Z206)</f>
        <v/>
      </c>
      <c r="AJ206" s="43" t="str">
        <f>IF(S206="","",AI206*$AJ$3/10000)</f>
        <v/>
      </c>
      <c r="AK206" s="33" t="str">
        <f>IF(S206="","",IF(T206="","",IF(AND(T206=1,AE206&gt;1),"NG",IF(AH206="＞","OK","NG"))))</f>
        <v/>
      </c>
    </row>
    <row r="207" spans="1:37" ht="15.75" customHeight="1" x14ac:dyDescent="0.15">
      <c r="A207" s="92"/>
      <c r="B207" s="93"/>
      <c r="C207" s="59"/>
      <c r="D207" s="61"/>
      <c r="E207" s="94"/>
      <c r="F207" s="95"/>
      <c r="G207" s="95"/>
      <c r="H207" s="96"/>
      <c r="I207" s="54"/>
      <c r="J207" s="46"/>
      <c r="K207" s="97"/>
      <c r="L207" s="57"/>
      <c r="M207" s="44"/>
      <c r="N207" s="44"/>
      <c r="O207" s="42"/>
      <c r="P207" s="50"/>
      <c r="Q207" s="42"/>
      <c r="R207" s="52"/>
      <c r="S207" s="98"/>
      <c r="T207" s="99">
        <v>2</v>
      </c>
      <c r="U207" s="34" t="str">
        <f>IF(S206="","",IF(T206=T207,"〃",IF(T207=1,"素焼土管",IF(T207=2,"合成樹脂管",IF(T207=3,"無孔管","")))))</f>
        <v/>
      </c>
      <c r="V207" s="35"/>
      <c r="W207" s="100"/>
      <c r="X207" s="101"/>
      <c r="Y207" s="95"/>
      <c r="Z207" s="42"/>
      <c r="AA207" s="46"/>
      <c r="AB207" s="97"/>
      <c r="AC207" s="36" t="str">
        <f>IF(S206="","",IF(T207=1,0.013,0.012))</f>
        <v/>
      </c>
      <c r="AD207" s="37" t="str">
        <f>IF(S206="","",(1/AC207*(W207/100/2)^(8/3)*(1/AB206*100)^(1/2)*1.65696)*100)</f>
        <v/>
      </c>
      <c r="AE207" s="37" t="str">
        <f>IF(S206="","",1/AC207*(W207/100/2)^(2/3)*(1/AB206)^(1/2)*0.70541)</f>
        <v/>
      </c>
      <c r="AF207" s="37" t="str">
        <f>IF(S206="","",ROUNDDOWN(AD207/($U$3/8.64),3))</f>
        <v/>
      </c>
      <c r="AG207" s="38" t="str">
        <f>IF(S206="","",ROUNDDOWN(AF207*10000/$AJ$3,0))</f>
        <v/>
      </c>
      <c r="AH207" s="39" t="str">
        <f t="shared" ref="AH207" si="2354">IF(S206="","",IF(AG207&gt;AI206,"＞",IF(AG207=AI206,"=","＜")))</f>
        <v/>
      </c>
      <c r="AI207" s="42"/>
      <c r="AJ207" s="44"/>
      <c r="AK207" s="39" t="str">
        <f>IF(S206="","",IF(AND(T207=1,AE207&gt;1),"NG",IF(AH207="＞","OK","NG")))</f>
        <v/>
      </c>
    </row>
    <row r="208" spans="1:37" ht="15.75" customHeight="1" x14ac:dyDescent="0.15">
      <c r="A208" s="80"/>
      <c r="B208" s="81">
        <v>2</v>
      </c>
      <c r="C208" s="58" t="str">
        <f>IF(A208="","",IF(B208=1,"素　焼土　管",IF(B208=2,"合　成樹脂管",IF(B208=3,"無孔管",""))))</f>
        <v/>
      </c>
      <c r="D208" s="60"/>
      <c r="E208" s="82"/>
      <c r="F208" s="83"/>
      <c r="G208" s="83"/>
      <c r="H208" s="84"/>
      <c r="I208" s="53" t="str">
        <f>IF(A208="","",F208-G208+H208)</f>
        <v/>
      </c>
      <c r="J208" s="55" t="str">
        <f>IF(A208="",""," 1/")</f>
        <v/>
      </c>
      <c r="K208" s="85"/>
      <c r="L208" s="56" t="str">
        <f>IF(A208="","",IF(B208=1,0.013,0.012))</f>
        <v/>
      </c>
      <c r="M208" s="47" t="str">
        <f>IF(A208="","",(1/L208*(E208/100/2)^(8/3)*(1/K208*100)^(1/2)*1.65696)*100)</f>
        <v/>
      </c>
      <c r="N208" s="47" t="str">
        <f>IF(A208="","",1/L208*(E208/100/2)^(2/3)*(1/K208)^(1/2)*0.70541)</f>
        <v/>
      </c>
      <c r="O208" s="48" t="str">
        <f>IF(A208="","",ROUNDDOWN(M208/($U$3/8.64)*10000/$AJ$3,0))</f>
        <v/>
      </c>
      <c r="P208" s="49" t="str">
        <f>IF(A208="","",IF(O208&gt;Q208,"＞","＜"))</f>
        <v/>
      </c>
      <c r="Q208" s="48" t="str">
        <f>IF(A208="","",I208)</f>
        <v/>
      </c>
      <c r="R208" s="51" t="str">
        <f>IF(A208="","",IF(P208="＞","OK","NG"))</f>
        <v/>
      </c>
      <c r="S208" s="86"/>
      <c r="T208" s="87"/>
      <c r="U208" s="28" t="str">
        <f>IF(S208="","",IF(T208=1,"素焼土管",IF(T208=2,"合成樹脂管",IF(T208=3,"無孔管",""))))</f>
        <v/>
      </c>
      <c r="V208" s="29"/>
      <c r="W208" s="88"/>
      <c r="X208" s="89"/>
      <c r="Y208" s="90"/>
      <c r="Z208" s="41" t="str">
        <f>IF(S208="","",IF(AND(T209=3,I208=""),Z206+Y208,IF(AND(Z206="",I206=""),I208+Y208,IF(AND(T209=3,I208&gt;0,Z206&gt;0),I208+Z206+Y208,IF(Z206="",I206+I208+X208+Y208,IF(I208="",Z206+X208+Y208,Z206+I208+X208+Y208))))))</f>
        <v/>
      </c>
      <c r="AA208" s="45" t="str">
        <f>IF(AB208="",""," 1/")</f>
        <v/>
      </c>
      <c r="AB208" s="91"/>
      <c r="AC208" s="30" t="str">
        <f>IF(S208="","",IF(T208="","",IF(T208=1,0.013,0.012)))</f>
        <v/>
      </c>
      <c r="AD208" s="31" t="str">
        <f>IF(S208="","",IF(T208="","",(1/AC208*(W208/100/2)^(8/3)*(1/AB208*100)^(1/2)*1.65696)*100))</f>
        <v/>
      </c>
      <c r="AE208" s="31" t="str">
        <f>IF(S208="","",IF(T208="","",1/AC208*(W208/100/2)^(2/3)*(1/AB208)^(1/2)*0.70541))</f>
        <v/>
      </c>
      <c r="AF208" s="31" t="str">
        <f>IF(S208="","",IF(T208="","",ROUNDDOWN(AD208/($U$3/8.64),3)))</f>
        <v/>
      </c>
      <c r="AG208" s="32" t="str">
        <f>IF(S208="","",IF(T208="","",ROUNDDOWN(AF208*10000/$AJ$3,0)))</f>
        <v/>
      </c>
      <c r="AH208" s="33" t="str">
        <f t="shared" si="2352"/>
        <v/>
      </c>
      <c r="AI208" s="41" t="str">
        <f>IF(S208="","",Z208)</f>
        <v/>
      </c>
      <c r="AJ208" s="43" t="str">
        <f>IF(S208="","",AI208*$AJ$3/10000)</f>
        <v/>
      </c>
      <c r="AK208" s="33" t="str">
        <f>IF(S208="","",IF(T208="","",IF(AND(T208=1,AE208&gt;1),"NG",IF(AH208="＞","OK","NG"))))</f>
        <v/>
      </c>
    </row>
    <row r="209" spans="1:37" ht="15.75" customHeight="1" x14ac:dyDescent="0.15">
      <c r="A209" s="92"/>
      <c r="B209" s="93"/>
      <c r="C209" s="59"/>
      <c r="D209" s="61"/>
      <c r="E209" s="94"/>
      <c r="F209" s="95"/>
      <c r="G209" s="95"/>
      <c r="H209" s="96"/>
      <c r="I209" s="54"/>
      <c r="J209" s="46"/>
      <c r="K209" s="97"/>
      <c r="L209" s="57"/>
      <c r="M209" s="44"/>
      <c r="N209" s="44"/>
      <c r="O209" s="42"/>
      <c r="P209" s="50"/>
      <c r="Q209" s="42"/>
      <c r="R209" s="52"/>
      <c r="S209" s="98"/>
      <c r="T209" s="99">
        <v>2</v>
      </c>
      <c r="U209" s="34" t="str">
        <f>IF(S208="","",IF(T208=T209,"〃",IF(T209=1,"素焼土管",IF(T209=2,"合成樹脂管",IF(T209=3,"無孔管","")))))</f>
        <v/>
      </c>
      <c r="V209" s="35"/>
      <c r="W209" s="100"/>
      <c r="X209" s="101"/>
      <c r="Y209" s="95"/>
      <c r="Z209" s="42"/>
      <c r="AA209" s="46"/>
      <c r="AB209" s="97"/>
      <c r="AC209" s="36" t="str">
        <f>IF(S208="","",IF(T209=1,0.013,0.012))</f>
        <v/>
      </c>
      <c r="AD209" s="37" t="str">
        <f>IF(S208="","",(1/AC209*(W209/100/2)^(8/3)*(1/AB208*100)^(1/2)*1.65696)*100)</f>
        <v/>
      </c>
      <c r="AE209" s="37" t="str">
        <f>IF(S208="","",1/AC209*(W209/100/2)^(2/3)*(1/AB208)^(1/2)*0.70541)</f>
        <v/>
      </c>
      <c r="AF209" s="37" t="str">
        <f>IF(S208="","",ROUNDDOWN(AD209/($U$3/8.64),3))</f>
        <v/>
      </c>
      <c r="AG209" s="38" t="str">
        <f>IF(S208="","",ROUNDDOWN(AF209*10000/$AJ$3,0))</f>
        <v/>
      </c>
      <c r="AH209" s="39" t="str">
        <f t="shared" ref="AH209" si="2355">IF(S208="","",IF(AG209&gt;AI208,"＞",IF(AG209=AI208,"=","＜")))</f>
        <v/>
      </c>
      <c r="AI209" s="42"/>
      <c r="AJ209" s="44"/>
      <c r="AK209" s="39" t="str">
        <f>IF(S208="","",IF(AND(T209=1,AE209&gt;1),"NG",IF(AH209="＞","OK","NG")))</f>
        <v/>
      </c>
    </row>
    <row r="210" spans="1:37" ht="15.75" customHeight="1" x14ac:dyDescent="0.15">
      <c r="A210" s="80"/>
      <c r="B210" s="81">
        <v>2</v>
      </c>
      <c r="C210" s="58" t="str">
        <f>IF(A210="","",IF(B210=1,"素　焼土　管",IF(B210=2,"合　成樹脂管",IF(B210=3,"無孔管",""))))</f>
        <v/>
      </c>
      <c r="D210" s="60"/>
      <c r="E210" s="82"/>
      <c r="F210" s="83"/>
      <c r="G210" s="83"/>
      <c r="H210" s="84"/>
      <c r="I210" s="53" t="str">
        <f>IF(A210="","",F210-G210+H210)</f>
        <v/>
      </c>
      <c r="J210" s="55" t="str">
        <f>IF(A210="",""," 1/")</f>
        <v/>
      </c>
      <c r="K210" s="85"/>
      <c r="L210" s="56" t="str">
        <f>IF(A210="","",IF(B210=1,0.013,0.012))</f>
        <v/>
      </c>
      <c r="M210" s="47" t="str">
        <f>IF(A210="","",(1/L210*(E210/100/2)^(8/3)*(1/K210*100)^(1/2)*1.65696)*100)</f>
        <v/>
      </c>
      <c r="N210" s="47" t="str">
        <f>IF(A210="","",1/L210*(E210/100/2)^(2/3)*(1/K210)^(1/2)*0.70541)</f>
        <v/>
      </c>
      <c r="O210" s="48" t="str">
        <f>IF(A210="","",ROUNDDOWN(M210/($U$3/8.64)*10000/$AJ$3,0))</f>
        <v/>
      </c>
      <c r="P210" s="49" t="str">
        <f>IF(A210="","",IF(O210&gt;Q210,"＞","＜"))</f>
        <v/>
      </c>
      <c r="Q210" s="48" t="str">
        <f>IF(A210="","",I210)</f>
        <v/>
      </c>
      <c r="R210" s="51" t="str">
        <f>IF(A210="","",IF(P210="＞","OK","NG"))</f>
        <v/>
      </c>
      <c r="S210" s="86"/>
      <c r="T210" s="87"/>
      <c r="U210" s="28" t="str">
        <f>IF(S210="","",IF(T210=1,"素焼土管",IF(T210=2,"合成樹脂管",IF(T210=3,"無孔管",""))))</f>
        <v/>
      </c>
      <c r="V210" s="29"/>
      <c r="W210" s="88"/>
      <c r="X210" s="89"/>
      <c r="Y210" s="90"/>
      <c r="Z210" s="41" t="str">
        <f>IF(S210="","",IF(AND(T211=3,I210=""),Z208+Y210,IF(AND(Z208="",I208=""),I210+Y210,IF(AND(T211=3,I210&gt;0,Z208&gt;0),I210+Z208+Y210,IF(Z208="",I208+I210+X210+Y210,IF(I210="",Z208+X210+Y210,Z208+I210+X210+Y210))))))</f>
        <v/>
      </c>
      <c r="AA210" s="45" t="str">
        <f>IF(AB210="",""," 1/")</f>
        <v/>
      </c>
      <c r="AB210" s="91"/>
      <c r="AC210" s="30" t="str">
        <f>IF(S210="","",IF(T210="","",IF(T210=1,0.013,0.012)))</f>
        <v/>
      </c>
      <c r="AD210" s="31" t="str">
        <f>IF(S210="","",IF(T210="","",(1/AC210*(W210/100/2)^(8/3)*(1/AB210*100)^(1/2)*1.65696)*100))</f>
        <v/>
      </c>
      <c r="AE210" s="31" t="str">
        <f>IF(S210="","",IF(T210="","",1/AC210*(W210/100/2)^(2/3)*(1/AB210)^(1/2)*0.70541))</f>
        <v/>
      </c>
      <c r="AF210" s="31" t="str">
        <f>IF(S210="","",IF(T210="","",ROUNDDOWN(AD210/($U$3/8.64),3)))</f>
        <v/>
      </c>
      <c r="AG210" s="32" t="str">
        <f>IF(S210="","",IF(T210="","",ROUNDDOWN(AF210*10000/$AJ$3,0)))</f>
        <v/>
      </c>
      <c r="AH210" s="33" t="str">
        <f t="shared" si="2352"/>
        <v/>
      </c>
      <c r="AI210" s="41" t="str">
        <f>IF(S210="","",Z210)</f>
        <v/>
      </c>
      <c r="AJ210" s="43" t="str">
        <f>IF(S210="","",AI210*$AJ$3/10000)</f>
        <v/>
      </c>
      <c r="AK210" s="33" t="str">
        <f>IF(S210="","",IF(T210="","",IF(AND(T210=1,AE210&gt;1),"NG",IF(AH210="＞","OK","NG"))))</f>
        <v/>
      </c>
    </row>
    <row r="211" spans="1:37" ht="15.75" customHeight="1" x14ac:dyDescent="0.15">
      <c r="A211" s="92"/>
      <c r="B211" s="93"/>
      <c r="C211" s="59"/>
      <c r="D211" s="61"/>
      <c r="E211" s="94"/>
      <c r="F211" s="95"/>
      <c r="G211" s="95"/>
      <c r="H211" s="96"/>
      <c r="I211" s="54"/>
      <c r="J211" s="46"/>
      <c r="K211" s="97"/>
      <c r="L211" s="57"/>
      <c r="M211" s="44"/>
      <c r="N211" s="44"/>
      <c r="O211" s="42"/>
      <c r="P211" s="50"/>
      <c r="Q211" s="42"/>
      <c r="R211" s="52"/>
      <c r="S211" s="98"/>
      <c r="T211" s="99">
        <v>2</v>
      </c>
      <c r="U211" s="34" t="str">
        <f>IF(S210="","",IF(T210=T211,"〃",IF(T211=1,"素焼土管",IF(T211=2,"合成樹脂管",IF(T211=3,"無孔管","")))))</f>
        <v/>
      </c>
      <c r="V211" s="35"/>
      <c r="W211" s="100"/>
      <c r="X211" s="101"/>
      <c r="Y211" s="95"/>
      <c r="Z211" s="42"/>
      <c r="AA211" s="46"/>
      <c r="AB211" s="97"/>
      <c r="AC211" s="36" t="str">
        <f>IF(S210="","",IF(T211=1,0.013,0.012))</f>
        <v/>
      </c>
      <c r="AD211" s="37" t="str">
        <f>IF(S210="","",(1/AC211*(W211/100/2)^(8/3)*(1/AB210*100)^(1/2)*1.65696)*100)</f>
        <v/>
      </c>
      <c r="AE211" s="37" t="str">
        <f>IF(S210="","",1/AC211*(W211/100/2)^(2/3)*(1/AB210)^(1/2)*0.70541)</f>
        <v/>
      </c>
      <c r="AF211" s="37" t="str">
        <f>IF(S210="","",ROUNDDOWN(AD211/($U$3/8.64),3))</f>
        <v/>
      </c>
      <c r="AG211" s="38" t="str">
        <f>IF(S210="","",ROUNDDOWN(AF211*10000/$AJ$3,0))</f>
        <v/>
      </c>
      <c r="AH211" s="39" t="str">
        <f t="shared" ref="AH211" si="2356">IF(S210="","",IF(AG211&gt;AI210,"＞",IF(AG211=AI210,"=","＜")))</f>
        <v/>
      </c>
      <c r="AI211" s="42"/>
      <c r="AJ211" s="44"/>
      <c r="AK211" s="39" t="str">
        <f>IF(S210="","",IF(AND(T211=1,AE211&gt;1),"NG",IF(AH211="＞","OK","NG")))</f>
        <v/>
      </c>
    </row>
    <row r="212" spans="1:37" ht="15.75" customHeight="1" x14ac:dyDescent="0.15">
      <c r="A212" s="80"/>
      <c r="B212" s="81">
        <v>2</v>
      </c>
      <c r="C212" s="58" t="str">
        <f>IF(A212="","",IF(B212=1,"素　焼土　管",IF(B212=2,"合　成樹脂管",IF(B212=3,"無孔管",""))))</f>
        <v/>
      </c>
      <c r="D212" s="60"/>
      <c r="E212" s="82"/>
      <c r="F212" s="83"/>
      <c r="G212" s="83"/>
      <c r="H212" s="84"/>
      <c r="I212" s="53" t="str">
        <f>IF(A212="","",F212-G212+H212)</f>
        <v/>
      </c>
      <c r="J212" s="55" t="str">
        <f>IF(A212="",""," 1/")</f>
        <v/>
      </c>
      <c r="K212" s="85"/>
      <c r="L212" s="56" t="str">
        <f>IF(A212="","",IF(B212=1,0.013,0.012))</f>
        <v/>
      </c>
      <c r="M212" s="47" t="str">
        <f>IF(A212="","",(1/L212*(E212/100/2)^(8/3)*(1/K212*100)^(1/2)*1.65696)*100)</f>
        <v/>
      </c>
      <c r="N212" s="47" t="str">
        <f>IF(A212="","",1/L212*(E212/100/2)^(2/3)*(1/K212)^(1/2)*0.70541)</f>
        <v/>
      </c>
      <c r="O212" s="48" t="str">
        <f>IF(A212="","",ROUNDDOWN(M212/($U$3/8.64)*10000/$AJ$3,0))</f>
        <v/>
      </c>
      <c r="P212" s="49" t="str">
        <f>IF(A212="","",IF(O212&gt;Q212,"＞","＜"))</f>
        <v/>
      </c>
      <c r="Q212" s="48" t="str">
        <f>IF(A212="","",I212)</f>
        <v/>
      </c>
      <c r="R212" s="51" t="str">
        <f>IF(A212="","",IF(P212="＞","OK","NG"))</f>
        <v/>
      </c>
      <c r="S212" s="86"/>
      <c r="T212" s="87"/>
      <c r="U212" s="28" t="str">
        <f>IF(S212="","",IF(T212=1,"素焼土管",IF(T212=2,"合成樹脂管",IF(T212=3,"無孔管",""))))</f>
        <v/>
      </c>
      <c r="V212" s="29"/>
      <c r="W212" s="88"/>
      <c r="X212" s="89"/>
      <c r="Y212" s="90"/>
      <c r="Z212" s="41" t="str">
        <f>IF(S212="","",IF(AND(T213=3,I212=""),Z210+Y212,IF(AND(Z210="",I210=""),I212+Y212,IF(AND(T213=3,I212&gt;0,Z210&gt;0),I212+Z210+Y212,IF(Z210="",I210+I212+X212+Y212,IF(I212="",Z210+X212+Y212,Z210+I212+X212+Y212))))))</f>
        <v/>
      </c>
      <c r="AA212" s="45" t="str">
        <f>IF(AB212="",""," 1/")</f>
        <v/>
      </c>
      <c r="AB212" s="91"/>
      <c r="AC212" s="30" t="str">
        <f>IF(S212="","",IF(T212="","",IF(T212=1,0.013,0.012)))</f>
        <v/>
      </c>
      <c r="AD212" s="31" t="str">
        <f>IF(S212="","",IF(T212="","",(1/AC212*(W212/100/2)^(8/3)*(1/AB212*100)^(1/2)*1.65696)*100))</f>
        <v/>
      </c>
      <c r="AE212" s="31" t="str">
        <f>IF(S212="","",IF(T212="","",1/AC212*(W212/100/2)^(2/3)*(1/AB212)^(1/2)*0.70541))</f>
        <v/>
      </c>
      <c r="AF212" s="31" t="str">
        <f>IF(S212="","",IF(T212="","",ROUNDDOWN(AD212/($U$3/8.64),3)))</f>
        <v/>
      </c>
      <c r="AG212" s="32" t="str">
        <f>IF(S212="","",IF(T212="","",ROUNDDOWN(AF212*10000/$AJ$3,0)))</f>
        <v/>
      </c>
      <c r="AH212" s="33" t="str">
        <f t="shared" si="2352"/>
        <v/>
      </c>
      <c r="AI212" s="41" t="str">
        <f>IF(S212="","",Z212)</f>
        <v/>
      </c>
      <c r="AJ212" s="43" t="str">
        <f>IF(S212="","",AI212*$AJ$3/10000)</f>
        <v/>
      </c>
      <c r="AK212" s="33" t="str">
        <f>IF(S212="","",IF(T212="","",IF(AND(T212=1,AE212&gt;1),"NG",IF(AH212="＞","OK","NG"))))</f>
        <v/>
      </c>
    </row>
    <row r="213" spans="1:37" ht="15.75" customHeight="1" x14ac:dyDescent="0.15">
      <c r="A213" s="92"/>
      <c r="B213" s="93"/>
      <c r="C213" s="59"/>
      <c r="D213" s="61"/>
      <c r="E213" s="94"/>
      <c r="F213" s="95"/>
      <c r="G213" s="95"/>
      <c r="H213" s="96"/>
      <c r="I213" s="54"/>
      <c r="J213" s="46"/>
      <c r="K213" s="97"/>
      <c r="L213" s="57"/>
      <c r="M213" s="44"/>
      <c r="N213" s="44"/>
      <c r="O213" s="42"/>
      <c r="P213" s="50"/>
      <c r="Q213" s="42"/>
      <c r="R213" s="52"/>
      <c r="S213" s="98"/>
      <c r="T213" s="99">
        <v>2</v>
      </c>
      <c r="U213" s="34" t="str">
        <f>IF(S212="","",IF(T212=T213,"〃",IF(T213=1,"素焼土管",IF(T213=2,"合成樹脂管",IF(T213=3,"無孔管","")))))</f>
        <v/>
      </c>
      <c r="V213" s="35"/>
      <c r="W213" s="100"/>
      <c r="X213" s="101"/>
      <c r="Y213" s="95"/>
      <c r="Z213" s="42"/>
      <c r="AA213" s="46"/>
      <c r="AB213" s="97"/>
      <c r="AC213" s="36" t="str">
        <f>IF(S212="","",IF(T213=1,0.013,0.012))</f>
        <v/>
      </c>
      <c r="AD213" s="37" t="str">
        <f>IF(S212="","",(1/AC213*(W213/100/2)^(8/3)*(1/AB212*100)^(1/2)*1.65696)*100)</f>
        <v/>
      </c>
      <c r="AE213" s="37" t="str">
        <f>IF(S212="","",1/AC213*(W213/100/2)^(2/3)*(1/AB212)^(1/2)*0.70541)</f>
        <v/>
      </c>
      <c r="AF213" s="37" t="str">
        <f>IF(S212="","",ROUNDDOWN(AD213/($U$3/8.64),3))</f>
        <v/>
      </c>
      <c r="AG213" s="38" t="str">
        <f>IF(S212="","",ROUNDDOWN(AF213*10000/$AJ$3,0))</f>
        <v/>
      </c>
      <c r="AH213" s="39" t="str">
        <f t="shared" ref="AH213" si="2357">IF(S212="","",IF(AG213&gt;AI212,"＞",IF(AG213=AI212,"=","＜")))</f>
        <v/>
      </c>
      <c r="AI213" s="42"/>
      <c r="AJ213" s="44"/>
      <c r="AK213" s="39" t="str">
        <f>IF(S212="","",IF(AND(T213=1,AE213&gt;1),"NG",IF(AH213="＞","OK","NG")))</f>
        <v/>
      </c>
    </row>
    <row r="214" spans="1:37" ht="15.75" customHeight="1" x14ac:dyDescent="0.15">
      <c r="A214" s="80"/>
      <c r="B214" s="81">
        <v>2</v>
      </c>
      <c r="C214" s="58" t="str">
        <f>IF(A214="","",IF(B214=1,"素　焼土　管",IF(B214=2,"合　成樹脂管",IF(B214=3,"無孔管",""))))</f>
        <v/>
      </c>
      <c r="D214" s="60"/>
      <c r="E214" s="82"/>
      <c r="F214" s="83"/>
      <c r="G214" s="83"/>
      <c r="H214" s="84"/>
      <c r="I214" s="53" t="str">
        <f>IF(A214="","",F214-G214+H214)</f>
        <v/>
      </c>
      <c r="J214" s="55" t="str">
        <f>IF(A214="",""," 1/")</f>
        <v/>
      </c>
      <c r="K214" s="85"/>
      <c r="L214" s="56" t="str">
        <f>IF(A214="","",IF(B214=1,0.013,0.012))</f>
        <v/>
      </c>
      <c r="M214" s="47" t="str">
        <f>IF(A214="","",(1/L214*(E214/100/2)^(8/3)*(1/K214*100)^(1/2)*1.65696)*100)</f>
        <v/>
      </c>
      <c r="N214" s="47" t="str">
        <f>IF(A214="","",1/L214*(E214/100/2)^(2/3)*(1/K214)^(1/2)*0.70541)</f>
        <v/>
      </c>
      <c r="O214" s="48" t="str">
        <f>IF(A214="","",ROUNDDOWN(M214/($U$3/8.64)*10000/$AJ$3,0))</f>
        <v/>
      </c>
      <c r="P214" s="49" t="str">
        <f>IF(A214="","",IF(O214&gt;Q214,"＞","＜"))</f>
        <v/>
      </c>
      <c r="Q214" s="48" t="str">
        <f>IF(A214="","",I214)</f>
        <v/>
      </c>
      <c r="R214" s="51" t="str">
        <f>IF(A214="","",IF(P214="＞","OK","NG"))</f>
        <v/>
      </c>
      <c r="S214" s="86"/>
      <c r="T214" s="87"/>
      <c r="U214" s="28" t="str">
        <f>IF(S214="","",IF(T214=1,"素焼土管",IF(T214=2,"合成樹脂管",IF(T214=3,"無孔管",""))))</f>
        <v/>
      </c>
      <c r="V214" s="29"/>
      <c r="W214" s="88"/>
      <c r="X214" s="89"/>
      <c r="Y214" s="90"/>
      <c r="Z214" s="41" t="str">
        <f>IF(S214="","",IF(AND(T215=3,I214=""),Z212+Y214,IF(AND(Z212="",I212=""),I214+Y214,IF(AND(T215=3,I214&gt;0,Z212&gt;0),I214+Z212+Y214,IF(Z212="",I212+I214+X214+Y214,IF(I214="",Z212+X214+Y214,Z212+I214+X214+Y214))))))</f>
        <v/>
      </c>
      <c r="AA214" s="45" t="str">
        <f>IF(AB214="",""," 1/")</f>
        <v/>
      </c>
      <c r="AB214" s="91"/>
      <c r="AC214" s="30" t="str">
        <f>IF(S214="","",IF(T214="","",IF(T214=1,0.013,0.012)))</f>
        <v/>
      </c>
      <c r="AD214" s="31" t="str">
        <f>IF(S214="","",IF(T214="","",(1/AC214*(W214/100/2)^(8/3)*(1/AB214*100)^(1/2)*1.65696)*100))</f>
        <v/>
      </c>
      <c r="AE214" s="31" t="str">
        <f>IF(S214="","",IF(T214="","",1/AC214*(W214/100/2)^(2/3)*(1/AB214)^(1/2)*0.70541))</f>
        <v/>
      </c>
      <c r="AF214" s="31" t="str">
        <f>IF(S214="","",IF(T214="","",ROUNDDOWN(AD214/($U$3/8.64),3)))</f>
        <v/>
      </c>
      <c r="AG214" s="32" t="str">
        <f>IF(S214="","",IF(T214="","",ROUNDDOWN(AF214*10000/$AJ$3,0)))</f>
        <v/>
      </c>
      <c r="AH214" s="33" t="str">
        <f t="shared" si="2352"/>
        <v/>
      </c>
      <c r="AI214" s="41" t="str">
        <f>IF(S214="","",Z214)</f>
        <v/>
      </c>
      <c r="AJ214" s="43" t="str">
        <f>IF(S214="","",AI214*$AJ$3/10000)</f>
        <v/>
      </c>
      <c r="AK214" s="33" t="str">
        <f>IF(S214="","",IF(T214="","",IF(AND(T214=1,AE214&gt;1),"NG",IF(AH214="＞","OK","NG"))))</f>
        <v/>
      </c>
    </row>
    <row r="215" spans="1:37" ht="15.75" customHeight="1" x14ac:dyDescent="0.15">
      <c r="A215" s="92"/>
      <c r="B215" s="93"/>
      <c r="C215" s="59"/>
      <c r="D215" s="61"/>
      <c r="E215" s="94"/>
      <c r="F215" s="95"/>
      <c r="G215" s="95"/>
      <c r="H215" s="96"/>
      <c r="I215" s="54"/>
      <c r="J215" s="46"/>
      <c r="K215" s="97"/>
      <c r="L215" s="57"/>
      <c r="M215" s="44"/>
      <c r="N215" s="44"/>
      <c r="O215" s="42"/>
      <c r="P215" s="50"/>
      <c r="Q215" s="42"/>
      <c r="R215" s="52"/>
      <c r="S215" s="98"/>
      <c r="T215" s="99">
        <v>2</v>
      </c>
      <c r="U215" s="34" t="str">
        <f>IF(S214="","",IF(T214=T215,"〃",IF(T215=1,"素焼土管",IF(T215=2,"合成樹脂管",IF(T215=3,"無孔管","")))))</f>
        <v/>
      </c>
      <c r="V215" s="35"/>
      <c r="W215" s="100"/>
      <c r="X215" s="101"/>
      <c r="Y215" s="95"/>
      <c r="Z215" s="42"/>
      <c r="AA215" s="46"/>
      <c r="AB215" s="97"/>
      <c r="AC215" s="36" t="str">
        <f>IF(S214="","",IF(T215=1,0.013,0.012))</f>
        <v/>
      </c>
      <c r="AD215" s="37" t="str">
        <f>IF(S214="","",(1/AC215*(W215/100/2)^(8/3)*(1/AB214*100)^(1/2)*1.65696)*100)</f>
        <v/>
      </c>
      <c r="AE215" s="37" t="str">
        <f>IF(S214="","",1/AC215*(W215/100/2)^(2/3)*(1/AB214)^(1/2)*0.70541)</f>
        <v/>
      </c>
      <c r="AF215" s="37" t="str">
        <f>IF(S214="","",ROUNDDOWN(AD215/($U$3/8.64),3))</f>
        <v/>
      </c>
      <c r="AG215" s="38" t="str">
        <f>IF(S214="","",ROUNDDOWN(AF215*10000/$AJ$3,0))</f>
        <v/>
      </c>
      <c r="AH215" s="39" t="str">
        <f t="shared" ref="AH215" si="2358">IF(S214="","",IF(AG215&gt;AI214,"＞",IF(AG215=AI214,"=","＜")))</f>
        <v/>
      </c>
      <c r="AI215" s="42"/>
      <c r="AJ215" s="44"/>
      <c r="AK215" s="39" t="str">
        <f>IF(S214="","",IF(AND(T215=1,AE215&gt;1),"NG",IF(AH215="＞","OK","NG")))</f>
        <v/>
      </c>
    </row>
    <row r="216" spans="1:37" ht="15.75" customHeight="1" x14ac:dyDescent="0.15">
      <c r="A216" s="80"/>
      <c r="B216" s="81">
        <v>2</v>
      </c>
      <c r="C216" s="58" t="str">
        <f>IF(A216="","",IF(B216=1,"素　焼土　管",IF(B216=2,"合　成樹脂管",IF(B216=3,"無孔管",""))))</f>
        <v/>
      </c>
      <c r="D216" s="60"/>
      <c r="E216" s="82"/>
      <c r="F216" s="83"/>
      <c r="G216" s="83"/>
      <c r="H216" s="84"/>
      <c r="I216" s="53" t="str">
        <f>IF(A216="","",F216-G216+H216)</f>
        <v/>
      </c>
      <c r="J216" s="55" t="str">
        <f>IF(A216="",""," 1/")</f>
        <v/>
      </c>
      <c r="K216" s="85"/>
      <c r="L216" s="56" t="str">
        <f>IF(A216="","",IF(B216=1,0.013,0.012))</f>
        <v/>
      </c>
      <c r="M216" s="47" t="str">
        <f>IF(A216="","",(1/L216*(E216/100/2)^(8/3)*(1/K216*100)^(1/2)*1.65696)*100)</f>
        <v/>
      </c>
      <c r="N216" s="47" t="str">
        <f>IF(A216="","",1/L216*(E216/100/2)^(2/3)*(1/K216)^(1/2)*0.70541)</f>
        <v/>
      </c>
      <c r="O216" s="48" t="str">
        <f>IF(A216="","",ROUNDDOWN(M216/($U$3/8.64)*10000/$AJ$3,0))</f>
        <v/>
      </c>
      <c r="P216" s="49" t="str">
        <f>IF(A216="","",IF(O216&gt;Q216,"＞","＜"))</f>
        <v/>
      </c>
      <c r="Q216" s="48" t="str">
        <f>IF(A216="","",I216)</f>
        <v/>
      </c>
      <c r="R216" s="51" t="str">
        <f>IF(A216="","",IF(P216="＞","OK","NG"))</f>
        <v/>
      </c>
      <c r="S216" s="86"/>
      <c r="T216" s="87"/>
      <c r="U216" s="28" t="str">
        <f>IF(S216="","",IF(T216=1,"素焼土管",IF(T216=2,"合成樹脂管",IF(T216=3,"無孔管",""))))</f>
        <v/>
      </c>
      <c r="V216" s="29"/>
      <c r="W216" s="88"/>
      <c r="X216" s="89"/>
      <c r="Y216" s="90"/>
      <c r="Z216" s="41" t="str">
        <f>IF(S216="","",IF(AND(T217=3,I216=""),Z214+Y216,IF(AND(Z214="",I214=""),I216+Y216,IF(AND(T217=3,I216&gt;0,Z214&gt;0),I216+Z214+Y216,IF(Z214="",I214+I216+X216+Y216,IF(I216="",Z214+X216+Y216,Z214+I216+X216+Y216))))))</f>
        <v/>
      </c>
      <c r="AA216" s="45" t="str">
        <f>IF(AB216="",""," 1/")</f>
        <v/>
      </c>
      <c r="AB216" s="91"/>
      <c r="AC216" s="30" t="str">
        <f>IF(S216="","",IF(T216="","",IF(T216=1,0.013,0.012)))</f>
        <v/>
      </c>
      <c r="AD216" s="31" t="str">
        <f>IF(S216="","",IF(T216="","",(1/AC216*(W216/100/2)^(8/3)*(1/AB216*100)^(1/2)*1.65696)*100))</f>
        <v/>
      </c>
      <c r="AE216" s="31" t="str">
        <f>IF(S216="","",IF(T216="","",1/AC216*(W216/100/2)^(2/3)*(1/AB216)^(1/2)*0.70541))</f>
        <v/>
      </c>
      <c r="AF216" s="31" t="str">
        <f>IF(S216="","",IF(T216="","",ROUNDDOWN(AD216/($U$3/8.64),3)))</f>
        <v/>
      </c>
      <c r="AG216" s="32" t="str">
        <f>IF(S216="","",IF(T216="","",ROUNDDOWN(AF216*10000/$AJ$3,0)))</f>
        <v/>
      </c>
      <c r="AH216" s="33" t="str">
        <f t="shared" si="2352"/>
        <v/>
      </c>
      <c r="AI216" s="41" t="str">
        <f>IF(S216="","",Z216)</f>
        <v/>
      </c>
      <c r="AJ216" s="43" t="str">
        <f>IF(S216="","",AI216*$AJ$3/10000)</f>
        <v/>
      </c>
      <c r="AK216" s="33" t="str">
        <f>IF(S216="","",IF(T216="","",IF(AND(T216=1,AE216&gt;1),"NG",IF(AH216="＞","OK","NG"))))</f>
        <v/>
      </c>
    </row>
    <row r="217" spans="1:37" ht="15.75" customHeight="1" x14ac:dyDescent="0.15">
      <c r="A217" s="92"/>
      <c r="B217" s="93"/>
      <c r="C217" s="59"/>
      <c r="D217" s="61"/>
      <c r="E217" s="94"/>
      <c r="F217" s="95"/>
      <c r="G217" s="95"/>
      <c r="H217" s="96"/>
      <c r="I217" s="54"/>
      <c r="J217" s="46"/>
      <c r="K217" s="97"/>
      <c r="L217" s="57"/>
      <c r="M217" s="44"/>
      <c r="N217" s="44"/>
      <c r="O217" s="42"/>
      <c r="P217" s="50"/>
      <c r="Q217" s="42"/>
      <c r="R217" s="52"/>
      <c r="S217" s="98"/>
      <c r="T217" s="99">
        <v>2</v>
      </c>
      <c r="U217" s="34" t="str">
        <f>IF(S216="","",IF(T216=T217,"〃",IF(T217=1,"素焼土管",IF(T217=2,"合成樹脂管",IF(T217=3,"無孔管","")))))</f>
        <v/>
      </c>
      <c r="V217" s="35"/>
      <c r="W217" s="100"/>
      <c r="X217" s="101"/>
      <c r="Y217" s="95"/>
      <c r="Z217" s="42"/>
      <c r="AA217" s="46"/>
      <c r="AB217" s="97"/>
      <c r="AC217" s="36" t="str">
        <f>IF(S216="","",IF(T217=1,0.013,0.012))</f>
        <v/>
      </c>
      <c r="AD217" s="37" t="str">
        <f>IF(S216="","",(1/AC217*(W217/100/2)^(8/3)*(1/AB216*100)^(1/2)*1.65696)*100)</f>
        <v/>
      </c>
      <c r="AE217" s="37" t="str">
        <f>IF(S216="","",1/AC217*(W217/100/2)^(2/3)*(1/AB216)^(1/2)*0.70541)</f>
        <v/>
      </c>
      <c r="AF217" s="37" t="str">
        <f>IF(S216="","",ROUNDDOWN(AD217/($U$3/8.64),3))</f>
        <v/>
      </c>
      <c r="AG217" s="38" t="str">
        <f>IF(S216="","",ROUNDDOWN(AF217*10000/$AJ$3,0))</f>
        <v/>
      </c>
      <c r="AH217" s="39" t="str">
        <f t="shared" ref="AH217" si="2359">IF(S216="","",IF(AG217&gt;AI216,"＞",IF(AG217=AI216,"=","＜")))</f>
        <v/>
      </c>
      <c r="AI217" s="42"/>
      <c r="AJ217" s="44"/>
      <c r="AK217" s="39" t="str">
        <f>IF(S216="","",IF(AND(T217=1,AE217&gt;1),"NG",IF(AH217="＞","OK","NG")))</f>
        <v/>
      </c>
    </row>
    <row r="218" spans="1:37" ht="15.75" customHeight="1" x14ac:dyDescent="0.15">
      <c r="A218" s="80"/>
      <c r="B218" s="81">
        <v>2</v>
      </c>
      <c r="C218" s="58" t="str">
        <f>IF(A218="","",IF(B218=1,"素　焼土　管",IF(B218=2,"合　成樹脂管",IF(B218=3,"無孔管",""))))</f>
        <v/>
      </c>
      <c r="D218" s="60"/>
      <c r="E218" s="82"/>
      <c r="F218" s="83"/>
      <c r="G218" s="83"/>
      <c r="H218" s="84"/>
      <c r="I218" s="53" t="str">
        <f>IF(A218="","",F218-G218+H218)</f>
        <v/>
      </c>
      <c r="J218" s="55" t="str">
        <f>IF(A218="",""," 1/")</f>
        <v/>
      </c>
      <c r="K218" s="85"/>
      <c r="L218" s="56" t="str">
        <f>IF(A218="","",IF(B218=1,0.013,0.012))</f>
        <v/>
      </c>
      <c r="M218" s="47" t="str">
        <f>IF(A218="","",(1/L218*(E218/100/2)^(8/3)*(1/K218*100)^(1/2)*1.65696)*100)</f>
        <v/>
      </c>
      <c r="N218" s="47" t="str">
        <f>IF(A218="","",1/L218*(E218/100/2)^(2/3)*(1/K218)^(1/2)*0.70541)</f>
        <v/>
      </c>
      <c r="O218" s="48" t="str">
        <f>IF(A218="","",ROUNDDOWN(M218/($U$3/8.64)*10000/$AJ$3,0))</f>
        <v/>
      </c>
      <c r="P218" s="49" t="str">
        <f>IF(A218="","",IF(O218&gt;Q218,"＞","＜"))</f>
        <v/>
      </c>
      <c r="Q218" s="48" t="str">
        <f>IF(A218="","",I218)</f>
        <v/>
      </c>
      <c r="R218" s="51" t="str">
        <f>IF(A218="","",IF(P218="＞","OK","NG"))</f>
        <v/>
      </c>
      <c r="S218" s="86"/>
      <c r="T218" s="87"/>
      <c r="U218" s="28" t="str">
        <f>IF(S218="","",IF(T218=1,"素焼土管",IF(T218=2,"合成樹脂管",IF(T218=3,"無孔管",""))))</f>
        <v/>
      </c>
      <c r="V218" s="29"/>
      <c r="W218" s="88"/>
      <c r="X218" s="89"/>
      <c r="Y218" s="90"/>
      <c r="Z218" s="41" t="str">
        <f>IF(S218="","",IF(AND(T219=3,I218=""),Z216+Y218,IF(AND(Z216="",I216=""),I218+Y218,IF(AND(T219=3,I218&gt;0,Z216&gt;0),I218+Z216+Y218,IF(Z216="",I216+I218+X218+Y218,IF(I218="",Z216+X218+Y218,Z216+I218+X218+Y218))))))</f>
        <v/>
      </c>
      <c r="AA218" s="45" t="str">
        <f>IF(AB218="",""," 1/")</f>
        <v/>
      </c>
      <c r="AB218" s="91"/>
      <c r="AC218" s="30" t="str">
        <f>IF(S218="","",IF(T218="","",IF(T218=1,0.013,0.012)))</f>
        <v/>
      </c>
      <c r="AD218" s="31" t="str">
        <f>IF(S218="","",IF(T218="","",(1/AC218*(W218/100/2)^(8/3)*(1/AB218*100)^(1/2)*1.65696)*100))</f>
        <v/>
      </c>
      <c r="AE218" s="31" t="str">
        <f>IF(S218="","",IF(T218="","",1/AC218*(W218/100/2)^(2/3)*(1/AB218)^(1/2)*0.70541))</f>
        <v/>
      </c>
      <c r="AF218" s="31" t="str">
        <f>IF(S218="","",IF(T218="","",ROUNDDOWN(AD218/($U$3/8.64),3)))</f>
        <v/>
      </c>
      <c r="AG218" s="32" t="str">
        <f>IF(S218="","",IF(T218="","",ROUNDDOWN(AF218*10000/$AJ$3,0)))</f>
        <v/>
      </c>
      <c r="AH218" s="33" t="str">
        <f t="shared" si="2352"/>
        <v/>
      </c>
      <c r="AI218" s="41" t="str">
        <f>IF(S218="","",Z218)</f>
        <v/>
      </c>
      <c r="AJ218" s="43" t="str">
        <f>IF(S218="","",AI218*$AJ$3/10000)</f>
        <v/>
      </c>
      <c r="AK218" s="33" t="str">
        <f>IF(S218="","",IF(T218="","",IF(AND(T218=1,AE218&gt;1),"NG",IF(AH218="＞","OK","NG"))))</f>
        <v/>
      </c>
    </row>
    <row r="219" spans="1:37" ht="15.75" customHeight="1" x14ac:dyDescent="0.15">
      <c r="A219" s="92"/>
      <c r="B219" s="93"/>
      <c r="C219" s="59"/>
      <c r="D219" s="61"/>
      <c r="E219" s="94"/>
      <c r="F219" s="95"/>
      <c r="G219" s="95"/>
      <c r="H219" s="96"/>
      <c r="I219" s="54"/>
      <c r="J219" s="46"/>
      <c r="K219" s="97"/>
      <c r="L219" s="57"/>
      <c r="M219" s="44"/>
      <c r="N219" s="44"/>
      <c r="O219" s="42"/>
      <c r="P219" s="50"/>
      <c r="Q219" s="42"/>
      <c r="R219" s="52"/>
      <c r="S219" s="98"/>
      <c r="T219" s="99">
        <v>2</v>
      </c>
      <c r="U219" s="34" t="str">
        <f>IF(S218="","",IF(T218=T219,"〃",IF(T219=1,"素焼土管",IF(T219=2,"合成樹脂管",IF(T219=3,"無孔管","")))))</f>
        <v/>
      </c>
      <c r="V219" s="35"/>
      <c r="W219" s="100"/>
      <c r="X219" s="101"/>
      <c r="Y219" s="95"/>
      <c r="Z219" s="42"/>
      <c r="AA219" s="46"/>
      <c r="AB219" s="97"/>
      <c r="AC219" s="36" t="str">
        <f>IF(S218="","",IF(T219=1,0.013,0.012))</f>
        <v/>
      </c>
      <c r="AD219" s="37" t="str">
        <f>IF(S218="","",(1/AC219*(W219/100/2)^(8/3)*(1/AB218*100)^(1/2)*1.65696)*100)</f>
        <v/>
      </c>
      <c r="AE219" s="37" t="str">
        <f>IF(S218="","",1/AC219*(W219/100/2)^(2/3)*(1/AB218)^(1/2)*0.70541)</f>
        <v/>
      </c>
      <c r="AF219" s="37" t="str">
        <f>IF(S218="","",ROUNDDOWN(AD219/($U$3/8.64),3))</f>
        <v/>
      </c>
      <c r="AG219" s="38" t="str">
        <f>IF(S218="","",ROUNDDOWN(AF219*10000/$AJ$3,0))</f>
        <v/>
      </c>
      <c r="AH219" s="39" t="str">
        <f t="shared" ref="AH219" si="2360">IF(S218="","",IF(AG219&gt;AI218,"＞",IF(AG219=AI218,"=","＜")))</f>
        <v/>
      </c>
      <c r="AI219" s="42"/>
      <c r="AJ219" s="44"/>
      <c r="AK219" s="39" t="str">
        <f>IF(S218="","",IF(AND(T219=1,AE219&gt;1),"NG",IF(AH219="＞","OK","NG")))</f>
        <v/>
      </c>
    </row>
    <row r="220" spans="1:37" ht="15.75" customHeight="1" x14ac:dyDescent="0.15">
      <c r="A220" s="80"/>
      <c r="B220" s="81">
        <v>2</v>
      </c>
      <c r="C220" s="58" t="str">
        <f>IF(A220="","",IF(B220=1,"素　焼土　管",IF(B220=2,"合　成樹脂管",IF(B220=3,"無孔管",""))))</f>
        <v/>
      </c>
      <c r="D220" s="60"/>
      <c r="E220" s="82"/>
      <c r="F220" s="83"/>
      <c r="G220" s="83"/>
      <c r="H220" s="84"/>
      <c r="I220" s="53" t="str">
        <f>IF(A220="","",F220-G220+H220)</f>
        <v/>
      </c>
      <c r="J220" s="55" t="str">
        <f>IF(A220="",""," 1/")</f>
        <v/>
      </c>
      <c r="K220" s="85"/>
      <c r="L220" s="56" t="str">
        <f>IF(A220="","",IF(B220=1,0.013,0.012))</f>
        <v/>
      </c>
      <c r="M220" s="47" t="str">
        <f>IF(A220="","",(1/L220*(E220/100/2)^(8/3)*(1/K220*100)^(1/2)*1.65696)*100)</f>
        <v/>
      </c>
      <c r="N220" s="47" t="str">
        <f>IF(A220="","",1/L220*(E220/100/2)^(2/3)*(1/K220)^(1/2)*0.70541)</f>
        <v/>
      </c>
      <c r="O220" s="48" t="str">
        <f>IF(A220="","",ROUNDDOWN(M220/($U$3/8.64)*10000/$AJ$3,0))</f>
        <v/>
      </c>
      <c r="P220" s="49" t="str">
        <f>IF(A220="","",IF(O220&gt;Q220,"＞","＜"))</f>
        <v/>
      </c>
      <c r="Q220" s="48" t="str">
        <f>IF(A220="","",I220)</f>
        <v/>
      </c>
      <c r="R220" s="51" t="str">
        <f>IF(A220="","",IF(P220="＞","OK","NG"))</f>
        <v/>
      </c>
      <c r="S220" s="86"/>
      <c r="T220" s="87"/>
      <c r="U220" s="28" t="str">
        <f>IF(S220="","",IF(T220=1,"素焼土管",IF(T220=2,"合成樹脂管",IF(T220=3,"無孔管",""))))</f>
        <v/>
      </c>
      <c r="V220" s="29"/>
      <c r="W220" s="88"/>
      <c r="X220" s="89"/>
      <c r="Y220" s="90"/>
      <c r="Z220" s="41" t="str">
        <f>IF(S220="","",IF(AND(T221=3,I220=""),Z218+Y220,IF(AND(Z218="",I218=""),I220+Y220,IF(AND(T221=3,I220&gt;0,Z218&gt;0),I220+Z218+Y220,IF(Z218="",I218+I220+X220+Y220,IF(I220="",Z218+X220+Y220,Z218+I220+X220+Y220))))))</f>
        <v/>
      </c>
      <c r="AA220" s="45" t="str">
        <f>IF(AB220="",""," 1/")</f>
        <v/>
      </c>
      <c r="AB220" s="91"/>
      <c r="AC220" s="30" t="str">
        <f>IF(S220="","",IF(T220="","",IF(T220=1,0.013,0.012)))</f>
        <v/>
      </c>
      <c r="AD220" s="31" t="str">
        <f>IF(S220="","",IF(T220="","",(1/AC220*(W220/100/2)^(8/3)*(1/AB220*100)^(1/2)*1.65696)*100))</f>
        <v/>
      </c>
      <c r="AE220" s="31" t="str">
        <f>IF(S220="","",IF(T220="","",1/AC220*(W220/100/2)^(2/3)*(1/AB220)^(1/2)*0.70541))</f>
        <v/>
      </c>
      <c r="AF220" s="31" t="str">
        <f>IF(S220="","",IF(T220="","",ROUNDDOWN(AD220/($U$3/8.64),3)))</f>
        <v/>
      </c>
      <c r="AG220" s="32" t="str">
        <f>IF(S220="","",IF(T220="","",ROUNDDOWN(AF220*10000/$AJ$3,0)))</f>
        <v/>
      </c>
      <c r="AH220" s="33" t="str">
        <f t="shared" si="2352"/>
        <v/>
      </c>
      <c r="AI220" s="41" t="str">
        <f>IF(S220="","",Z220)</f>
        <v/>
      </c>
      <c r="AJ220" s="43" t="str">
        <f>IF(S220="","",AI220*$AJ$3/10000)</f>
        <v/>
      </c>
      <c r="AK220" s="33" t="str">
        <f>IF(S220="","",IF(T220="","",IF(AND(T220=1,AE220&gt;1),"NG",IF(AH220="＞","OK","NG"))))</f>
        <v/>
      </c>
    </row>
    <row r="221" spans="1:37" ht="15.75" customHeight="1" x14ac:dyDescent="0.15">
      <c r="A221" s="92"/>
      <c r="B221" s="93"/>
      <c r="C221" s="59"/>
      <c r="D221" s="61"/>
      <c r="E221" s="94"/>
      <c r="F221" s="95"/>
      <c r="G221" s="95"/>
      <c r="H221" s="96"/>
      <c r="I221" s="54"/>
      <c r="J221" s="46"/>
      <c r="K221" s="97"/>
      <c r="L221" s="57"/>
      <c r="M221" s="44"/>
      <c r="N221" s="44"/>
      <c r="O221" s="42"/>
      <c r="P221" s="50"/>
      <c r="Q221" s="42"/>
      <c r="R221" s="52"/>
      <c r="S221" s="98"/>
      <c r="T221" s="99">
        <v>2</v>
      </c>
      <c r="U221" s="34" t="str">
        <f>IF(S220="","",IF(T220=T221,"〃",IF(T221=1,"素焼土管",IF(T221=2,"合成樹脂管",IF(T221=3,"無孔管","")))))</f>
        <v/>
      </c>
      <c r="V221" s="35"/>
      <c r="W221" s="100"/>
      <c r="X221" s="101"/>
      <c r="Y221" s="95"/>
      <c r="Z221" s="42"/>
      <c r="AA221" s="46"/>
      <c r="AB221" s="97"/>
      <c r="AC221" s="36" t="str">
        <f>IF(S220="","",IF(T221=1,0.013,0.012))</f>
        <v/>
      </c>
      <c r="AD221" s="37" t="str">
        <f>IF(S220="","",(1/AC221*(W221/100/2)^(8/3)*(1/AB220*100)^(1/2)*1.65696)*100)</f>
        <v/>
      </c>
      <c r="AE221" s="37" t="str">
        <f>IF(S220="","",1/AC221*(W221/100/2)^(2/3)*(1/AB220)^(1/2)*0.70541)</f>
        <v/>
      </c>
      <c r="AF221" s="37" t="str">
        <f>IF(S220="","",ROUNDDOWN(AD221/($U$3/8.64),3))</f>
        <v/>
      </c>
      <c r="AG221" s="38" t="str">
        <f>IF(S220="","",ROUNDDOWN(AF221*10000/$AJ$3,0))</f>
        <v/>
      </c>
      <c r="AH221" s="39" t="str">
        <f t="shared" ref="AH221" si="2361">IF(S220="","",IF(AG221&gt;AI220,"＞",IF(AG221=AI220,"=","＜")))</f>
        <v/>
      </c>
      <c r="AI221" s="42"/>
      <c r="AJ221" s="44"/>
      <c r="AK221" s="39" t="str">
        <f>IF(S220="","",IF(AND(T221=1,AE221&gt;1),"NG",IF(AH221="＞","OK","NG")))</f>
        <v/>
      </c>
    </row>
    <row r="222" spans="1:37" ht="15.75" customHeight="1" x14ac:dyDescent="0.15">
      <c r="A222" s="80"/>
      <c r="B222" s="81">
        <v>2</v>
      </c>
      <c r="C222" s="58" t="str">
        <f>IF(A222="","",IF(B222=1,"素　焼土　管",IF(B222=2,"合　成樹脂管",IF(B222=3,"無孔管",""))))</f>
        <v/>
      </c>
      <c r="D222" s="60"/>
      <c r="E222" s="82"/>
      <c r="F222" s="83"/>
      <c r="G222" s="83"/>
      <c r="H222" s="84"/>
      <c r="I222" s="53" t="str">
        <f>IF(A222="","",F222-G222+H222)</f>
        <v/>
      </c>
      <c r="J222" s="55" t="str">
        <f>IF(A222="",""," 1/")</f>
        <v/>
      </c>
      <c r="K222" s="85"/>
      <c r="L222" s="56" t="str">
        <f>IF(A222="","",IF(B222=1,0.013,0.012))</f>
        <v/>
      </c>
      <c r="M222" s="47" t="str">
        <f>IF(A222="","",(1/L222*(E222/100/2)^(8/3)*(1/K222*100)^(1/2)*1.65696)*100)</f>
        <v/>
      </c>
      <c r="N222" s="47" t="str">
        <f>IF(A222="","",1/L222*(E222/100/2)^(2/3)*(1/K222)^(1/2)*0.70541)</f>
        <v/>
      </c>
      <c r="O222" s="48" t="str">
        <f>IF(A222="","",ROUNDDOWN(M222/($U$3/8.64)*10000/$AJ$3,0))</f>
        <v/>
      </c>
      <c r="P222" s="49" t="str">
        <f>IF(A222="","",IF(O222&gt;Q222,"＞","＜"))</f>
        <v/>
      </c>
      <c r="Q222" s="48" t="str">
        <f>IF(A222="","",I222)</f>
        <v/>
      </c>
      <c r="R222" s="51" t="str">
        <f>IF(A222="","",IF(P222="＞","OK","NG"))</f>
        <v/>
      </c>
      <c r="S222" s="86"/>
      <c r="T222" s="87"/>
      <c r="U222" s="28" t="str">
        <f>IF(S222="","",IF(T222=1,"素焼土管",IF(T222=2,"合成樹脂管",IF(T222=3,"無孔管",""))))</f>
        <v/>
      </c>
      <c r="V222" s="29"/>
      <c r="W222" s="88"/>
      <c r="X222" s="89"/>
      <c r="Y222" s="90"/>
      <c r="Z222" s="41" t="str">
        <f>IF(S222="","",IF(AND(T223=3,I222=""),Z220+Y222,IF(AND(Z220="",I220=""),I222+Y222,IF(AND(T223=3,I222&gt;0,Z220&gt;0),I222+Z220+Y222,IF(Z220="",I220+I222+X222+Y222,IF(I222="",Z220+X222+Y222,Z220+I222+X222+Y222))))))</f>
        <v/>
      </c>
      <c r="AA222" s="45" t="str">
        <f>IF(AB222="",""," 1/")</f>
        <v/>
      </c>
      <c r="AB222" s="91"/>
      <c r="AC222" s="30" t="str">
        <f>IF(S222="","",IF(T222="","",IF(T222=1,0.013,0.012)))</f>
        <v/>
      </c>
      <c r="AD222" s="31" t="str">
        <f>IF(S222="","",IF(T222="","",(1/AC222*(W222/100/2)^(8/3)*(1/AB222*100)^(1/2)*1.65696)*100))</f>
        <v/>
      </c>
      <c r="AE222" s="31" t="str">
        <f>IF(S222="","",IF(T222="","",1/AC222*(W222/100/2)^(2/3)*(1/AB222)^(1/2)*0.70541))</f>
        <v/>
      </c>
      <c r="AF222" s="31" t="str">
        <f>IF(S222="","",IF(T222="","",ROUNDDOWN(AD222/($U$3/8.64),3)))</f>
        <v/>
      </c>
      <c r="AG222" s="32" t="str">
        <f>IF(S222="","",IF(T222="","",ROUNDDOWN(AF222*10000/$AJ$3,0)))</f>
        <v/>
      </c>
      <c r="AH222" s="33" t="str">
        <f t="shared" si="2352"/>
        <v/>
      </c>
      <c r="AI222" s="41" t="str">
        <f>IF(S222="","",Z222)</f>
        <v/>
      </c>
      <c r="AJ222" s="43" t="str">
        <f>IF(S222="","",AI222*$AJ$3/10000)</f>
        <v/>
      </c>
      <c r="AK222" s="33" t="str">
        <f>IF(S222="","",IF(T222="","",IF(AND(T222=1,AE222&gt;1),"NG",IF(AH222="＞","OK","NG"))))</f>
        <v/>
      </c>
    </row>
    <row r="223" spans="1:37" ht="15.75" customHeight="1" x14ac:dyDescent="0.15">
      <c r="A223" s="92"/>
      <c r="B223" s="93"/>
      <c r="C223" s="59"/>
      <c r="D223" s="61"/>
      <c r="E223" s="94"/>
      <c r="F223" s="95"/>
      <c r="G223" s="95"/>
      <c r="H223" s="96"/>
      <c r="I223" s="54"/>
      <c r="J223" s="46"/>
      <c r="K223" s="97"/>
      <c r="L223" s="57"/>
      <c r="M223" s="44"/>
      <c r="N223" s="44"/>
      <c r="O223" s="42"/>
      <c r="P223" s="50"/>
      <c r="Q223" s="42"/>
      <c r="R223" s="52"/>
      <c r="S223" s="98"/>
      <c r="T223" s="99">
        <v>2</v>
      </c>
      <c r="U223" s="34" t="str">
        <f>IF(S222="","",IF(T222=T223,"〃",IF(T223=1,"素焼土管",IF(T223=2,"合成樹脂管",IF(T223=3,"無孔管","")))))</f>
        <v/>
      </c>
      <c r="V223" s="35"/>
      <c r="W223" s="100"/>
      <c r="X223" s="101"/>
      <c r="Y223" s="95"/>
      <c r="Z223" s="42"/>
      <c r="AA223" s="46"/>
      <c r="AB223" s="97"/>
      <c r="AC223" s="36" t="str">
        <f>IF(S222="","",IF(T223=1,0.013,0.012))</f>
        <v/>
      </c>
      <c r="AD223" s="37" t="str">
        <f>IF(S222="","",(1/AC223*(W223/100/2)^(8/3)*(1/AB222*100)^(1/2)*1.65696)*100)</f>
        <v/>
      </c>
      <c r="AE223" s="37" t="str">
        <f>IF(S222="","",1/AC223*(W223/100/2)^(2/3)*(1/AB222)^(1/2)*0.70541)</f>
        <v/>
      </c>
      <c r="AF223" s="37" t="str">
        <f>IF(S222="","",ROUNDDOWN(AD223/($U$3/8.64),3))</f>
        <v/>
      </c>
      <c r="AG223" s="38" t="str">
        <f>IF(S222="","",ROUNDDOWN(AF223*10000/$AJ$3,0))</f>
        <v/>
      </c>
      <c r="AH223" s="39" t="str">
        <f t="shared" ref="AH223" si="2362">IF(S222="","",IF(AG223&gt;AI222,"＞",IF(AG223=AI222,"=","＜")))</f>
        <v/>
      </c>
      <c r="AI223" s="42"/>
      <c r="AJ223" s="44"/>
      <c r="AK223" s="39" t="str">
        <f>IF(S222="","",IF(AND(T223=1,AE223&gt;1),"NG",IF(AH223="＞","OK","NG")))</f>
        <v/>
      </c>
    </row>
    <row r="224" spans="1:37" ht="15.75" customHeight="1" x14ac:dyDescent="0.15">
      <c r="A224" s="80"/>
      <c r="B224" s="81">
        <v>2</v>
      </c>
      <c r="C224" s="58" t="str">
        <f>IF(A224="","",IF(B224=1,"素　焼土　管",IF(B224=2,"合　成樹脂管",IF(B224=3,"無孔管",""))))</f>
        <v/>
      </c>
      <c r="D224" s="60"/>
      <c r="E224" s="82"/>
      <c r="F224" s="83"/>
      <c r="G224" s="83"/>
      <c r="H224" s="84"/>
      <c r="I224" s="53" t="str">
        <f>IF(A224="","",F224-G224+H224)</f>
        <v/>
      </c>
      <c r="J224" s="55" t="str">
        <f>IF(A224="",""," 1/")</f>
        <v/>
      </c>
      <c r="K224" s="85"/>
      <c r="L224" s="56" t="str">
        <f>IF(A224="","",IF(B224=1,0.013,0.012))</f>
        <v/>
      </c>
      <c r="M224" s="47" t="str">
        <f>IF(A224="","",(1/L224*(E224/100/2)^(8/3)*(1/K224*100)^(1/2)*1.65696)*100)</f>
        <v/>
      </c>
      <c r="N224" s="47" t="str">
        <f>IF(A224="","",1/L224*(E224/100/2)^(2/3)*(1/K224)^(1/2)*0.70541)</f>
        <v/>
      </c>
      <c r="O224" s="48" t="str">
        <f>IF(A224="","",ROUNDDOWN(M224/($U$3/8.64)*10000/$AJ$3,0))</f>
        <v/>
      </c>
      <c r="P224" s="49" t="str">
        <f>IF(A224="","",IF(O224&gt;Q224,"＞","＜"))</f>
        <v/>
      </c>
      <c r="Q224" s="48" t="str">
        <f>IF(A224="","",I224)</f>
        <v/>
      </c>
      <c r="R224" s="51" t="str">
        <f>IF(A224="","",IF(P224="＞","OK","NG"))</f>
        <v/>
      </c>
      <c r="S224" s="86"/>
      <c r="T224" s="87"/>
      <c r="U224" s="28" t="str">
        <f>IF(S224="","",IF(T224=1,"素焼土管",IF(T224=2,"合成樹脂管",IF(T224=3,"無孔管",""))))</f>
        <v/>
      </c>
      <c r="V224" s="29"/>
      <c r="W224" s="88"/>
      <c r="X224" s="89"/>
      <c r="Y224" s="90"/>
      <c r="Z224" s="41" t="str">
        <f>IF(S224="","",IF(AND(T225=3,I224=""),Z222+Y224,IF(AND(Z222="",I222=""),I224+Y224,IF(AND(T225=3,I224&gt;0,Z222&gt;0),I224+Z222+Y224,IF(Z222="",I222+I224+X224+Y224,IF(I224="",Z222+X224+Y224,Z222+I224+X224+Y224))))))</f>
        <v/>
      </c>
      <c r="AA224" s="45" t="str">
        <f>IF(AB224="",""," 1/")</f>
        <v/>
      </c>
      <c r="AB224" s="91"/>
      <c r="AC224" s="30" t="str">
        <f>IF(S224="","",IF(T224="","",IF(T224=1,0.013,0.012)))</f>
        <v/>
      </c>
      <c r="AD224" s="31" t="str">
        <f>IF(S224="","",IF(T224="","",(1/AC224*(W224/100/2)^(8/3)*(1/AB224*100)^(1/2)*1.65696)*100))</f>
        <v/>
      </c>
      <c r="AE224" s="31" t="str">
        <f>IF(S224="","",IF(T224="","",1/AC224*(W224/100/2)^(2/3)*(1/AB224)^(1/2)*0.70541))</f>
        <v/>
      </c>
      <c r="AF224" s="31" t="str">
        <f>IF(S224="","",IF(T224="","",ROUNDDOWN(AD224/($U$3/8.64),3)))</f>
        <v/>
      </c>
      <c r="AG224" s="32" t="str">
        <f>IF(S224="","",IF(T224="","",ROUNDDOWN(AF224*10000/$AJ$3,0)))</f>
        <v/>
      </c>
      <c r="AH224" s="33" t="str">
        <f t="shared" si="2352"/>
        <v/>
      </c>
      <c r="AI224" s="41" t="str">
        <f>IF(S224="","",Z224)</f>
        <v/>
      </c>
      <c r="AJ224" s="43" t="str">
        <f>IF(S224="","",AI224*$AJ$3/10000)</f>
        <v/>
      </c>
      <c r="AK224" s="33" t="str">
        <f>IF(S224="","",IF(T224="","",IF(AND(T224=1,AE224&gt;1),"NG",IF(AH224="＞","OK","NG"))))</f>
        <v/>
      </c>
    </row>
    <row r="225" spans="1:37" ht="15.75" customHeight="1" x14ac:dyDescent="0.15">
      <c r="A225" s="92"/>
      <c r="B225" s="93"/>
      <c r="C225" s="59"/>
      <c r="D225" s="61"/>
      <c r="E225" s="94"/>
      <c r="F225" s="95"/>
      <c r="G225" s="95"/>
      <c r="H225" s="96"/>
      <c r="I225" s="54"/>
      <c r="J225" s="46"/>
      <c r="K225" s="97"/>
      <c r="L225" s="57"/>
      <c r="M225" s="44"/>
      <c r="N225" s="44"/>
      <c r="O225" s="42"/>
      <c r="P225" s="50"/>
      <c r="Q225" s="42"/>
      <c r="R225" s="52"/>
      <c r="S225" s="98"/>
      <c r="T225" s="99">
        <v>2</v>
      </c>
      <c r="U225" s="34" t="str">
        <f>IF(S224="","",IF(T224=T225,"〃",IF(T225=1,"素焼土管",IF(T225=2,"合成樹脂管",IF(T225=3,"無孔管","")))))</f>
        <v/>
      </c>
      <c r="V225" s="35"/>
      <c r="W225" s="100"/>
      <c r="X225" s="101"/>
      <c r="Y225" s="95"/>
      <c r="Z225" s="42"/>
      <c r="AA225" s="46"/>
      <c r="AB225" s="97"/>
      <c r="AC225" s="36" t="str">
        <f>IF(S224="","",IF(T225=1,0.013,0.012))</f>
        <v/>
      </c>
      <c r="AD225" s="37" t="str">
        <f>IF(S224="","",(1/AC225*(W225/100/2)^(8/3)*(1/AB224*100)^(1/2)*1.65696)*100)</f>
        <v/>
      </c>
      <c r="AE225" s="37" t="str">
        <f>IF(S224="","",1/AC225*(W225/100/2)^(2/3)*(1/AB224)^(1/2)*0.70541)</f>
        <v/>
      </c>
      <c r="AF225" s="37" t="str">
        <f>IF(S224="","",ROUNDDOWN(AD225/($U$3/8.64),3))</f>
        <v/>
      </c>
      <c r="AG225" s="38" t="str">
        <f>IF(S224="","",ROUNDDOWN(AF225*10000/$AJ$3,0))</f>
        <v/>
      </c>
      <c r="AH225" s="39" t="str">
        <f t="shared" ref="AH225" si="2363">IF(S224="","",IF(AG225&gt;AI224,"＞",IF(AG225=AI224,"=","＜")))</f>
        <v/>
      </c>
      <c r="AI225" s="42"/>
      <c r="AJ225" s="44"/>
      <c r="AK225" s="39" t="str">
        <f>IF(S224="","",IF(AND(T225=1,AE225&gt;1),"NG",IF(AH225="＞","OK","NG")))</f>
        <v/>
      </c>
    </row>
    <row r="226" spans="1:37" ht="15.75" customHeight="1" x14ac:dyDescent="0.15">
      <c r="A226" s="80"/>
      <c r="B226" s="81">
        <v>2</v>
      </c>
      <c r="C226" s="58" t="str">
        <f>IF(A226="","",IF(B226=1,"素　焼土　管",IF(B226=2,"合　成樹脂管",IF(B226=3,"無孔管",""))))</f>
        <v/>
      </c>
      <c r="D226" s="60"/>
      <c r="E226" s="82"/>
      <c r="F226" s="83"/>
      <c r="G226" s="83"/>
      <c r="H226" s="84"/>
      <c r="I226" s="53" t="str">
        <f>IF(A226="","",F226-G226+H226)</f>
        <v/>
      </c>
      <c r="J226" s="55" t="str">
        <f>IF(A226="",""," 1/")</f>
        <v/>
      </c>
      <c r="K226" s="85"/>
      <c r="L226" s="56" t="str">
        <f>IF(A226="","",IF(B226=1,0.013,0.012))</f>
        <v/>
      </c>
      <c r="M226" s="47" t="str">
        <f>IF(A226="","",(1/L226*(E226/100/2)^(8/3)*(1/K226*100)^(1/2)*1.65696)*100)</f>
        <v/>
      </c>
      <c r="N226" s="47" t="str">
        <f>IF(A226="","",1/L226*(E226/100/2)^(2/3)*(1/K226)^(1/2)*0.70541)</f>
        <v/>
      </c>
      <c r="O226" s="48" t="str">
        <f>IF(A226="","",ROUNDDOWN(M226/($U$3/8.64)*10000/$AJ$3,0))</f>
        <v/>
      </c>
      <c r="P226" s="49" t="str">
        <f>IF(A226="","",IF(O226&gt;Q226,"＞","＜"))</f>
        <v/>
      </c>
      <c r="Q226" s="48" t="str">
        <f>IF(A226="","",I226)</f>
        <v/>
      </c>
      <c r="R226" s="51" t="str">
        <f>IF(A226="","",IF(P226="＞","OK","NG"))</f>
        <v/>
      </c>
      <c r="S226" s="86"/>
      <c r="T226" s="87"/>
      <c r="U226" s="28" t="str">
        <f>IF(S226="","",IF(T226=1,"素焼土管",IF(T226=2,"合成樹脂管",IF(T226=3,"無孔管",""))))</f>
        <v/>
      </c>
      <c r="V226" s="29"/>
      <c r="W226" s="88"/>
      <c r="X226" s="89"/>
      <c r="Y226" s="90"/>
      <c r="Z226" s="41" t="str">
        <f>IF(S226="","",IF(AND(T227=3,I226=""),Z224+Y226,IF(AND(Z224="",I224=""),I226+Y226,IF(AND(T227=3,I226&gt;0,Z224&gt;0),I226+Z224+Y226,IF(Z224="",I224+I226+X226+Y226,IF(I226="",Z224+X226+Y226,Z224+I226+X226+Y226))))))</f>
        <v/>
      </c>
      <c r="AA226" s="45" t="str">
        <f>IF(AB226="",""," 1/")</f>
        <v/>
      </c>
      <c r="AB226" s="91"/>
      <c r="AC226" s="30" t="str">
        <f>IF(S226="","",IF(T226="","",IF(T226=1,0.013,0.012)))</f>
        <v/>
      </c>
      <c r="AD226" s="31" t="str">
        <f>IF(S226="","",IF(T226="","",(1/AC226*(W226/100/2)^(8/3)*(1/AB226*100)^(1/2)*1.65696)*100))</f>
        <v/>
      </c>
      <c r="AE226" s="31" t="str">
        <f>IF(S226="","",IF(T226="","",1/AC226*(W226/100/2)^(2/3)*(1/AB226)^(1/2)*0.70541))</f>
        <v/>
      </c>
      <c r="AF226" s="31" t="str">
        <f>IF(S226="","",IF(T226="","",ROUNDDOWN(AD226/($U$3/8.64),3)))</f>
        <v/>
      </c>
      <c r="AG226" s="32" t="str">
        <f>IF(S226="","",IF(T226="","",ROUNDDOWN(AF226*10000/$AJ$3,0)))</f>
        <v/>
      </c>
      <c r="AH226" s="33" t="str">
        <f t="shared" si="2352"/>
        <v/>
      </c>
      <c r="AI226" s="41" t="str">
        <f>IF(S226="","",Z226)</f>
        <v/>
      </c>
      <c r="AJ226" s="43" t="str">
        <f>IF(S226="","",AI226*$AJ$3/10000)</f>
        <v/>
      </c>
      <c r="AK226" s="33" t="str">
        <f>IF(S226="","",IF(T226="","",IF(AND(T226=1,AE226&gt;1),"NG",IF(AH226="＞","OK","NG"))))</f>
        <v/>
      </c>
    </row>
    <row r="227" spans="1:37" ht="15.75" customHeight="1" x14ac:dyDescent="0.15">
      <c r="A227" s="92"/>
      <c r="B227" s="93"/>
      <c r="C227" s="59"/>
      <c r="D227" s="61"/>
      <c r="E227" s="94"/>
      <c r="F227" s="95"/>
      <c r="G227" s="95"/>
      <c r="H227" s="96"/>
      <c r="I227" s="54"/>
      <c r="J227" s="46"/>
      <c r="K227" s="97"/>
      <c r="L227" s="57"/>
      <c r="M227" s="44"/>
      <c r="N227" s="44"/>
      <c r="O227" s="42"/>
      <c r="P227" s="50"/>
      <c r="Q227" s="42"/>
      <c r="R227" s="52"/>
      <c r="S227" s="98"/>
      <c r="T227" s="99">
        <v>2</v>
      </c>
      <c r="U227" s="34" t="str">
        <f>IF(S226="","",IF(T226=T227,"〃",IF(T227=1,"素焼土管",IF(T227=2,"合成樹脂管",IF(T227=3,"無孔管","")))))</f>
        <v/>
      </c>
      <c r="V227" s="35"/>
      <c r="W227" s="100"/>
      <c r="X227" s="101"/>
      <c r="Y227" s="95"/>
      <c r="Z227" s="42"/>
      <c r="AA227" s="46"/>
      <c r="AB227" s="97"/>
      <c r="AC227" s="36" t="str">
        <f>IF(S226="","",IF(T227=1,0.013,0.012))</f>
        <v/>
      </c>
      <c r="AD227" s="37" t="str">
        <f>IF(S226="","",(1/AC227*(W227/100/2)^(8/3)*(1/AB226*100)^(1/2)*1.65696)*100)</f>
        <v/>
      </c>
      <c r="AE227" s="37" t="str">
        <f>IF(S226="","",1/AC227*(W227/100/2)^(2/3)*(1/AB226)^(1/2)*0.70541)</f>
        <v/>
      </c>
      <c r="AF227" s="37" t="str">
        <f>IF(S226="","",ROUNDDOWN(AD227/($U$3/8.64),3))</f>
        <v/>
      </c>
      <c r="AG227" s="38" t="str">
        <f>IF(S226="","",ROUNDDOWN(AF227*10000/$AJ$3,0))</f>
        <v/>
      </c>
      <c r="AH227" s="39" t="str">
        <f t="shared" ref="AH227" si="2364">IF(S226="","",IF(AG227&gt;AI226,"＞",IF(AG227=AI226,"=","＜")))</f>
        <v/>
      </c>
      <c r="AI227" s="42"/>
      <c r="AJ227" s="44"/>
      <c r="AK227" s="39" t="str">
        <f>IF(S226="","",IF(AND(T227=1,AE227&gt;1),"NG",IF(AH227="＞","OK","NG")))</f>
        <v/>
      </c>
    </row>
    <row r="228" spans="1:37" ht="15.75" customHeight="1" x14ac:dyDescent="0.15">
      <c r="A228" s="80"/>
      <c r="B228" s="81">
        <v>2</v>
      </c>
      <c r="C228" s="58" t="str">
        <f>IF(A228="","",IF(B228=1,"素　焼土　管",IF(B228=2,"合　成樹脂管",IF(B228=3,"無孔管",""))))</f>
        <v/>
      </c>
      <c r="D228" s="60"/>
      <c r="E228" s="82"/>
      <c r="F228" s="83"/>
      <c r="G228" s="83"/>
      <c r="H228" s="84"/>
      <c r="I228" s="53" t="str">
        <f>IF(A228="","",F228-G228+H228)</f>
        <v/>
      </c>
      <c r="J228" s="55" t="str">
        <f>IF(A228="",""," 1/")</f>
        <v/>
      </c>
      <c r="K228" s="85"/>
      <c r="L228" s="56" t="str">
        <f>IF(A228="","",IF(B228=1,0.013,0.012))</f>
        <v/>
      </c>
      <c r="M228" s="47" t="str">
        <f>IF(A228="","",(1/L228*(E228/100/2)^(8/3)*(1/K228*100)^(1/2)*1.65696)*100)</f>
        <v/>
      </c>
      <c r="N228" s="47" t="str">
        <f>IF(A228="","",1/L228*(E228/100/2)^(2/3)*(1/K228)^(1/2)*0.70541)</f>
        <v/>
      </c>
      <c r="O228" s="48" t="str">
        <f>IF(A228="","",ROUNDDOWN(M228/($U$3/8.64)*10000/$AJ$3,0))</f>
        <v/>
      </c>
      <c r="P228" s="49" t="str">
        <f>IF(A228="","",IF(O228&gt;Q228,"＞","＜"))</f>
        <v/>
      </c>
      <c r="Q228" s="48" t="str">
        <f>IF(A228="","",I228)</f>
        <v/>
      </c>
      <c r="R228" s="51" t="str">
        <f>IF(A228="","",IF(P228="＞","OK","NG"))</f>
        <v/>
      </c>
      <c r="S228" s="86"/>
      <c r="T228" s="87"/>
      <c r="U228" s="28" t="str">
        <f>IF(S228="","",IF(T228=1,"素焼土管",IF(T228=2,"合成樹脂管",IF(T228=3,"無孔管",""))))</f>
        <v/>
      </c>
      <c r="V228" s="29"/>
      <c r="W228" s="88"/>
      <c r="X228" s="89"/>
      <c r="Y228" s="90"/>
      <c r="Z228" s="41" t="str">
        <f>IF(S228="","",IF(AND(T229=3,I228=""),Z226+Y228,IF(AND(Z226="",I226=""),I228+Y228,IF(AND(T229=3,I228&gt;0,Z226&gt;0),I228+Z226+Y228,IF(Z226="",I226+I228+X228+Y228,IF(I228="",Z226+X228+Y228,Z226+I228+X228+Y228))))))</f>
        <v/>
      </c>
      <c r="AA228" s="45" t="str">
        <f>IF(AB228="",""," 1/")</f>
        <v/>
      </c>
      <c r="AB228" s="91"/>
      <c r="AC228" s="30" t="str">
        <f>IF(S228="","",IF(T228="","",IF(T228=1,0.013,0.012)))</f>
        <v/>
      </c>
      <c r="AD228" s="31" t="str">
        <f>IF(S228="","",IF(T228="","",(1/AC228*(W228/100/2)^(8/3)*(1/AB228*100)^(1/2)*1.65696)*100))</f>
        <v/>
      </c>
      <c r="AE228" s="31" t="str">
        <f>IF(S228="","",IF(T228="","",1/AC228*(W228/100/2)^(2/3)*(1/AB228)^(1/2)*0.70541))</f>
        <v/>
      </c>
      <c r="AF228" s="31" t="str">
        <f>IF(S228="","",IF(T228="","",ROUNDDOWN(AD228/($U$3/8.64),3)))</f>
        <v/>
      </c>
      <c r="AG228" s="32" t="str">
        <f>IF(S228="","",IF(T228="","",ROUNDDOWN(AF228*10000/$AJ$3,0)))</f>
        <v/>
      </c>
      <c r="AH228" s="33" t="str">
        <f t="shared" si="2352"/>
        <v/>
      </c>
      <c r="AI228" s="41" t="str">
        <f>IF(S228="","",Z228)</f>
        <v/>
      </c>
      <c r="AJ228" s="43" t="str">
        <f>IF(S228="","",AI228*$AJ$3/10000)</f>
        <v/>
      </c>
      <c r="AK228" s="33" t="str">
        <f>IF(S228="","",IF(T228="","",IF(AND(T228=1,AE228&gt;1),"NG",IF(AH228="＞","OK","NG"))))</f>
        <v/>
      </c>
    </row>
    <row r="229" spans="1:37" ht="15.75" customHeight="1" x14ac:dyDescent="0.15">
      <c r="A229" s="92"/>
      <c r="B229" s="93"/>
      <c r="C229" s="59"/>
      <c r="D229" s="61"/>
      <c r="E229" s="94"/>
      <c r="F229" s="95"/>
      <c r="G229" s="95"/>
      <c r="H229" s="96"/>
      <c r="I229" s="54"/>
      <c r="J229" s="46"/>
      <c r="K229" s="97"/>
      <c r="L229" s="57"/>
      <c r="M229" s="44"/>
      <c r="N229" s="44"/>
      <c r="O229" s="42"/>
      <c r="P229" s="50"/>
      <c r="Q229" s="42"/>
      <c r="R229" s="52"/>
      <c r="S229" s="98"/>
      <c r="T229" s="99">
        <v>2</v>
      </c>
      <c r="U229" s="34" t="str">
        <f>IF(S228="","",IF(T228=T229,"〃",IF(T229=1,"素焼土管",IF(T229=2,"合成樹脂管",IF(T229=3,"無孔管","")))))</f>
        <v/>
      </c>
      <c r="V229" s="35"/>
      <c r="W229" s="100"/>
      <c r="X229" s="101"/>
      <c r="Y229" s="95"/>
      <c r="Z229" s="42"/>
      <c r="AA229" s="46"/>
      <c r="AB229" s="97"/>
      <c r="AC229" s="36" t="str">
        <f>IF(S228="","",IF(T229=1,0.013,0.012))</f>
        <v/>
      </c>
      <c r="AD229" s="37" t="str">
        <f>IF(S228="","",(1/AC229*(W229/100/2)^(8/3)*(1/AB228*100)^(1/2)*1.65696)*100)</f>
        <v/>
      </c>
      <c r="AE229" s="37" t="str">
        <f>IF(S228="","",1/AC229*(W229/100/2)^(2/3)*(1/AB228)^(1/2)*0.70541)</f>
        <v/>
      </c>
      <c r="AF229" s="37" t="str">
        <f>IF(S228="","",ROUNDDOWN(AD229/($U$3/8.64),3))</f>
        <v/>
      </c>
      <c r="AG229" s="38" t="str">
        <f>IF(S228="","",ROUNDDOWN(AF229*10000/$AJ$3,0))</f>
        <v/>
      </c>
      <c r="AH229" s="39" t="str">
        <f t="shared" ref="AH229" si="2365">IF(S228="","",IF(AG229&gt;AI228,"＞",IF(AG229=AI228,"=","＜")))</f>
        <v/>
      </c>
      <c r="AI229" s="42"/>
      <c r="AJ229" s="44"/>
      <c r="AK229" s="39" t="str">
        <f>IF(S228="","",IF(AND(T229=1,AE229&gt;1),"NG",IF(AH229="＞","OK","NG")))</f>
        <v/>
      </c>
    </row>
    <row r="230" spans="1:37" ht="15.75" customHeight="1" x14ac:dyDescent="0.15">
      <c r="A230" s="80"/>
      <c r="B230" s="81">
        <v>2</v>
      </c>
      <c r="C230" s="58" t="str">
        <f>IF(A230="","",IF(B230=1,"素　焼土　管",IF(B230=2,"合　成樹脂管",IF(B230=3,"無孔管",""))))</f>
        <v/>
      </c>
      <c r="D230" s="60"/>
      <c r="E230" s="82"/>
      <c r="F230" s="83"/>
      <c r="G230" s="83"/>
      <c r="H230" s="84"/>
      <c r="I230" s="53" t="str">
        <f>IF(A230="","",F230-G230+H230)</f>
        <v/>
      </c>
      <c r="J230" s="55" t="str">
        <f>IF(A230="",""," 1/")</f>
        <v/>
      </c>
      <c r="K230" s="85"/>
      <c r="L230" s="56" t="str">
        <f>IF(A230="","",IF(B230=1,0.013,0.012))</f>
        <v/>
      </c>
      <c r="M230" s="47" t="str">
        <f>IF(A230="","",(1/L230*(E230/100/2)^(8/3)*(1/K230*100)^(1/2)*1.65696)*100)</f>
        <v/>
      </c>
      <c r="N230" s="47" t="str">
        <f>IF(A230="","",1/L230*(E230/100/2)^(2/3)*(1/K230)^(1/2)*0.70541)</f>
        <v/>
      </c>
      <c r="O230" s="48" t="str">
        <f>IF(A230="","",ROUNDDOWN(M230/($U$3/8.64)*10000/$AJ$3,0))</f>
        <v/>
      </c>
      <c r="P230" s="49" t="str">
        <f>IF(A230="","",IF(O230&gt;Q230,"＞","＜"))</f>
        <v/>
      </c>
      <c r="Q230" s="48" t="str">
        <f>IF(A230="","",I230)</f>
        <v/>
      </c>
      <c r="R230" s="51" t="str">
        <f>IF(A230="","",IF(P230="＞","OK","NG"))</f>
        <v/>
      </c>
      <c r="S230" s="86"/>
      <c r="T230" s="87"/>
      <c r="U230" s="28" t="str">
        <f>IF(S230="","",IF(T230=1,"素焼土管",IF(T230=2,"合成樹脂管",IF(T230=3,"無孔管",""))))</f>
        <v/>
      </c>
      <c r="V230" s="29"/>
      <c r="W230" s="88"/>
      <c r="X230" s="89"/>
      <c r="Y230" s="90"/>
      <c r="Z230" s="41" t="str">
        <f>IF(S230="","",IF(AND(T231=3,I230=""),Z228+Y230,IF(AND(Z228="",I228=""),I230+Y230,IF(AND(T231=3,I230&gt;0,Z228&gt;0),I230+Z228+Y230,IF(Z228="",I228+I230+X230+Y230,IF(I230="",Z228+X230+Y230,Z228+I230+X230+Y230))))))</f>
        <v/>
      </c>
      <c r="AA230" s="45" t="str">
        <f>IF(AB230="",""," 1/")</f>
        <v/>
      </c>
      <c r="AB230" s="91"/>
      <c r="AC230" s="30" t="str">
        <f>IF(S230="","",IF(T230="","",IF(T230=1,0.013,0.012)))</f>
        <v/>
      </c>
      <c r="AD230" s="31" t="str">
        <f>IF(S230="","",IF(T230="","",(1/AC230*(W230/100/2)^(8/3)*(1/AB230*100)^(1/2)*1.65696)*100))</f>
        <v/>
      </c>
      <c r="AE230" s="31" t="str">
        <f>IF(S230="","",IF(T230="","",1/AC230*(W230/100/2)^(2/3)*(1/AB230)^(1/2)*0.70541))</f>
        <v/>
      </c>
      <c r="AF230" s="31" t="str">
        <f>IF(S230="","",IF(T230="","",ROUNDDOWN(AD230/($U$3/8.64),3)))</f>
        <v/>
      </c>
      <c r="AG230" s="32" t="str">
        <f>IF(S230="","",IF(T230="","",ROUNDDOWN(AF230*10000/$AJ$3,0)))</f>
        <v/>
      </c>
      <c r="AH230" s="33" t="str">
        <f t="shared" si="2352"/>
        <v/>
      </c>
      <c r="AI230" s="41" t="str">
        <f>IF(S230="","",Z230)</f>
        <v/>
      </c>
      <c r="AJ230" s="43" t="str">
        <f>IF(S230="","",AI230*$AJ$3/10000)</f>
        <v/>
      </c>
      <c r="AK230" s="33" t="str">
        <f>IF(S230="","",IF(T230="","",IF(AND(T230=1,AE230&gt;1),"NG",IF(AH230="＞","OK","NG"))))</f>
        <v/>
      </c>
    </row>
    <row r="231" spans="1:37" ht="15.75" customHeight="1" x14ac:dyDescent="0.15">
      <c r="A231" s="92"/>
      <c r="B231" s="93"/>
      <c r="C231" s="59"/>
      <c r="D231" s="61"/>
      <c r="E231" s="94"/>
      <c r="F231" s="95"/>
      <c r="G231" s="95"/>
      <c r="H231" s="96"/>
      <c r="I231" s="54"/>
      <c r="J231" s="46"/>
      <c r="K231" s="97"/>
      <c r="L231" s="57"/>
      <c r="M231" s="44"/>
      <c r="N231" s="44"/>
      <c r="O231" s="42"/>
      <c r="P231" s="50"/>
      <c r="Q231" s="42"/>
      <c r="R231" s="52"/>
      <c r="S231" s="98"/>
      <c r="T231" s="99">
        <v>2</v>
      </c>
      <c r="U231" s="34" t="str">
        <f>IF(S230="","",IF(T230=T231,"〃",IF(T231=1,"素焼土管",IF(T231=2,"合成樹脂管",IF(T231=3,"無孔管","")))))</f>
        <v/>
      </c>
      <c r="V231" s="35"/>
      <c r="W231" s="100"/>
      <c r="X231" s="101"/>
      <c r="Y231" s="95"/>
      <c r="Z231" s="42"/>
      <c r="AA231" s="46"/>
      <c r="AB231" s="97"/>
      <c r="AC231" s="36" t="str">
        <f>IF(S230="","",IF(T231=1,0.013,0.012))</f>
        <v/>
      </c>
      <c r="AD231" s="37" t="str">
        <f>IF(S230="","",(1/AC231*(W231/100/2)^(8/3)*(1/AB230*100)^(1/2)*1.65696)*100)</f>
        <v/>
      </c>
      <c r="AE231" s="37" t="str">
        <f>IF(S230="","",1/AC231*(W231/100/2)^(2/3)*(1/AB230)^(1/2)*0.70541)</f>
        <v/>
      </c>
      <c r="AF231" s="37" t="str">
        <f>IF(S230="","",ROUNDDOWN(AD231/($U$3/8.64),3))</f>
        <v/>
      </c>
      <c r="AG231" s="38" t="str">
        <f>IF(S230="","",ROUNDDOWN(AF231*10000/$AJ$3,0))</f>
        <v/>
      </c>
      <c r="AH231" s="39" t="str">
        <f t="shared" ref="AH231" si="2366">IF(S230="","",IF(AG231&gt;AI230,"＞",IF(AG231=AI230,"=","＜")))</f>
        <v/>
      </c>
      <c r="AI231" s="42"/>
      <c r="AJ231" s="44"/>
      <c r="AK231" s="39" t="str">
        <f>IF(S230="","",IF(AND(T231=1,AE231&gt;1),"NG",IF(AH231="＞","OK","NG")))</f>
        <v/>
      </c>
    </row>
    <row r="232" spans="1:37" ht="15.75" customHeight="1" x14ac:dyDescent="0.15">
      <c r="A232" s="80"/>
      <c r="B232" s="81">
        <v>2</v>
      </c>
      <c r="C232" s="58" t="str">
        <f>IF(A232="","",IF(B232=1,"素　焼土　管",IF(B232=2,"合　成樹脂管",IF(B232=3,"無孔管",""))))</f>
        <v/>
      </c>
      <c r="D232" s="60"/>
      <c r="E232" s="82"/>
      <c r="F232" s="83"/>
      <c r="G232" s="83"/>
      <c r="H232" s="84"/>
      <c r="I232" s="53" t="str">
        <f>IF(A232="","",F232-G232+H232)</f>
        <v/>
      </c>
      <c r="J232" s="55" t="str">
        <f>IF(A232="",""," 1/")</f>
        <v/>
      </c>
      <c r="K232" s="85"/>
      <c r="L232" s="56" t="str">
        <f>IF(A232="","",IF(B232=1,0.013,0.012))</f>
        <v/>
      </c>
      <c r="M232" s="47" t="str">
        <f>IF(A232="","",(1/L232*(E232/100/2)^(8/3)*(1/K232*100)^(1/2)*1.65696)*100)</f>
        <v/>
      </c>
      <c r="N232" s="47" t="str">
        <f>IF(A232="","",1/L232*(E232/100/2)^(2/3)*(1/K232)^(1/2)*0.70541)</f>
        <v/>
      </c>
      <c r="O232" s="48" t="str">
        <f>IF(A232="","",ROUNDDOWN(M232/($U$3/8.64)*10000/$AJ$3,0))</f>
        <v/>
      </c>
      <c r="P232" s="49" t="str">
        <f>IF(A232="","",IF(O232&gt;Q232,"＞","＜"))</f>
        <v/>
      </c>
      <c r="Q232" s="48" t="str">
        <f>IF(A232="","",I232)</f>
        <v/>
      </c>
      <c r="R232" s="51" t="str">
        <f>IF(A232="","",IF(P232="＞","OK","NG"))</f>
        <v/>
      </c>
      <c r="S232" s="86"/>
      <c r="T232" s="87"/>
      <c r="U232" s="28" t="str">
        <f>IF(S232="","",IF(T232=1,"素焼土管",IF(T232=2,"合成樹脂管",IF(T232=3,"無孔管",""))))</f>
        <v/>
      </c>
      <c r="V232" s="29"/>
      <c r="W232" s="88"/>
      <c r="X232" s="89"/>
      <c r="Y232" s="90"/>
      <c r="Z232" s="41" t="str">
        <f>IF(S232="","",IF(AND(T233=3,I232=""),Z230+Y232,IF(AND(Z230="",I230=""),I232+Y232,IF(AND(T233=3,I232&gt;0,Z230&gt;0),I232+Z230+Y232,IF(Z230="",I230+I232+X232+Y232,IF(I232="",Z230+X232+Y232,Z230+I232+X232+Y232))))))</f>
        <v/>
      </c>
      <c r="AA232" s="45" t="str">
        <f>IF(AB232="",""," 1/")</f>
        <v/>
      </c>
      <c r="AB232" s="91"/>
      <c r="AC232" s="30" t="str">
        <f>IF(S232="","",IF(T232="","",IF(T232=1,0.013,0.012)))</f>
        <v/>
      </c>
      <c r="AD232" s="31" t="str">
        <f>IF(S232="","",IF(T232="","",(1/AC232*(W232/100/2)^(8/3)*(1/AB232*100)^(1/2)*1.65696)*100))</f>
        <v/>
      </c>
      <c r="AE232" s="31" t="str">
        <f>IF(S232="","",IF(T232="","",1/AC232*(W232/100/2)^(2/3)*(1/AB232)^(1/2)*0.70541))</f>
        <v/>
      </c>
      <c r="AF232" s="31" t="str">
        <f>IF(S232="","",IF(T232="","",ROUNDDOWN(AD232/($U$3/8.64),3)))</f>
        <v/>
      </c>
      <c r="AG232" s="32" t="str">
        <f>IF(S232="","",IF(T232="","",ROUNDDOWN(AF232*10000/$AJ$3,0)))</f>
        <v/>
      </c>
      <c r="AH232" s="33" t="str">
        <f t="shared" si="2352"/>
        <v/>
      </c>
      <c r="AI232" s="41" t="str">
        <f>IF(S232="","",Z232)</f>
        <v/>
      </c>
      <c r="AJ232" s="43" t="str">
        <f>IF(S232="","",AI232*$AJ$3/10000)</f>
        <v/>
      </c>
      <c r="AK232" s="33" t="str">
        <f>IF(S232="","",IF(T232="","",IF(AND(T232=1,AE232&gt;1),"NG",IF(AH232="＞","OK","NG"))))</f>
        <v/>
      </c>
    </row>
    <row r="233" spans="1:37" ht="15.75" customHeight="1" x14ac:dyDescent="0.15">
      <c r="A233" s="92"/>
      <c r="B233" s="93"/>
      <c r="C233" s="59"/>
      <c r="D233" s="61"/>
      <c r="E233" s="94"/>
      <c r="F233" s="95"/>
      <c r="G233" s="95"/>
      <c r="H233" s="96"/>
      <c r="I233" s="54"/>
      <c r="J233" s="46"/>
      <c r="K233" s="97"/>
      <c r="L233" s="57"/>
      <c r="M233" s="44"/>
      <c r="N233" s="44"/>
      <c r="O233" s="42"/>
      <c r="P233" s="50"/>
      <c r="Q233" s="42"/>
      <c r="R233" s="52"/>
      <c r="S233" s="98"/>
      <c r="T233" s="99">
        <v>2</v>
      </c>
      <c r="U233" s="34" t="str">
        <f>IF(S232="","",IF(T232=T233,"〃",IF(T233=1,"素焼土管",IF(T233=2,"合成樹脂管",IF(T233=3,"無孔管","")))))</f>
        <v/>
      </c>
      <c r="V233" s="35"/>
      <c r="W233" s="100"/>
      <c r="X233" s="101"/>
      <c r="Y233" s="95"/>
      <c r="Z233" s="42"/>
      <c r="AA233" s="46"/>
      <c r="AB233" s="97"/>
      <c r="AC233" s="36" t="str">
        <f>IF(S232="","",IF(T233=1,0.013,0.012))</f>
        <v/>
      </c>
      <c r="AD233" s="37" t="str">
        <f>IF(S232="","",(1/AC233*(W233/100/2)^(8/3)*(1/AB232*100)^(1/2)*1.65696)*100)</f>
        <v/>
      </c>
      <c r="AE233" s="37" t="str">
        <f>IF(S232="","",1/AC233*(W233/100/2)^(2/3)*(1/AB232)^(1/2)*0.70541)</f>
        <v/>
      </c>
      <c r="AF233" s="37" t="str">
        <f>IF(S232="","",ROUNDDOWN(AD233/($U$3/8.64),3))</f>
        <v/>
      </c>
      <c r="AG233" s="38" t="str">
        <f>IF(S232="","",ROUNDDOWN(AF233*10000/$AJ$3,0))</f>
        <v/>
      </c>
      <c r="AH233" s="39" t="str">
        <f t="shared" ref="AH233" si="2367">IF(S232="","",IF(AG233&gt;AI232,"＞",IF(AG233=AI232,"=","＜")))</f>
        <v/>
      </c>
      <c r="AI233" s="42"/>
      <c r="AJ233" s="44"/>
      <c r="AK233" s="39" t="str">
        <f>IF(S232="","",IF(AND(T233=1,AE233&gt;1),"NG",IF(AH233="＞","OK","NG")))</f>
        <v/>
      </c>
    </row>
    <row r="234" spans="1:37" ht="15.75" customHeight="1" x14ac:dyDescent="0.15">
      <c r="A234" s="80"/>
      <c r="B234" s="81">
        <v>2</v>
      </c>
      <c r="C234" s="58" t="str">
        <f>IF(A234="","",IF(B234=1,"素　焼土　管",IF(B234=2,"合　成樹脂管",IF(B234=3,"無孔管",""))))</f>
        <v/>
      </c>
      <c r="D234" s="60"/>
      <c r="E234" s="82"/>
      <c r="F234" s="83"/>
      <c r="G234" s="83"/>
      <c r="H234" s="84"/>
      <c r="I234" s="53" t="str">
        <f>IF(A234="","",F234-G234+H234)</f>
        <v/>
      </c>
      <c r="J234" s="55" t="str">
        <f>IF(A234="",""," 1/")</f>
        <v/>
      </c>
      <c r="K234" s="85"/>
      <c r="L234" s="56" t="str">
        <f>IF(A234="","",IF(B234=1,0.013,0.012))</f>
        <v/>
      </c>
      <c r="M234" s="47" t="str">
        <f>IF(A234="","",(1/L234*(E234/100/2)^(8/3)*(1/K234*100)^(1/2)*1.65696)*100)</f>
        <v/>
      </c>
      <c r="N234" s="47" t="str">
        <f>IF(A234="","",1/L234*(E234/100/2)^(2/3)*(1/K234)^(1/2)*0.70541)</f>
        <v/>
      </c>
      <c r="O234" s="48" t="str">
        <f>IF(A234="","",ROUNDDOWN(M234/($U$3/8.64)*10000/$AJ$3,0))</f>
        <v/>
      </c>
      <c r="P234" s="49" t="str">
        <f>IF(A234="","",IF(O234&gt;Q234,"＞","＜"))</f>
        <v/>
      </c>
      <c r="Q234" s="48" t="str">
        <f>IF(A234="","",I234)</f>
        <v/>
      </c>
      <c r="R234" s="51" t="str">
        <f>IF(A234="","",IF(P234="＞","OK","NG"))</f>
        <v/>
      </c>
      <c r="S234" s="86"/>
      <c r="T234" s="87"/>
      <c r="U234" s="28" t="str">
        <f>IF(S234="","",IF(T234=1,"素焼土管",IF(T234=2,"合成樹脂管",IF(T234=3,"無孔管",""))))</f>
        <v/>
      </c>
      <c r="V234" s="29"/>
      <c r="W234" s="88"/>
      <c r="X234" s="89"/>
      <c r="Y234" s="90"/>
      <c r="Z234" s="41" t="str">
        <f>IF(S234="","",IF(AND(T235=3,I234=""),Z232+Y234,IF(AND(Z232="",I232=""),I234+Y234,IF(AND(T235=3,I234&gt;0,Z232&gt;0),I234+Z232+Y234,IF(Z232="",I232+I234+X234+Y234,IF(I234="",Z232+X234+Y234,Z232+I234+X234+Y234))))))</f>
        <v/>
      </c>
      <c r="AA234" s="45" t="str">
        <f>IF(AB234="",""," 1/")</f>
        <v/>
      </c>
      <c r="AB234" s="91"/>
      <c r="AC234" s="30" t="str">
        <f>IF(S234="","",IF(T234="","",IF(T234=1,0.013,0.012)))</f>
        <v/>
      </c>
      <c r="AD234" s="31" t="str">
        <f>IF(S234="","",IF(T234="","",(1/AC234*(W234/100/2)^(8/3)*(1/AB234*100)^(1/2)*1.65696)*100))</f>
        <v/>
      </c>
      <c r="AE234" s="31" t="str">
        <f>IF(S234="","",IF(T234="","",1/AC234*(W234/100/2)^(2/3)*(1/AB234)^(1/2)*0.70541))</f>
        <v/>
      </c>
      <c r="AF234" s="31" t="str">
        <f>IF(S234="","",IF(T234="","",ROUNDDOWN(AD234/($U$3/8.64),3)))</f>
        <v/>
      </c>
      <c r="AG234" s="32" t="str">
        <f>IF(S234="","",IF(T234="","",ROUNDDOWN(AF234*10000/$AJ$3,0)))</f>
        <v/>
      </c>
      <c r="AH234" s="33" t="str">
        <f t="shared" si="2352"/>
        <v/>
      </c>
      <c r="AI234" s="41" t="str">
        <f>IF(S234="","",Z234)</f>
        <v/>
      </c>
      <c r="AJ234" s="43" t="str">
        <f>IF(S234="","",AI234*$AJ$3/10000)</f>
        <v/>
      </c>
      <c r="AK234" s="33" t="str">
        <f>IF(S234="","",IF(T234="","",IF(AND(T234=1,AE234&gt;1),"NG",IF(AH234="＞","OK","NG"))))</f>
        <v/>
      </c>
    </row>
    <row r="235" spans="1:37" ht="15.75" customHeight="1" x14ac:dyDescent="0.15">
      <c r="A235" s="92"/>
      <c r="B235" s="93"/>
      <c r="C235" s="59"/>
      <c r="D235" s="61"/>
      <c r="E235" s="94"/>
      <c r="F235" s="95"/>
      <c r="G235" s="95"/>
      <c r="H235" s="96"/>
      <c r="I235" s="54"/>
      <c r="J235" s="46"/>
      <c r="K235" s="97"/>
      <c r="L235" s="57"/>
      <c r="M235" s="44"/>
      <c r="N235" s="44"/>
      <c r="O235" s="42"/>
      <c r="P235" s="50"/>
      <c r="Q235" s="42"/>
      <c r="R235" s="52"/>
      <c r="S235" s="98"/>
      <c r="T235" s="99">
        <v>2</v>
      </c>
      <c r="U235" s="34" t="str">
        <f>IF(S234="","",IF(T234=T235,"〃",IF(T235=1,"素焼土管",IF(T235=2,"合成樹脂管",IF(T235=3,"無孔管","")))))</f>
        <v/>
      </c>
      <c r="V235" s="35"/>
      <c r="W235" s="100"/>
      <c r="X235" s="101"/>
      <c r="Y235" s="95"/>
      <c r="Z235" s="42"/>
      <c r="AA235" s="46"/>
      <c r="AB235" s="97"/>
      <c r="AC235" s="36" t="str">
        <f>IF(S234="","",IF(T235=1,0.013,0.012))</f>
        <v/>
      </c>
      <c r="AD235" s="37" t="str">
        <f>IF(S234="","",(1/AC235*(W235/100/2)^(8/3)*(1/AB234*100)^(1/2)*1.65696)*100)</f>
        <v/>
      </c>
      <c r="AE235" s="37" t="str">
        <f>IF(S234="","",1/AC235*(W235/100/2)^(2/3)*(1/AB234)^(1/2)*0.70541)</f>
        <v/>
      </c>
      <c r="AF235" s="37" t="str">
        <f>IF(S234="","",ROUNDDOWN(AD235/($U$3/8.64),3))</f>
        <v/>
      </c>
      <c r="AG235" s="38" t="str">
        <f>IF(S234="","",ROUNDDOWN(AF235*10000/$AJ$3,0))</f>
        <v/>
      </c>
      <c r="AH235" s="39" t="str">
        <f t="shared" ref="AH235" si="2368">IF(S234="","",IF(AG235&gt;AI234,"＞",IF(AG235=AI234,"=","＜")))</f>
        <v/>
      </c>
      <c r="AI235" s="42"/>
      <c r="AJ235" s="44"/>
      <c r="AK235" s="39" t="str">
        <f>IF(S234="","",IF(AND(T235=1,AE235&gt;1),"NG",IF(AH235="＞","OK","NG")))</f>
        <v/>
      </c>
    </row>
    <row r="236" spans="1:37" ht="15.75" customHeight="1" x14ac:dyDescent="0.15">
      <c r="A236" s="80"/>
      <c r="B236" s="81">
        <v>2</v>
      </c>
      <c r="C236" s="58" t="str">
        <f>IF(A236="","",IF(B236=1,"素　焼土　管",IF(B236=2,"合　成樹脂管",IF(B236=3,"無孔管",""))))</f>
        <v/>
      </c>
      <c r="D236" s="60"/>
      <c r="E236" s="82"/>
      <c r="F236" s="83"/>
      <c r="G236" s="83"/>
      <c r="H236" s="84"/>
      <c r="I236" s="53" t="str">
        <f>IF(A236="","",F236-G236+H236)</f>
        <v/>
      </c>
      <c r="J236" s="55" t="str">
        <f>IF(A236="",""," 1/")</f>
        <v/>
      </c>
      <c r="K236" s="85"/>
      <c r="L236" s="56" t="str">
        <f>IF(A236="","",IF(B236=1,0.013,0.012))</f>
        <v/>
      </c>
      <c r="M236" s="47" t="str">
        <f>IF(A236="","",(1/L236*(E236/100/2)^(8/3)*(1/K236*100)^(1/2)*1.65696)*100)</f>
        <v/>
      </c>
      <c r="N236" s="47" t="str">
        <f>IF(A236="","",1/L236*(E236/100/2)^(2/3)*(1/K236)^(1/2)*0.70541)</f>
        <v/>
      </c>
      <c r="O236" s="48" t="str">
        <f>IF(A236="","",ROUNDDOWN(M236/($U$3/8.64)*10000/$AJ$3,0))</f>
        <v/>
      </c>
      <c r="P236" s="49" t="str">
        <f>IF(A236="","",IF(O236&gt;Q236,"＞","＜"))</f>
        <v/>
      </c>
      <c r="Q236" s="48" t="str">
        <f>IF(A236="","",I236)</f>
        <v/>
      </c>
      <c r="R236" s="51" t="str">
        <f>IF(A236="","",IF(P236="＞","OK","NG"))</f>
        <v/>
      </c>
      <c r="S236" s="86"/>
      <c r="T236" s="87"/>
      <c r="U236" s="28" t="str">
        <f>IF(S236="","",IF(T236=1,"素焼土管",IF(T236=2,"合成樹脂管",IF(T236=3,"無孔管",""))))</f>
        <v/>
      </c>
      <c r="V236" s="29"/>
      <c r="W236" s="88"/>
      <c r="X236" s="89"/>
      <c r="Y236" s="90"/>
      <c r="Z236" s="41" t="str">
        <f>IF(S236="","",IF(AND(T237=3,I236=""),Z234+Y236,IF(AND(Z234="",I234=""),I236+Y236,IF(AND(T237=3,I236&gt;0,Z234&gt;0),I236+Z234+Y236,IF(Z234="",I234+I236+X236+Y236,IF(I236="",Z234+X236+Y236,Z234+I236+X236+Y236))))))</f>
        <v/>
      </c>
      <c r="AA236" s="45" t="str">
        <f>IF(AB236="",""," 1/")</f>
        <v/>
      </c>
      <c r="AB236" s="91"/>
      <c r="AC236" s="30" t="str">
        <f>IF(S236="","",IF(T236="","",IF(T236=1,0.013,0.012)))</f>
        <v/>
      </c>
      <c r="AD236" s="31" t="str">
        <f>IF(S236="","",IF(T236="","",(1/AC236*(W236/100/2)^(8/3)*(1/AB236*100)^(1/2)*1.65696)*100))</f>
        <v/>
      </c>
      <c r="AE236" s="31" t="str">
        <f>IF(S236="","",IF(T236="","",1/AC236*(W236/100/2)^(2/3)*(1/AB236)^(1/2)*0.70541))</f>
        <v/>
      </c>
      <c r="AF236" s="31" t="str">
        <f>IF(S236="","",IF(T236="","",ROUNDDOWN(AD236/($U$3/8.64),3)))</f>
        <v/>
      </c>
      <c r="AG236" s="32" t="str">
        <f>IF(S236="","",IF(T236="","",ROUNDDOWN(AF236*10000/$AJ$3,0)))</f>
        <v/>
      </c>
      <c r="AH236" s="33" t="str">
        <f t="shared" si="2352"/>
        <v/>
      </c>
      <c r="AI236" s="41" t="str">
        <f>IF(S236="","",Z236)</f>
        <v/>
      </c>
      <c r="AJ236" s="43" t="str">
        <f>IF(S236="","",AI236*$AJ$3/10000)</f>
        <v/>
      </c>
      <c r="AK236" s="33" t="str">
        <f>IF(S236="","",IF(T236="","",IF(AND(T236=1,AE236&gt;1),"NG",IF(AH236="＞","OK","NG"))))</f>
        <v/>
      </c>
    </row>
    <row r="237" spans="1:37" ht="15.75" customHeight="1" x14ac:dyDescent="0.15">
      <c r="A237" s="92"/>
      <c r="B237" s="93"/>
      <c r="C237" s="59"/>
      <c r="D237" s="61"/>
      <c r="E237" s="94"/>
      <c r="F237" s="95"/>
      <c r="G237" s="95"/>
      <c r="H237" s="96"/>
      <c r="I237" s="54"/>
      <c r="J237" s="46"/>
      <c r="K237" s="97"/>
      <c r="L237" s="57"/>
      <c r="M237" s="44"/>
      <c r="N237" s="44"/>
      <c r="O237" s="42"/>
      <c r="P237" s="50"/>
      <c r="Q237" s="42"/>
      <c r="R237" s="52"/>
      <c r="S237" s="98"/>
      <c r="T237" s="99">
        <v>2</v>
      </c>
      <c r="U237" s="34" t="str">
        <f>IF(S236="","",IF(T236=T237,"〃",IF(T237=1,"素焼土管",IF(T237=2,"合成樹脂管",IF(T237=3,"無孔管","")))))</f>
        <v/>
      </c>
      <c r="V237" s="35"/>
      <c r="W237" s="100"/>
      <c r="X237" s="101"/>
      <c r="Y237" s="95"/>
      <c r="Z237" s="42"/>
      <c r="AA237" s="46"/>
      <c r="AB237" s="97"/>
      <c r="AC237" s="36" t="str">
        <f>IF(S236="","",IF(T237=1,0.013,0.012))</f>
        <v/>
      </c>
      <c r="AD237" s="37" t="str">
        <f>IF(S236="","",(1/AC237*(W237/100/2)^(8/3)*(1/AB236*100)^(1/2)*1.65696)*100)</f>
        <v/>
      </c>
      <c r="AE237" s="37" t="str">
        <f>IF(S236="","",1/AC237*(W237/100/2)^(2/3)*(1/AB236)^(1/2)*0.70541)</f>
        <v/>
      </c>
      <c r="AF237" s="37" t="str">
        <f>IF(S236="","",ROUNDDOWN(AD237/($U$3/8.64),3))</f>
        <v/>
      </c>
      <c r="AG237" s="38" t="str">
        <f>IF(S236="","",ROUNDDOWN(AF237*10000/$AJ$3,0))</f>
        <v/>
      </c>
      <c r="AH237" s="39" t="str">
        <f t="shared" ref="AH237" si="2369">IF(S236="","",IF(AG237&gt;AI236,"＞",IF(AG237=AI236,"=","＜")))</f>
        <v/>
      </c>
      <c r="AI237" s="42"/>
      <c r="AJ237" s="44"/>
      <c r="AK237" s="39" t="str">
        <f>IF(S236="","",IF(AND(T237=1,AE237&gt;1),"NG",IF(AH237="＞","OK","NG")))</f>
        <v/>
      </c>
    </row>
    <row r="238" spans="1:37" ht="15.75" customHeight="1" x14ac:dyDescent="0.15">
      <c r="A238" s="80"/>
      <c r="B238" s="81">
        <v>2</v>
      </c>
      <c r="C238" s="58" t="str">
        <f>IF(A238="","",IF(B238=1,"素　焼土　管",IF(B238=2,"合　成樹脂管",IF(B238=3,"無孔管",""))))</f>
        <v/>
      </c>
      <c r="D238" s="60"/>
      <c r="E238" s="82"/>
      <c r="F238" s="83"/>
      <c r="G238" s="83"/>
      <c r="H238" s="84"/>
      <c r="I238" s="53" t="str">
        <f>IF(A238="","",F238-G238+H238)</f>
        <v/>
      </c>
      <c r="J238" s="55" t="str">
        <f>IF(A238="",""," 1/")</f>
        <v/>
      </c>
      <c r="K238" s="85"/>
      <c r="L238" s="56" t="str">
        <f>IF(A238="","",IF(B238=1,0.013,0.012))</f>
        <v/>
      </c>
      <c r="M238" s="47" t="str">
        <f>IF(A238="","",(1/L238*(E238/100/2)^(8/3)*(1/K238*100)^(1/2)*1.65696)*100)</f>
        <v/>
      </c>
      <c r="N238" s="47" t="str">
        <f>IF(A238="","",1/L238*(E238/100/2)^(2/3)*(1/K238)^(1/2)*0.70541)</f>
        <v/>
      </c>
      <c r="O238" s="48" t="str">
        <f>IF(A238="","",ROUNDDOWN(M238/($U$3/8.64)*10000/$AJ$3,0))</f>
        <v/>
      </c>
      <c r="P238" s="49" t="str">
        <f>IF(A238="","",IF(O238&gt;Q238,"＞","＜"))</f>
        <v/>
      </c>
      <c r="Q238" s="48" t="str">
        <f>IF(A238="","",I238)</f>
        <v/>
      </c>
      <c r="R238" s="51" t="str">
        <f>IF(A238="","",IF(P238="＞","OK","NG"))</f>
        <v/>
      </c>
      <c r="S238" s="86"/>
      <c r="T238" s="87"/>
      <c r="U238" s="28" t="str">
        <f>IF(S238="","",IF(T238=1,"素焼土管",IF(T238=2,"合成樹脂管",IF(T238=3,"無孔管",""))))</f>
        <v/>
      </c>
      <c r="V238" s="29"/>
      <c r="W238" s="88"/>
      <c r="X238" s="89"/>
      <c r="Y238" s="90"/>
      <c r="Z238" s="41" t="str">
        <f>IF(S238="","",IF(AND(T239=3,I238=""),Z236+Y238,IF(AND(Z236="",I236=""),I238+Y238,IF(AND(T239=3,I238&gt;0,Z236&gt;0),I238+Z236+Y238,IF(Z236="",I236+I238+X238+Y238,IF(I238="",Z236+X238+Y238,Z236+I238+X238+Y238))))))</f>
        <v/>
      </c>
      <c r="AA238" s="45" t="str">
        <f>IF(AB238="",""," 1/")</f>
        <v/>
      </c>
      <c r="AB238" s="91"/>
      <c r="AC238" s="30" t="str">
        <f>IF(S238="","",IF(T238="","",IF(T238=1,0.013,0.012)))</f>
        <v/>
      </c>
      <c r="AD238" s="31" t="str">
        <f>IF(S238="","",IF(T238="","",(1/AC238*(W238/100/2)^(8/3)*(1/AB238*100)^(1/2)*1.65696)*100))</f>
        <v/>
      </c>
      <c r="AE238" s="31" t="str">
        <f>IF(S238="","",IF(T238="","",1/AC238*(W238/100/2)^(2/3)*(1/AB238)^(1/2)*0.70541))</f>
        <v/>
      </c>
      <c r="AF238" s="31" t="str">
        <f>IF(S238="","",IF(T238="","",ROUNDDOWN(AD238/($U$3/8.64),3)))</f>
        <v/>
      </c>
      <c r="AG238" s="32" t="str">
        <f>IF(S238="","",IF(T238="","",ROUNDDOWN(AF238*10000/$AJ$3,0)))</f>
        <v/>
      </c>
      <c r="AH238" s="33" t="str">
        <f t="shared" si="2352"/>
        <v/>
      </c>
      <c r="AI238" s="41" t="str">
        <f>IF(S238="","",Z238)</f>
        <v/>
      </c>
      <c r="AJ238" s="43" t="str">
        <f>IF(S238="","",AI238*$AJ$3/10000)</f>
        <v/>
      </c>
      <c r="AK238" s="33" t="str">
        <f>IF(S238="","",IF(T238="","",IF(AND(T238=1,AE238&gt;1),"NG",IF(AH238="＞","OK","NG"))))</f>
        <v/>
      </c>
    </row>
    <row r="239" spans="1:37" ht="15.75" customHeight="1" x14ac:dyDescent="0.15">
      <c r="A239" s="92"/>
      <c r="B239" s="93"/>
      <c r="C239" s="59"/>
      <c r="D239" s="61"/>
      <c r="E239" s="94"/>
      <c r="F239" s="95"/>
      <c r="G239" s="95"/>
      <c r="H239" s="96"/>
      <c r="I239" s="54"/>
      <c r="J239" s="46"/>
      <c r="K239" s="97"/>
      <c r="L239" s="57"/>
      <c r="M239" s="44"/>
      <c r="N239" s="44"/>
      <c r="O239" s="42"/>
      <c r="P239" s="50"/>
      <c r="Q239" s="42"/>
      <c r="R239" s="52"/>
      <c r="S239" s="98"/>
      <c r="T239" s="99">
        <v>2</v>
      </c>
      <c r="U239" s="34" t="str">
        <f>IF(S238="","",IF(T238=T239,"〃",IF(T239=1,"素焼土管",IF(T239=2,"合成樹脂管",IF(T239=3,"無孔管","")))))</f>
        <v/>
      </c>
      <c r="V239" s="35"/>
      <c r="W239" s="100"/>
      <c r="X239" s="101"/>
      <c r="Y239" s="95"/>
      <c r="Z239" s="42"/>
      <c r="AA239" s="46"/>
      <c r="AB239" s="97"/>
      <c r="AC239" s="36" t="str">
        <f>IF(S238="","",IF(T239=1,0.013,0.012))</f>
        <v/>
      </c>
      <c r="AD239" s="37" t="str">
        <f>IF(S238="","",(1/AC239*(W239/100/2)^(8/3)*(1/AB238*100)^(1/2)*1.65696)*100)</f>
        <v/>
      </c>
      <c r="AE239" s="37" t="str">
        <f>IF(S238="","",1/AC239*(W239/100/2)^(2/3)*(1/AB238)^(1/2)*0.70541)</f>
        <v/>
      </c>
      <c r="AF239" s="37" t="str">
        <f>IF(S238="","",ROUNDDOWN(AD239/($U$3/8.64),3))</f>
        <v/>
      </c>
      <c r="AG239" s="38" t="str">
        <f>IF(S238="","",ROUNDDOWN(AF239*10000/$AJ$3,0))</f>
        <v/>
      </c>
      <c r="AH239" s="39" t="str">
        <f t="shared" ref="AH239" si="2370">IF(S238="","",IF(AG239&gt;AI238,"＞",IF(AG239=AI238,"=","＜")))</f>
        <v/>
      </c>
      <c r="AI239" s="42"/>
      <c r="AJ239" s="44"/>
      <c r="AK239" s="39" t="str">
        <f>IF(S238="","",IF(AND(T239=1,AE239&gt;1),"NG",IF(AH239="＞","OK","NG")))</f>
        <v/>
      </c>
    </row>
    <row r="240" spans="1:37" ht="15.75" customHeight="1" x14ac:dyDescent="0.15">
      <c r="A240" s="80"/>
      <c r="B240" s="81">
        <v>2</v>
      </c>
      <c r="C240" s="58" t="str">
        <f>IF(A240="","",IF(B240=1,"素　焼土　管",IF(B240=2,"合　成樹脂管",IF(B240=3,"無孔管",""))))</f>
        <v/>
      </c>
      <c r="D240" s="60"/>
      <c r="E240" s="82"/>
      <c r="F240" s="83"/>
      <c r="G240" s="83"/>
      <c r="H240" s="84"/>
      <c r="I240" s="53" t="str">
        <f>IF(A240="","",F240-G240+H240)</f>
        <v/>
      </c>
      <c r="J240" s="55" t="str">
        <f>IF(A240="",""," 1/")</f>
        <v/>
      </c>
      <c r="K240" s="85"/>
      <c r="L240" s="56" t="str">
        <f>IF(A240="","",IF(B240=1,0.013,0.012))</f>
        <v/>
      </c>
      <c r="M240" s="47" t="str">
        <f>IF(A240="","",(1/L240*(E240/100/2)^(8/3)*(1/K240*100)^(1/2)*1.65696)*100)</f>
        <v/>
      </c>
      <c r="N240" s="47" t="str">
        <f>IF(A240="","",1/L240*(E240/100/2)^(2/3)*(1/K240)^(1/2)*0.70541)</f>
        <v/>
      </c>
      <c r="O240" s="48" t="str">
        <f>IF(A240="","",ROUNDDOWN(M240/($U$3/8.64)*10000/$AJ$3,0))</f>
        <v/>
      </c>
      <c r="P240" s="49" t="str">
        <f>IF(A240="","",IF(O240&gt;Q240,"＞","＜"))</f>
        <v/>
      </c>
      <c r="Q240" s="48" t="str">
        <f>IF(A240="","",I240)</f>
        <v/>
      </c>
      <c r="R240" s="51" t="str">
        <f>IF(A240="","",IF(P240="＞","OK","NG"))</f>
        <v/>
      </c>
      <c r="S240" s="86"/>
      <c r="T240" s="87"/>
      <c r="U240" s="28" t="str">
        <f>IF(S240="","",IF(T240=1,"素焼土管",IF(T240=2,"合成樹脂管",IF(T240=3,"無孔管",""))))</f>
        <v/>
      </c>
      <c r="V240" s="29"/>
      <c r="W240" s="88"/>
      <c r="X240" s="89"/>
      <c r="Y240" s="90"/>
      <c r="Z240" s="41" t="str">
        <f>IF(S240="","",IF(AND(T241=3,I240=""),Z238+Y240,IF(AND(Z238="",I238=""),I240+Y240,IF(AND(T241=3,I240&gt;0,Z238&gt;0),I240+Z238+Y240,IF(Z238="",I238+I240+X240+Y240,IF(I240="",Z238+X240+Y240,Z238+I240+X240+Y240))))))</f>
        <v/>
      </c>
      <c r="AA240" s="45" t="str">
        <f>IF(AB240="",""," 1/")</f>
        <v/>
      </c>
      <c r="AB240" s="91"/>
      <c r="AC240" s="30" t="str">
        <f>IF(S240="","",IF(T240="","",IF(T240=1,0.013,0.012)))</f>
        <v/>
      </c>
      <c r="AD240" s="31" t="str">
        <f>IF(S240="","",IF(T240="","",(1/AC240*(W240/100/2)^(8/3)*(1/AB240*100)^(1/2)*1.65696)*100))</f>
        <v/>
      </c>
      <c r="AE240" s="31" t="str">
        <f>IF(S240="","",IF(T240="","",1/AC240*(W240/100/2)^(2/3)*(1/AB240)^(1/2)*0.70541))</f>
        <v/>
      </c>
      <c r="AF240" s="31" t="str">
        <f>IF(S240="","",IF(T240="","",ROUNDDOWN(AD240/($U$3/8.64),3)))</f>
        <v/>
      </c>
      <c r="AG240" s="32" t="str">
        <f>IF(S240="","",IF(T240="","",ROUNDDOWN(AF240*10000/$AJ$3,0)))</f>
        <v/>
      </c>
      <c r="AH240" s="33" t="str">
        <f t="shared" si="2352"/>
        <v/>
      </c>
      <c r="AI240" s="41" t="str">
        <f>IF(S240="","",Z240)</f>
        <v/>
      </c>
      <c r="AJ240" s="43" t="str">
        <f>IF(S240="","",AI240*$AJ$3/10000)</f>
        <v/>
      </c>
      <c r="AK240" s="33" t="str">
        <f>IF(S240="","",IF(T240="","",IF(AND(T240=1,AE240&gt;1),"NG",IF(AH240="＞","OK","NG"))))</f>
        <v/>
      </c>
    </row>
    <row r="241" spans="1:37" ht="15.75" customHeight="1" x14ac:dyDescent="0.15">
      <c r="A241" s="92"/>
      <c r="B241" s="93"/>
      <c r="C241" s="59"/>
      <c r="D241" s="61"/>
      <c r="E241" s="94"/>
      <c r="F241" s="95"/>
      <c r="G241" s="95"/>
      <c r="H241" s="96"/>
      <c r="I241" s="54"/>
      <c r="J241" s="46"/>
      <c r="K241" s="97"/>
      <c r="L241" s="57"/>
      <c r="M241" s="44"/>
      <c r="N241" s="44"/>
      <c r="O241" s="42"/>
      <c r="P241" s="50"/>
      <c r="Q241" s="42"/>
      <c r="R241" s="52"/>
      <c r="S241" s="98"/>
      <c r="T241" s="99">
        <v>2</v>
      </c>
      <c r="U241" s="34" t="str">
        <f>IF(S240="","",IF(T240=T241,"〃",IF(T241=1,"素焼土管",IF(T241=2,"合成樹脂管",IF(T241=3,"無孔管","")))))</f>
        <v/>
      </c>
      <c r="V241" s="35"/>
      <c r="W241" s="100"/>
      <c r="X241" s="101"/>
      <c r="Y241" s="95"/>
      <c r="Z241" s="42"/>
      <c r="AA241" s="46"/>
      <c r="AB241" s="97"/>
      <c r="AC241" s="36" t="str">
        <f>IF(S240="","",IF(T241=1,0.013,0.012))</f>
        <v/>
      </c>
      <c r="AD241" s="37" t="str">
        <f>IF(S240="","",(1/AC241*(W241/100/2)^(8/3)*(1/AB240*100)^(1/2)*1.65696)*100)</f>
        <v/>
      </c>
      <c r="AE241" s="37" t="str">
        <f>IF(S240="","",1/AC241*(W241/100/2)^(2/3)*(1/AB240)^(1/2)*0.70541)</f>
        <v/>
      </c>
      <c r="AF241" s="37" t="str">
        <f>IF(S240="","",ROUNDDOWN(AD241/($U$3/8.64),3))</f>
        <v/>
      </c>
      <c r="AG241" s="38" t="str">
        <f>IF(S240="","",ROUNDDOWN(AF241*10000/$AJ$3,0))</f>
        <v/>
      </c>
      <c r="AH241" s="39" t="str">
        <f t="shared" ref="AH241" si="2371">IF(S240="","",IF(AG241&gt;AI240,"＞",IF(AG241=AI240,"=","＜")))</f>
        <v/>
      </c>
      <c r="AI241" s="42"/>
      <c r="AJ241" s="44"/>
      <c r="AK241" s="39" t="str">
        <f>IF(S240="","",IF(AND(T241=1,AE241&gt;1),"NG",IF(AH241="＞","OK","NG")))</f>
        <v/>
      </c>
    </row>
    <row r="242" spans="1:37" ht="15.75" customHeight="1" x14ac:dyDescent="0.15">
      <c r="A242" s="80"/>
      <c r="B242" s="81">
        <v>2</v>
      </c>
      <c r="C242" s="58" t="str">
        <f>IF(A242="","",IF(B242=1,"素　焼土　管",IF(B242=2,"合　成樹脂管",IF(B242=3,"無孔管",""))))</f>
        <v/>
      </c>
      <c r="D242" s="60"/>
      <c r="E242" s="82"/>
      <c r="F242" s="83"/>
      <c r="G242" s="83"/>
      <c r="H242" s="84"/>
      <c r="I242" s="53" t="str">
        <f>IF(A242="","",F242-G242+H242)</f>
        <v/>
      </c>
      <c r="J242" s="55" t="str">
        <f>IF(A242="",""," 1/")</f>
        <v/>
      </c>
      <c r="K242" s="85"/>
      <c r="L242" s="56" t="str">
        <f>IF(A242="","",IF(B242=1,0.013,0.012))</f>
        <v/>
      </c>
      <c r="M242" s="47" t="str">
        <f>IF(A242="","",(1/L242*(E242/100/2)^(8/3)*(1/K242*100)^(1/2)*1.65696)*100)</f>
        <v/>
      </c>
      <c r="N242" s="47" t="str">
        <f>IF(A242="","",1/L242*(E242/100/2)^(2/3)*(1/K242)^(1/2)*0.70541)</f>
        <v/>
      </c>
      <c r="O242" s="48" t="str">
        <f>IF(A242="","",ROUNDDOWN(M242/($U$3/8.64)*10000/$AJ$3,0))</f>
        <v/>
      </c>
      <c r="P242" s="49" t="str">
        <f>IF(A242="","",IF(O242&gt;Q242,"＞","＜"))</f>
        <v/>
      </c>
      <c r="Q242" s="48" t="str">
        <f>IF(A242="","",I242)</f>
        <v/>
      </c>
      <c r="R242" s="51" t="str">
        <f>IF(A242="","",IF(P242="＞","OK","NG"))</f>
        <v/>
      </c>
      <c r="S242" s="86"/>
      <c r="T242" s="87"/>
      <c r="U242" s="28" t="str">
        <f>IF(S242="","",IF(T242=1,"素焼土管",IF(T242=2,"合成樹脂管",IF(T242=3,"無孔管",""))))</f>
        <v/>
      </c>
      <c r="V242" s="29"/>
      <c r="W242" s="88"/>
      <c r="X242" s="89"/>
      <c r="Y242" s="90"/>
      <c r="Z242" s="41" t="str">
        <f>IF(S242="","",IF(AND(T243=3,I242=""),Z240+Y242,IF(AND(Z240="",I240=""),I242+Y242,IF(AND(T243=3,I242&gt;0,Z240&gt;0),I242+Z240+Y242,IF(Z240="",I240+I242+X242+Y242,IF(I242="",Z240+X242+Y242,Z240+I242+X242+Y242))))))</f>
        <v/>
      </c>
      <c r="AA242" s="45" t="str">
        <f>IF(AB242="",""," 1/")</f>
        <v/>
      </c>
      <c r="AB242" s="91"/>
      <c r="AC242" s="30" t="str">
        <f>IF(S242="","",IF(T242="","",IF(T242=1,0.013,0.012)))</f>
        <v/>
      </c>
      <c r="AD242" s="31" t="str">
        <f>IF(S242="","",IF(T242="","",(1/AC242*(W242/100/2)^(8/3)*(1/AB242*100)^(1/2)*1.65696)*100))</f>
        <v/>
      </c>
      <c r="AE242" s="31" t="str">
        <f>IF(S242="","",IF(T242="","",1/AC242*(W242/100/2)^(2/3)*(1/AB242)^(1/2)*0.70541))</f>
        <v/>
      </c>
      <c r="AF242" s="31" t="str">
        <f>IF(S242="","",IF(T242="","",ROUNDDOWN(AD242/($U$3/8.64),3)))</f>
        <v/>
      </c>
      <c r="AG242" s="32" t="str">
        <f>IF(S242="","",IF(T242="","",ROUNDDOWN(AF242*10000/$AJ$3,0)))</f>
        <v/>
      </c>
      <c r="AH242" s="33" t="str">
        <f t="shared" si="2352"/>
        <v/>
      </c>
      <c r="AI242" s="41" t="str">
        <f>IF(S242="","",Z242)</f>
        <v/>
      </c>
      <c r="AJ242" s="43" t="str">
        <f>IF(S242="","",AI242*$AJ$3/10000)</f>
        <v/>
      </c>
      <c r="AK242" s="33" t="str">
        <f>IF(S242="","",IF(T242="","",IF(AND(T242=1,AE242&gt;1),"NG",IF(AH242="＞","OK","NG"))))</f>
        <v/>
      </c>
    </row>
    <row r="243" spans="1:37" ht="15.75" customHeight="1" x14ac:dyDescent="0.15">
      <c r="A243" s="92"/>
      <c r="B243" s="93"/>
      <c r="C243" s="59"/>
      <c r="D243" s="61"/>
      <c r="E243" s="94"/>
      <c r="F243" s="95"/>
      <c r="G243" s="95"/>
      <c r="H243" s="96"/>
      <c r="I243" s="54"/>
      <c r="J243" s="46"/>
      <c r="K243" s="97"/>
      <c r="L243" s="57"/>
      <c r="M243" s="44"/>
      <c r="N243" s="44"/>
      <c r="O243" s="42"/>
      <c r="P243" s="50"/>
      <c r="Q243" s="42"/>
      <c r="R243" s="52"/>
      <c r="S243" s="98"/>
      <c r="T243" s="99">
        <v>2</v>
      </c>
      <c r="U243" s="34" t="str">
        <f>IF(S242="","",IF(T242=T243,"〃",IF(T243=1,"素焼土管",IF(T243=2,"合成樹脂管",IF(T243=3,"無孔管","")))))</f>
        <v/>
      </c>
      <c r="V243" s="35"/>
      <c r="W243" s="100"/>
      <c r="X243" s="101"/>
      <c r="Y243" s="95"/>
      <c r="Z243" s="42"/>
      <c r="AA243" s="46"/>
      <c r="AB243" s="97"/>
      <c r="AC243" s="36" t="str">
        <f>IF(S242="","",IF(T243=1,0.013,0.012))</f>
        <v/>
      </c>
      <c r="AD243" s="37" t="str">
        <f>IF(S242="","",(1/AC243*(W243/100/2)^(8/3)*(1/AB242*100)^(1/2)*1.65696)*100)</f>
        <v/>
      </c>
      <c r="AE243" s="37" t="str">
        <f>IF(S242="","",1/AC243*(W243/100/2)^(2/3)*(1/AB242)^(1/2)*0.70541)</f>
        <v/>
      </c>
      <c r="AF243" s="37" t="str">
        <f>IF(S242="","",ROUNDDOWN(AD243/($U$3/8.64),3))</f>
        <v/>
      </c>
      <c r="AG243" s="38" t="str">
        <f>IF(S242="","",ROUNDDOWN(AF243*10000/$AJ$3,0))</f>
        <v/>
      </c>
      <c r="AH243" s="39" t="str">
        <f t="shared" ref="AH243" si="2372">IF(S242="","",IF(AG243&gt;AI242,"＞",IF(AG243=AI242,"=","＜")))</f>
        <v/>
      </c>
      <c r="AI243" s="42"/>
      <c r="AJ243" s="44"/>
      <c r="AK243" s="39" t="str">
        <f>IF(S242="","",IF(AND(T243=1,AE243&gt;1),"NG",IF(AH243="＞","OK","NG")))</f>
        <v/>
      </c>
    </row>
    <row r="244" spans="1:37" ht="15.75" customHeight="1" x14ac:dyDescent="0.15">
      <c r="A244" s="80"/>
      <c r="B244" s="81">
        <v>2</v>
      </c>
      <c r="C244" s="58" t="str">
        <f>IF(A244="","",IF(B244=1,"素　焼土　管",IF(B244=2,"合　成樹脂管",IF(B244=3,"無孔管",""))))</f>
        <v/>
      </c>
      <c r="D244" s="60"/>
      <c r="E244" s="82"/>
      <c r="F244" s="83"/>
      <c r="G244" s="83"/>
      <c r="H244" s="84"/>
      <c r="I244" s="53" t="str">
        <f>IF(A244="","",F244-G244+H244)</f>
        <v/>
      </c>
      <c r="J244" s="55" t="str">
        <f>IF(A244="",""," 1/")</f>
        <v/>
      </c>
      <c r="K244" s="85"/>
      <c r="L244" s="56" t="str">
        <f>IF(A244="","",IF(B244=1,0.013,0.012))</f>
        <v/>
      </c>
      <c r="M244" s="47" t="str">
        <f>IF(A244="","",(1/L244*(E244/100/2)^(8/3)*(1/K244*100)^(1/2)*1.65696)*100)</f>
        <v/>
      </c>
      <c r="N244" s="47" t="str">
        <f>IF(A244="","",1/L244*(E244/100/2)^(2/3)*(1/K244)^(1/2)*0.70541)</f>
        <v/>
      </c>
      <c r="O244" s="48" t="str">
        <f>IF(A244="","",ROUNDDOWN(M244/($U$3/8.64)*10000/$AJ$3,0))</f>
        <v/>
      </c>
      <c r="P244" s="49" t="str">
        <f>IF(A244="","",IF(O244&gt;Q244,"＞","＜"))</f>
        <v/>
      </c>
      <c r="Q244" s="48" t="str">
        <f>IF(A244="","",I244)</f>
        <v/>
      </c>
      <c r="R244" s="51" t="str">
        <f>IF(A244="","",IF(P244="＞","OK","NG"))</f>
        <v/>
      </c>
      <c r="S244" s="86"/>
      <c r="T244" s="87"/>
      <c r="U244" s="28" t="str">
        <f>IF(S244="","",IF(T244=1,"素焼土管",IF(T244=2,"合成樹脂管",IF(T244=3,"無孔管",""))))</f>
        <v/>
      </c>
      <c r="V244" s="29"/>
      <c r="W244" s="88"/>
      <c r="X244" s="89"/>
      <c r="Y244" s="90"/>
      <c r="Z244" s="41" t="str">
        <f>IF(S244="","",IF(AND(T245=3,I244=""),Z242+Y244,IF(AND(Z242="",I242=""),I244+Y244,IF(AND(T245=3,I244&gt;0,Z242&gt;0),I244+Z242+Y244,IF(Z242="",I242+I244+X244+Y244,IF(I244="",Z242+X244+Y244,Z242+I244+X244+Y244))))))</f>
        <v/>
      </c>
      <c r="AA244" s="45" t="str">
        <f>IF(AB244="",""," 1/")</f>
        <v/>
      </c>
      <c r="AB244" s="91"/>
      <c r="AC244" s="30" t="str">
        <f>IF(S244="","",IF(T244="","",IF(T244=1,0.013,0.012)))</f>
        <v/>
      </c>
      <c r="AD244" s="31" t="str">
        <f>IF(S244="","",IF(T244="","",(1/AC244*(W244/100/2)^(8/3)*(1/AB244*100)^(1/2)*1.65696)*100))</f>
        <v/>
      </c>
      <c r="AE244" s="31" t="str">
        <f>IF(S244="","",IF(T244="","",1/AC244*(W244/100/2)^(2/3)*(1/AB244)^(1/2)*0.70541))</f>
        <v/>
      </c>
      <c r="AF244" s="31" t="str">
        <f>IF(S244="","",IF(T244="","",ROUNDDOWN(AD244/($U$3/8.64),3)))</f>
        <v/>
      </c>
      <c r="AG244" s="32" t="str">
        <f>IF(S244="","",IF(T244="","",ROUNDDOWN(AF244*10000/$AJ$3,0)))</f>
        <v/>
      </c>
      <c r="AH244" s="33" t="str">
        <f t="shared" si="2352"/>
        <v/>
      </c>
      <c r="AI244" s="41" t="str">
        <f>IF(S244="","",Z244)</f>
        <v/>
      </c>
      <c r="AJ244" s="43" t="str">
        <f>IF(S244="","",AI244*$AJ$3/10000)</f>
        <v/>
      </c>
      <c r="AK244" s="33" t="str">
        <f>IF(S244="","",IF(T244="","",IF(AND(T244=1,AE244&gt;1),"NG",IF(AH244="＞","OK","NG"))))</f>
        <v/>
      </c>
    </row>
    <row r="245" spans="1:37" ht="15.75" customHeight="1" x14ac:dyDescent="0.15">
      <c r="A245" s="92"/>
      <c r="B245" s="93"/>
      <c r="C245" s="59"/>
      <c r="D245" s="61"/>
      <c r="E245" s="94"/>
      <c r="F245" s="95"/>
      <c r="G245" s="95"/>
      <c r="H245" s="96"/>
      <c r="I245" s="54"/>
      <c r="J245" s="46"/>
      <c r="K245" s="97"/>
      <c r="L245" s="57"/>
      <c r="M245" s="44"/>
      <c r="N245" s="44"/>
      <c r="O245" s="42"/>
      <c r="P245" s="50"/>
      <c r="Q245" s="42"/>
      <c r="R245" s="52"/>
      <c r="S245" s="98"/>
      <c r="T245" s="99">
        <v>2</v>
      </c>
      <c r="U245" s="34" t="str">
        <f>IF(S244="","",IF(T244=T245,"〃",IF(T245=1,"素焼土管",IF(T245=2,"合成樹脂管",IF(T245=3,"無孔管","")))))</f>
        <v/>
      </c>
      <c r="V245" s="35"/>
      <c r="W245" s="100"/>
      <c r="X245" s="101"/>
      <c r="Y245" s="95"/>
      <c r="Z245" s="42"/>
      <c r="AA245" s="46"/>
      <c r="AB245" s="97"/>
      <c r="AC245" s="36" t="str">
        <f>IF(S244="","",IF(T245=1,0.013,0.012))</f>
        <v/>
      </c>
      <c r="AD245" s="37" t="str">
        <f>IF(S244="","",(1/AC245*(W245/100/2)^(8/3)*(1/AB244*100)^(1/2)*1.65696)*100)</f>
        <v/>
      </c>
      <c r="AE245" s="37" t="str">
        <f>IF(S244="","",1/AC245*(W245/100/2)^(2/3)*(1/AB244)^(1/2)*0.70541)</f>
        <v/>
      </c>
      <c r="AF245" s="37" t="str">
        <f>IF(S244="","",ROUNDDOWN(AD245/($U$3/8.64),3))</f>
        <v/>
      </c>
      <c r="AG245" s="38" t="str">
        <f>IF(S244="","",ROUNDDOWN(AF245*10000/$AJ$3,0))</f>
        <v/>
      </c>
      <c r="AH245" s="39" t="str">
        <f t="shared" ref="AH245" si="2373">IF(S244="","",IF(AG245&gt;AI244,"＞",IF(AG245=AI244,"=","＜")))</f>
        <v/>
      </c>
      <c r="AI245" s="42"/>
      <c r="AJ245" s="44"/>
      <c r="AK245" s="39" t="str">
        <f>IF(S244="","",IF(AND(T245=1,AE245&gt;1),"NG",IF(AH245="＞","OK","NG")))</f>
        <v/>
      </c>
    </row>
    <row r="246" spans="1:37" ht="15.75" customHeight="1" x14ac:dyDescent="0.15">
      <c r="A246" s="80"/>
      <c r="B246" s="81">
        <v>2</v>
      </c>
      <c r="C246" s="58" t="str">
        <f>IF(A246="","",IF(B246=1,"素　焼土　管",IF(B246=2,"合　成樹脂管",IF(B246=3,"無孔管",""))))</f>
        <v/>
      </c>
      <c r="D246" s="60"/>
      <c r="E246" s="82"/>
      <c r="F246" s="83"/>
      <c r="G246" s="83"/>
      <c r="H246" s="84"/>
      <c r="I246" s="53" t="str">
        <f>IF(A246="","",F246-G246+H246)</f>
        <v/>
      </c>
      <c r="J246" s="55" t="str">
        <f>IF(A246="",""," 1/")</f>
        <v/>
      </c>
      <c r="K246" s="85"/>
      <c r="L246" s="56" t="str">
        <f>IF(A246="","",IF(B246=1,0.013,0.012))</f>
        <v/>
      </c>
      <c r="M246" s="47" t="str">
        <f>IF(A246="","",(1/L246*(E246/100/2)^(8/3)*(1/K246*100)^(1/2)*1.65696)*100)</f>
        <v/>
      </c>
      <c r="N246" s="47" t="str">
        <f>IF(A246="","",1/L246*(E246/100/2)^(2/3)*(1/K246)^(1/2)*0.70541)</f>
        <v/>
      </c>
      <c r="O246" s="48" t="str">
        <f>IF(A246="","",ROUNDDOWN(M246/($U$3/8.64)*10000/$AJ$3,0))</f>
        <v/>
      </c>
      <c r="P246" s="49" t="str">
        <f>IF(A246="","",IF(O246&gt;Q246,"＞","＜"))</f>
        <v/>
      </c>
      <c r="Q246" s="48" t="str">
        <f>IF(A246="","",I246)</f>
        <v/>
      </c>
      <c r="R246" s="51" t="str">
        <f>IF(A246="","",IF(P246="＞","OK","NG"))</f>
        <v/>
      </c>
      <c r="S246" s="86"/>
      <c r="T246" s="87"/>
      <c r="U246" s="28" t="str">
        <f>IF(S246="","",IF(T246=1,"素焼土管",IF(T246=2,"合成樹脂管",IF(T246=3,"無孔管",""))))</f>
        <v/>
      </c>
      <c r="V246" s="29"/>
      <c r="W246" s="88"/>
      <c r="X246" s="89"/>
      <c r="Y246" s="90"/>
      <c r="Z246" s="41" t="str">
        <f>IF(S246="","",IF(AND(T247=3,I246=""),Z244+Y246,IF(AND(Z244="",I244=""),I246+Y246,IF(AND(T247=3,I246&gt;0,Z244&gt;0),I246+Z244+Y246,IF(Z244="",I244+I246+X246+Y246,IF(I246="",Z244+X246+Y246,Z244+I246+X246+Y246))))))</f>
        <v/>
      </c>
      <c r="AA246" s="45" t="str">
        <f>IF(AB246="",""," 1/")</f>
        <v/>
      </c>
      <c r="AB246" s="91"/>
      <c r="AC246" s="30" t="str">
        <f>IF(S246="","",IF(T246="","",IF(T246=1,0.013,0.012)))</f>
        <v/>
      </c>
      <c r="AD246" s="31" t="str">
        <f>IF(S246="","",IF(T246="","",(1/AC246*(W246/100/2)^(8/3)*(1/AB246*100)^(1/2)*1.65696)*100))</f>
        <v/>
      </c>
      <c r="AE246" s="31" t="str">
        <f>IF(S246="","",IF(T246="","",1/AC246*(W246/100/2)^(2/3)*(1/AB246)^(1/2)*0.70541))</f>
        <v/>
      </c>
      <c r="AF246" s="31" t="str">
        <f>IF(S246="","",IF(T246="","",ROUNDDOWN(AD246/($U$3/8.64),3)))</f>
        <v/>
      </c>
      <c r="AG246" s="32" t="str">
        <f>IF(S246="","",IF(T246="","",ROUNDDOWN(AF246*10000/$AJ$3,0)))</f>
        <v/>
      </c>
      <c r="AH246" s="33" t="str">
        <f t="shared" si="2352"/>
        <v/>
      </c>
      <c r="AI246" s="41" t="str">
        <f>IF(S246="","",Z246)</f>
        <v/>
      </c>
      <c r="AJ246" s="43" t="str">
        <f>IF(S246="","",AI246*$AJ$3/10000)</f>
        <v/>
      </c>
      <c r="AK246" s="33" t="str">
        <f>IF(S246="","",IF(T246="","",IF(AND(T246=1,AE246&gt;1),"NG",IF(AH246="＞","OK","NG"))))</f>
        <v/>
      </c>
    </row>
    <row r="247" spans="1:37" ht="15.75" customHeight="1" x14ac:dyDescent="0.15">
      <c r="A247" s="92"/>
      <c r="B247" s="93"/>
      <c r="C247" s="59"/>
      <c r="D247" s="61"/>
      <c r="E247" s="94"/>
      <c r="F247" s="95"/>
      <c r="G247" s="95"/>
      <c r="H247" s="96"/>
      <c r="I247" s="54"/>
      <c r="J247" s="46"/>
      <c r="K247" s="97"/>
      <c r="L247" s="57"/>
      <c r="M247" s="44"/>
      <c r="N247" s="44"/>
      <c r="O247" s="42"/>
      <c r="P247" s="50"/>
      <c r="Q247" s="42"/>
      <c r="R247" s="52"/>
      <c r="S247" s="98"/>
      <c r="T247" s="99">
        <v>2</v>
      </c>
      <c r="U247" s="34" t="str">
        <f>IF(S246="","",IF(T246=T247,"〃",IF(T247=1,"素焼土管",IF(T247=2,"合成樹脂管",IF(T247=3,"無孔管","")))))</f>
        <v/>
      </c>
      <c r="V247" s="35"/>
      <c r="W247" s="100"/>
      <c r="X247" s="101"/>
      <c r="Y247" s="95"/>
      <c r="Z247" s="42"/>
      <c r="AA247" s="46"/>
      <c r="AB247" s="97"/>
      <c r="AC247" s="36" t="str">
        <f>IF(S246="","",IF(T247=1,0.013,0.012))</f>
        <v/>
      </c>
      <c r="AD247" s="37" t="str">
        <f>IF(S246="","",(1/AC247*(W247/100/2)^(8/3)*(1/AB246*100)^(1/2)*1.65696)*100)</f>
        <v/>
      </c>
      <c r="AE247" s="37" t="str">
        <f>IF(S246="","",1/AC247*(W247/100/2)^(2/3)*(1/AB246)^(1/2)*0.70541)</f>
        <v/>
      </c>
      <c r="AF247" s="37" t="str">
        <f>IF(S246="","",ROUNDDOWN(AD247/($U$3/8.64),3))</f>
        <v/>
      </c>
      <c r="AG247" s="38" t="str">
        <f>IF(S246="","",ROUNDDOWN(AF247*10000/$AJ$3,0))</f>
        <v/>
      </c>
      <c r="AH247" s="39" t="str">
        <f t="shared" ref="AH247" si="2374">IF(S246="","",IF(AG247&gt;AI246,"＞",IF(AG247=AI246,"=","＜")))</f>
        <v/>
      </c>
      <c r="AI247" s="42"/>
      <c r="AJ247" s="44"/>
      <c r="AK247" s="39" t="str">
        <f>IF(S246="","",IF(AND(T247=1,AE247&gt;1),"NG",IF(AH247="＞","OK","NG")))</f>
        <v/>
      </c>
    </row>
    <row r="248" spans="1:37" ht="15.75" customHeight="1" x14ac:dyDescent="0.15">
      <c r="A248" s="80"/>
      <c r="B248" s="81">
        <v>2</v>
      </c>
      <c r="C248" s="58" t="str">
        <f>IF(A248="","",IF(B248=1,"素　焼土　管",IF(B248=2,"合　成樹脂管",IF(B248=3,"無孔管",""))))</f>
        <v/>
      </c>
      <c r="D248" s="60"/>
      <c r="E248" s="82"/>
      <c r="F248" s="83"/>
      <c r="G248" s="83"/>
      <c r="H248" s="84"/>
      <c r="I248" s="53" t="str">
        <f>IF(A248="","",F248-G248+H248)</f>
        <v/>
      </c>
      <c r="J248" s="55" t="str">
        <f>IF(A248="",""," 1/")</f>
        <v/>
      </c>
      <c r="K248" s="85"/>
      <c r="L248" s="56" t="str">
        <f>IF(A248="","",IF(B248=1,0.013,0.012))</f>
        <v/>
      </c>
      <c r="M248" s="47" t="str">
        <f>IF(A248="","",(1/L248*(E248/100/2)^(8/3)*(1/K248*100)^(1/2)*1.65696)*100)</f>
        <v/>
      </c>
      <c r="N248" s="47" t="str">
        <f>IF(A248="","",1/L248*(E248/100/2)^(2/3)*(1/K248)^(1/2)*0.70541)</f>
        <v/>
      </c>
      <c r="O248" s="48" t="str">
        <f>IF(A248="","",ROUNDDOWN(M248/($U$3/8.64)*10000/$AJ$3,0))</f>
        <v/>
      </c>
      <c r="P248" s="49" t="str">
        <f>IF(A248="","",IF(O248&gt;Q248,"＞","＜"))</f>
        <v/>
      </c>
      <c r="Q248" s="48" t="str">
        <f>IF(A248="","",I248)</f>
        <v/>
      </c>
      <c r="R248" s="51" t="str">
        <f>IF(A248="","",IF(P248="＞","OK","NG"))</f>
        <v/>
      </c>
      <c r="S248" s="86"/>
      <c r="T248" s="87"/>
      <c r="U248" s="28" t="str">
        <f>IF(S248="","",IF(T248=1,"素焼土管",IF(T248=2,"合成樹脂管",IF(T248=3,"無孔管",""))))</f>
        <v/>
      </c>
      <c r="V248" s="29"/>
      <c r="W248" s="88"/>
      <c r="X248" s="89"/>
      <c r="Y248" s="90"/>
      <c r="Z248" s="41" t="str">
        <f>IF(S248="","",IF(AND(T249=3,I248=""),Z246+Y248,IF(AND(Z246="",I246=""),I248+Y248,IF(AND(T249=3,I248&gt;0,Z246&gt;0),I248+Z246+Y248,IF(Z246="",I246+I248+X248+Y248,IF(I248="",Z246+X248+Y248,Z246+I248+X248+Y248))))))</f>
        <v/>
      </c>
      <c r="AA248" s="45" t="str">
        <f>IF(AB248="",""," 1/")</f>
        <v/>
      </c>
      <c r="AB248" s="91"/>
      <c r="AC248" s="30" t="str">
        <f>IF(S248="","",IF(T248="","",IF(T248=1,0.013,0.012)))</f>
        <v/>
      </c>
      <c r="AD248" s="31" t="str">
        <f>IF(S248="","",IF(T248="","",(1/AC248*(W248/100/2)^(8/3)*(1/AB248*100)^(1/2)*1.65696)*100))</f>
        <v/>
      </c>
      <c r="AE248" s="31" t="str">
        <f>IF(S248="","",IF(T248="","",1/AC248*(W248/100/2)^(2/3)*(1/AB248)^(1/2)*0.70541))</f>
        <v/>
      </c>
      <c r="AF248" s="31" t="str">
        <f>IF(S248="","",IF(T248="","",ROUNDDOWN(AD248/($U$3/8.64),3)))</f>
        <v/>
      </c>
      <c r="AG248" s="32" t="str">
        <f>IF(S248="","",IF(T248="","",ROUNDDOWN(AF248*10000/$AJ$3,0)))</f>
        <v/>
      </c>
      <c r="AH248" s="33" t="str">
        <f t="shared" si="2352"/>
        <v/>
      </c>
      <c r="AI248" s="41" t="str">
        <f>IF(S248="","",Z248)</f>
        <v/>
      </c>
      <c r="AJ248" s="43" t="str">
        <f>IF(S248="","",AI248*$AJ$3/10000)</f>
        <v/>
      </c>
      <c r="AK248" s="33" t="str">
        <f>IF(S248="","",IF(T248="","",IF(AND(T248=1,AE248&gt;1),"NG",IF(AH248="＞","OK","NG"))))</f>
        <v/>
      </c>
    </row>
    <row r="249" spans="1:37" ht="15.75" customHeight="1" x14ac:dyDescent="0.15">
      <c r="A249" s="92"/>
      <c r="B249" s="93"/>
      <c r="C249" s="59"/>
      <c r="D249" s="61"/>
      <c r="E249" s="94"/>
      <c r="F249" s="95"/>
      <c r="G249" s="95"/>
      <c r="H249" s="96"/>
      <c r="I249" s="54"/>
      <c r="J249" s="46"/>
      <c r="K249" s="97"/>
      <c r="L249" s="57"/>
      <c r="M249" s="44"/>
      <c r="N249" s="44"/>
      <c r="O249" s="42"/>
      <c r="P249" s="50"/>
      <c r="Q249" s="42"/>
      <c r="R249" s="52"/>
      <c r="S249" s="98"/>
      <c r="T249" s="99">
        <v>2</v>
      </c>
      <c r="U249" s="34" t="str">
        <f>IF(S248="","",IF(T248=T249,"〃",IF(T249=1,"素焼土管",IF(T249=2,"合成樹脂管",IF(T249=3,"無孔管","")))))</f>
        <v/>
      </c>
      <c r="V249" s="35"/>
      <c r="W249" s="100"/>
      <c r="X249" s="101"/>
      <c r="Y249" s="95"/>
      <c r="Z249" s="42"/>
      <c r="AA249" s="46"/>
      <c r="AB249" s="97"/>
      <c r="AC249" s="36" t="str">
        <f>IF(S248="","",IF(T249=1,0.013,0.012))</f>
        <v/>
      </c>
      <c r="AD249" s="37" t="str">
        <f>IF(S248="","",(1/AC249*(W249/100/2)^(8/3)*(1/AB248*100)^(1/2)*1.65696)*100)</f>
        <v/>
      </c>
      <c r="AE249" s="37" t="str">
        <f>IF(S248="","",1/AC249*(W249/100/2)^(2/3)*(1/AB248)^(1/2)*0.70541)</f>
        <v/>
      </c>
      <c r="AF249" s="37" t="str">
        <f>IF(S248="","",ROUNDDOWN(AD249/($U$3/8.64),3))</f>
        <v/>
      </c>
      <c r="AG249" s="38" t="str">
        <f>IF(S248="","",ROUNDDOWN(AF249*10000/$AJ$3,0))</f>
        <v/>
      </c>
      <c r="AH249" s="39" t="str">
        <f t="shared" ref="AH249" si="2375">IF(S248="","",IF(AG249&gt;AI248,"＞",IF(AG249=AI248,"=","＜")))</f>
        <v/>
      </c>
      <c r="AI249" s="42"/>
      <c r="AJ249" s="44"/>
      <c r="AK249" s="39" t="str">
        <f>IF(S248="","",IF(AND(T249=1,AE249&gt;1),"NG",IF(AH249="＞","OK","NG")))</f>
        <v/>
      </c>
    </row>
    <row r="250" spans="1:37" ht="15.75" customHeight="1" x14ac:dyDescent="0.15">
      <c r="A250" s="80"/>
      <c r="B250" s="81">
        <v>2</v>
      </c>
      <c r="C250" s="58" t="str">
        <f>IF(A250="","",IF(B250=1,"素　焼土　管",IF(B250=2,"合　成樹脂管",IF(B250=3,"無孔管",""))))</f>
        <v/>
      </c>
      <c r="D250" s="60"/>
      <c r="E250" s="82"/>
      <c r="F250" s="83"/>
      <c r="G250" s="83"/>
      <c r="H250" s="84"/>
      <c r="I250" s="53" t="str">
        <f>IF(A250="","",F250-G250+H250)</f>
        <v/>
      </c>
      <c r="J250" s="55" t="str">
        <f>IF(A250="",""," 1/")</f>
        <v/>
      </c>
      <c r="K250" s="85"/>
      <c r="L250" s="56" t="str">
        <f>IF(A250="","",IF(B250=1,0.013,0.012))</f>
        <v/>
      </c>
      <c r="M250" s="47" t="str">
        <f>IF(A250="","",(1/L250*(E250/100/2)^(8/3)*(1/K250*100)^(1/2)*1.65696)*100)</f>
        <v/>
      </c>
      <c r="N250" s="47" t="str">
        <f>IF(A250="","",1/L250*(E250/100/2)^(2/3)*(1/K250)^(1/2)*0.70541)</f>
        <v/>
      </c>
      <c r="O250" s="48" t="str">
        <f>IF(A250="","",ROUNDDOWN(M250/($U$3/8.64)*10000/$AJ$3,0))</f>
        <v/>
      </c>
      <c r="P250" s="49" t="str">
        <f>IF(A250="","",IF(O250&gt;Q250,"＞","＜"))</f>
        <v/>
      </c>
      <c r="Q250" s="48" t="str">
        <f>IF(A250="","",I250)</f>
        <v/>
      </c>
      <c r="R250" s="51" t="str">
        <f>IF(A250="","",IF(P250="＞","OK","NG"))</f>
        <v/>
      </c>
      <c r="S250" s="86"/>
      <c r="T250" s="87"/>
      <c r="U250" s="28" t="str">
        <f>IF(S250="","",IF(T250=1,"素焼土管",IF(T250=2,"合成樹脂管",IF(T250=3,"無孔管",""))))</f>
        <v/>
      </c>
      <c r="V250" s="29"/>
      <c r="W250" s="88"/>
      <c r="X250" s="89"/>
      <c r="Y250" s="90"/>
      <c r="Z250" s="41" t="str">
        <f>IF(S250="","",IF(AND(T251=3,I250=""),Z248+Y250,IF(AND(Z248="",I248=""),I250+Y250,IF(AND(T251=3,I250&gt;0,Z248&gt;0),I250+Z248+Y250,IF(Z248="",I248+I250+X250+Y250,IF(I250="",Z248+X250+Y250,Z248+I250+X250+Y250))))))</f>
        <v/>
      </c>
      <c r="AA250" s="45" t="str">
        <f>IF(AB250="",""," 1/")</f>
        <v/>
      </c>
      <c r="AB250" s="91"/>
      <c r="AC250" s="30" t="str">
        <f>IF(S250="","",IF(T250="","",IF(T250=1,0.013,0.012)))</f>
        <v/>
      </c>
      <c r="AD250" s="31" t="str">
        <f>IF(S250="","",IF(T250="","",(1/AC250*(W250/100/2)^(8/3)*(1/AB250*100)^(1/2)*1.65696)*100))</f>
        <v/>
      </c>
      <c r="AE250" s="31" t="str">
        <f>IF(S250="","",IF(T250="","",1/AC250*(W250/100/2)^(2/3)*(1/AB250)^(1/2)*0.70541))</f>
        <v/>
      </c>
      <c r="AF250" s="31" t="str">
        <f>IF(S250="","",IF(T250="","",ROUNDDOWN(AD250/($U$3/8.64),3)))</f>
        <v/>
      </c>
      <c r="AG250" s="32" t="str">
        <f>IF(S250="","",IF(T250="","",ROUNDDOWN(AF250*10000/$AJ$3,0)))</f>
        <v/>
      </c>
      <c r="AH250" s="33" t="str">
        <f t="shared" si="2352"/>
        <v/>
      </c>
      <c r="AI250" s="41" t="str">
        <f>IF(S250="","",Z250)</f>
        <v/>
      </c>
      <c r="AJ250" s="43" t="str">
        <f>IF(S250="","",AI250*$AJ$3/10000)</f>
        <v/>
      </c>
      <c r="AK250" s="33" t="str">
        <f>IF(S250="","",IF(T250="","",IF(AND(T250=1,AE250&gt;1),"NG",IF(AH250="＞","OK","NG"))))</f>
        <v/>
      </c>
    </row>
    <row r="251" spans="1:37" ht="15.75" customHeight="1" x14ac:dyDescent="0.15">
      <c r="A251" s="92"/>
      <c r="B251" s="93"/>
      <c r="C251" s="59"/>
      <c r="D251" s="61"/>
      <c r="E251" s="94"/>
      <c r="F251" s="95"/>
      <c r="G251" s="95"/>
      <c r="H251" s="96"/>
      <c r="I251" s="54"/>
      <c r="J251" s="46"/>
      <c r="K251" s="97"/>
      <c r="L251" s="57"/>
      <c r="M251" s="44"/>
      <c r="N251" s="44"/>
      <c r="O251" s="42"/>
      <c r="P251" s="50"/>
      <c r="Q251" s="42"/>
      <c r="R251" s="52"/>
      <c r="S251" s="98"/>
      <c r="T251" s="99">
        <v>2</v>
      </c>
      <c r="U251" s="34" t="str">
        <f>IF(S250="","",IF(T250=T251,"〃",IF(T251=1,"素焼土管",IF(T251=2,"合成樹脂管",IF(T251=3,"無孔管","")))))</f>
        <v/>
      </c>
      <c r="V251" s="35"/>
      <c r="W251" s="100"/>
      <c r="X251" s="101"/>
      <c r="Y251" s="95"/>
      <c r="Z251" s="42"/>
      <c r="AA251" s="46"/>
      <c r="AB251" s="97"/>
      <c r="AC251" s="36" t="str">
        <f>IF(S250="","",IF(T251=1,0.013,0.012))</f>
        <v/>
      </c>
      <c r="AD251" s="37" t="str">
        <f>IF(S250="","",(1/AC251*(W251/100/2)^(8/3)*(1/AB250*100)^(1/2)*1.65696)*100)</f>
        <v/>
      </c>
      <c r="AE251" s="37" t="str">
        <f>IF(S250="","",1/AC251*(W251/100/2)^(2/3)*(1/AB250)^(1/2)*0.70541)</f>
        <v/>
      </c>
      <c r="AF251" s="37" t="str">
        <f>IF(S250="","",ROUNDDOWN(AD251/($U$3/8.64),3))</f>
        <v/>
      </c>
      <c r="AG251" s="38" t="str">
        <f>IF(S250="","",ROUNDDOWN(AF251*10000/$AJ$3,0))</f>
        <v/>
      </c>
      <c r="AH251" s="39" t="str">
        <f t="shared" ref="AH251" si="2376">IF(S250="","",IF(AG251&gt;AI250,"＞",IF(AG251=AI250,"=","＜")))</f>
        <v/>
      </c>
      <c r="AI251" s="42"/>
      <c r="AJ251" s="44"/>
      <c r="AK251" s="39" t="str">
        <f>IF(S250="","",IF(AND(T251=1,AE251&gt;1),"NG",IF(AH251="＞","OK","NG")))</f>
        <v/>
      </c>
    </row>
    <row r="252" spans="1:37" ht="15.75" customHeight="1" x14ac:dyDescent="0.15">
      <c r="A252" s="80"/>
      <c r="B252" s="81">
        <v>2</v>
      </c>
      <c r="C252" s="58" t="str">
        <f>IF(A252="","",IF(B252=1,"素　焼土　管",IF(B252=2,"合　成樹脂管",IF(B252=3,"無孔管",""))))</f>
        <v/>
      </c>
      <c r="D252" s="60"/>
      <c r="E252" s="82"/>
      <c r="F252" s="83"/>
      <c r="G252" s="83"/>
      <c r="H252" s="84"/>
      <c r="I252" s="53" t="str">
        <f>IF(A252="","",F252-G252+H252)</f>
        <v/>
      </c>
      <c r="J252" s="55" t="str">
        <f>IF(A252="",""," 1/")</f>
        <v/>
      </c>
      <c r="K252" s="85"/>
      <c r="L252" s="56" t="str">
        <f>IF(A252="","",IF(B252=1,0.013,0.012))</f>
        <v/>
      </c>
      <c r="M252" s="47" t="str">
        <f>IF(A252="","",(1/L252*(E252/100/2)^(8/3)*(1/K252*100)^(1/2)*1.65696)*100)</f>
        <v/>
      </c>
      <c r="N252" s="47" t="str">
        <f>IF(A252="","",1/L252*(E252/100/2)^(2/3)*(1/K252)^(1/2)*0.70541)</f>
        <v/>
      </c>
      <c r="O252" s="48" t="str">
        <f>IF(A252="","",ROUNDDOWN(M252/($U$3/8.64)*10000/$AJ$3,0))</f>
        <v/>
      </c>
      <c r="P252" s="49" t="str">
        <f>IF(A252="","",IF(O252&gt;Q252,"＞","＜"))</f>
        <v/>
      </c>
      <c r="Q252" s="48" t="str">
        <f>IF(A252="","",I252)</f>
        <v/>
      </c>
      <c r="R252" s="51" t="str">
        <f>IF(A252="","",IF(P252="＞","OK","NG"))</f>
        <v/>
      </c>
      <c r="S252" s="86"/>
      <c r="T252" s="87"/>
      <c r="U252" s="28" t="str">
        <f>IF(S252="","",IF(T252=1,"素焼土管",IF(T252=2,"合成樹脂管",IF(T252=3,"無孔管",""))))</f>
        <v/>
      </c>
      <c r="V252" s="29"/>
      <c r="W252" s="88"/>
      <c r="X252" s="89"/>
      <c r="Y252" s="90"/>
      <c r="Z252" s="41" t="str">
        <f>IF(S252="","",IF(AND(T253=3,I252=""),Z250+Y252,IF(AND(Z250="",I250=""),I252+Y252,IF(AND(T253=3,I252&gt;0,Z250&gt;0),I252+Z250+Y252,IF(Z250="",I250+I252+X252+Y252,IF(I252="",Z250+X252+Y252,Z250+I252+X252+Y252))))))</f>
        <v/>
      </c>
      <c r="AA252" s="45" t="str">
        <f>IF(AB252="",""," 1/")</f>
        <v/>
      </c>
      <c r="AB252" s="91"/>
      <c r="AC252" s="30" t="str">
        <f>IF(S252="","",IF(T252="","",IF(T252=1,0.013,0.012)))</f>
        <v/>
      </c>
      <c r="AD252" s="31" t="str">
        <f>IF(S252="","",IF(T252="","",(1/AC252*(W252/100/2)^(8/3)*(1/AB252*100)^(1/2)*1.65696)*100))</f>
        <v/>
      </c>
      <c r="AE252" s="31" t="str">
        <f>IF(S252="","",IF(T252="","",1/AC252*(W252/100/2)^(2/3)*(1/AB252)^(1/2)*0.70541))</f>
        <v/>
      </c>
      <c r="AF252" s="31" t="str">
        <f>IF(S252="","",IF(T252="","",ROUNDDOWN(AD252/($U$3/8.64),3)))</f>
        <v/>
      </c>
      <c r="AG252" s="32" t="str">
        <f>IF(S252="","",IF(T252="","",ROUNDDOWN(AF252*10000/$AJ$3,0)))</f>
        <v/>
      </c>
      <c r="AH252" s="33" t="str">
        <f t="shared" si="2352"/>
        <v/>
      </c>
      <c r="AI252" s="41" t="str">
        <f>IF(S252="","",Z252)</f>
        <v/>
      </c>
      <c r="AJ252" s="43" t="str">
        <f>IF(S252="","",AI252*$AJ$3/10000)</f>
        <v/>
      </c>
      <c r="AK252" s="33" t="str">
        <f>IF(S252="","",IF(T252="","",IF(AND(T252=1,AE252&gt;1),"NG",IF(AH252="＞","OK","NG"))))</f>
        <v/>
      </c>
    </row>
    <row r="253" spans="1:37" ht="15.75" customHeight="1" x14ac:dyDescent="0.15">
      <c r="A253" s="92"/>
      <c r="B253" s="93"/>
      <c r="C253" s="59"/>
      <c r="D253" s="61"/>
      <c r="E253" s="94"/>
      <c r="F253" s="95"/>
      <c r="G253" s="95"/>
      <c r="H253" s="96"/>
      <c r="I253" s="54"/>
      <c r="J253" s="46"/>
      <c r="K253" s="97"/>
      <c r="L253" s="57"/>
      <c r="M253" s="44"/>
      <c r="N253" s="44"/>
      <c r="O253" s="42"/>
      <c r="P253" s="50"/>
      <c r="Q253" s="42"/>
      <c r="R253" s="52"/>
      <c r="S253" s="98"/>
      <c r="T253" s="99">
        <v>2</v>
      </c>
      <c r="U253" s="34" t="str">
        <f>IF(S252="","",IF(T252=T253,"〃",IF(T253=1,"素焼土管",IF(T253=2,"合成樹脂管",IF(T253=3,"無孔管","")))))</f>
        <v/>
      </c>
      <c r="V253" s="35"/>
      <c r="W253" s="100"/>
      <c r="X253" s="101"/>
      <c r="Y253" s="95"/>
      <c r="Z253" s="42"/>
      <c r="AA253" s="46"/>
      <c r="AB253" s="97"/>
      <c r="AC253" s="36" t="str">
        <f>IF(S252="","",IF(T253=1,0.013,0.012))</f>
        <v/>
      </c>
      <c r="AD253" s="37" t="str">
        <f>IF(S252="","",(1/AC253*(W253/100/2)^(8/3)*(1/AB252*100)^(1/2)*1.65696)*100)</f>
        <v/>
      </c>
      <c r="AE253" s="37" t="str">
        <f>IF(S252="","",1/AC253*(W253/100/2)^(2/3)*(1/AB252)^(1/2)*0.70541)</f>
        <v/>
      </c>
      <c r="AF253" s="37" t="str">
        <f>IF(S252="","",ROUNDDOWN(AD253/($U$3/8.64),3))</f>
        <v/>
      </c>
      <c r="AG253" s="38" t="str">
        <f>IF(S252="","",ROUNDDOWN(AF253*10000/$AJ$3,0))</f>
        <v/>
      </c>
      <c r="AH253" s="39" t="str">
        <f t="shared" ref="AH253" si="2377">IF(S252="","",IF(AG253&gt;AI252,"＞",IF(AG253=AI252,"=","＜")))</f>
        <v/>
      </c>
      <c r="AI253" s="42"/>
      <c r="AJ253" s="44"/>
      <c r="AK253" s="39" t="str">
        <f>IF(S252="","",IF(AND(T253=1,AE253&gt;1),"NG",IF(AH253="＞","OK","NG")))</f>
        <v/>
      </c>
    </row>
    <row r="254" spans="1:37" ht="15.75" customHeight="1" x14ac:dyDescent="0.15">
      <c r="A254" s="80"/>
      <c r="B254" s="81">
        <v>2</v>
      </c>
      <c r="C254" s="58" t="str">
        <f>IF(A254="","",IF(B254=1,"素　焼土　管",IF(B254=2,"合　成樹脂管",IF(B254=3,"無孔管",""))))</f>
        <v/>
      </c>
      <c r="D254" s="60"/>
      <c r="E254" s="82"/>
      <c r="F254" s="83"/>
      <c r="G254" s="83"/>
      <c r="H254" s="84"/>
      <c r="I254" s="53" t="str">
        <f>IF(A254="","",F254-G254+H254)</f>
        <v/>
      </c>
      <c r="J254" s="55" t="str">
        <f>IF(A254="",""," 1/")</f>
        <v/>
      </c>
      <c r="K254" s="85"/>
      <c r="L254" s="56" t="str">
        <f>IF(A254="","",IF(B254=1,0.013,0.012))</f>
        <v/>
      </c>
      <c r="M254" s="47" t="str">
        <f>IF(A254="","",(1/L254*(E254/100/2)^(8/3)*(1/K254*100)^(1/2)*1.65696)*100)</f>
        <v/>
      </c>
      <c r="N254" s="47" t="str">
        <f>IF(A254="","",1/L254*(E254/100/2)^(2/3)*(1/K254)^(1/2)*0.70541)</f>
        <v/>
      </c>
      <c r="O254" s="48" t="str">
        <f>IF(A254="","",ROUNDDOWN(M254/($U$3/8.64)*10000/$AJ$3,0))</f>
        <v/>
      </c>
      <c r="P254" s="49" t="str">
        <f>IF(A254="","",IF(O254&gt;Q254,"＞","＜"))</f>
        <v/>
      </c>
      <c r="Q254" s="48" t="str">
        <f>IF(A254="","",I254)</f>
        <v/>
      </c>
      <c r="R254" s="51" t="str">
        <f>IF(A254="","",IF(P254="＞","OK","NG"))</f>
        <v/>
      </c>
      <c r="S254" s="86"/>
      <c r="T254" s="87"/>
      <c r="U254" s="28" t="str">
        <f>IF(S254="","",IF(T254=1,"素焼土管",IF(T254=2,"合成樹脂管",IF(T254=3,"無孔管",""))))</f>
        <v/>
      </c>
      <c r="V254" s="29"/>
      <c r="W254" s="88"/>
      <c r="X254" s="89"/>
      <c r="Y254" s="90"/>
      <c r="Z254" s="41" t="str">
        <f>IF(S254="","",IF(AND(T255=3,I254=""),Z252+Y254,IF(AND(Z252="",I252=""),I254+Y254,IF(AND(T255=3,I254&gt;0,Z252&gt;0),I254+Z252+Y254,IF(Z252="",I252+I254+X254+Y254,IF(I254="",Z252+X254+Y254,Z252+I254+X254+Y254))))))</f>
        <v/>
      </c>
      <c r="AA254" s="45" t="str">
        <f>IF(AB254="",""," 1/")</f>
        <v/>
      </c>
      <c r="AB254" s="91"/>
      <c r="AC254" s="30" t="str">
        <f>IF(S254="","",IF(T254="","",IF(T254=1,0.013,0.012)))</f>
        <v/>
      </c>
      <c r="AD254" s="31" t="str">
        <f>IF(S254="","",IF(T254="","",(1/AC254*(W254/100/2)^(8/3)*(1/AB254*100)^(1/2)*1.65696)*100))</f>
        <v/>
      </c>
      <c r="AE254" s="31" t="str">
        <f>IF(S254="","",IF(T254="","",1/AC254*(W254/100/2)^(2/3)*(1/AB254)^(1/2)*0.70541))</f>
        <v/>
      </c>
      <c r="AF254" s="31" t="str">
        <f>IF(S254="","",IF(T254="","",ROUNDDOWN(AD254/($U$3/8.64),3)))</f>
        <v/>
      </c>
      <c r="AG254" s="32" t="str">
        <f>IF(S254="","",IF(T254="","",ROUNDDOWN(AF254*10000/$AJ$3,0)))</f>
        <v/>
      </c>
      <c r="AH254" s="33" t="str">
        <f t="shared" si="2352"/>
        <v/>
      </c>
      <c r="AI254" s="41" t="str">
        <f>IF(S254="","",Z254)</f>
        <v/>
      </c>
      <c r="AJ254" s="43" t="str">
        <f>IF(S254="","",AI254*$AJ$3/10000)</f>
        <v/>
      </c>
      <c r="AK254" s="33" t="str">
        <f>IF(S254="","",IF(T254="","",IF(AND(T254=1,AE254&gt;1),"NG",IF(AH254="＞","OK","NG"))))</f>
        <v/>
      </c>
    </row>
    <row r="255" spans="1:37" ht="15.75" customHeight="1" x14ac:dyDescent="0.15">
      <c r="A255" s="92"/>
      <c r="B255" s="93"/>
      <c r="C255" s="59"/>
      <c r="D255" s="61"/>
      <c r="E255" s="94"/>
      <c r="F255" s="95"/>
      <c r="G255" s="95"/>
      <c r="H255" s="96"/>
      <c r="I255" s="54"/>
      <c r="J255" s="46"/>
      <c r="K255" s="97"/>
      <c r="L255" s="57"/>
      <c r="M255" s="44"/>
      <c r="N255" s="44"/>
      <c r="O255" s="42"/>
      <c r="P255" s="50"/>
      <c r="Q255" s="42"/>
      <c r="R255" s="52"/>
      <c r="S255" s="98"/>
      <c r="T255" s="99">
        <v>2</v>
      </c>
      <c r="U255" s="34" t="str">
        <f>IF(S254="","",IF(T254=T255,"〃",IF(T255=1,"素焼土管",IF(T255=2,"合成樹脂管",IF(T255=3,"無孔管","")))))</f>
        <v/>
      </c>
      <c r="V255" s="35"/>
      <c r="W255" s="100"/>
      <c r="X255" s="101"/>
      <c r="Y255" s="95"/>
      <c r="Z255" s="42"/>
      <c r="AA255" s="46"/>
      <c r="AB255" s="97"/>
      <c r="AC255" s="36" t="str">
        <f>IF(S254="","",IF(T255=1,0.013,0.012))</f>
        <v/>
      </c>
      <c r="AD255" s="37" t="str">
        <f>IF(S254="","",(1/AC255*(W255/100/2)^(8/3)*(1/AB254*100)^(1/2)*1.65696)*100)</f>
        <v/>
      </c>
      <c r="AE255" s="37" t="str">
        <f>IF(S254="","",1/AC255*(W255/100/2)^(2/3)*(1/AB254)^(1/2)*0.70541)</f>
        <v/>
      </c>
      <c r="AF255" s="37" t="str">
        <f>IF(S254="","",ROUNDDOWN(AD255/($U$3/8.64),3))</f>
        <v/>
      </c>
      <c r="AG255" s="38" t="str">
        <f>IF(S254="","",ROUNDDOWN(AF255*10000/$AJ$3,0))</f>
        <v/>
      </c>
      <c r="AH255" s="39" t="str">
        <f t="shared" ref="AH255" si="2378">IF(S254="","",IF(AG255&gt;AI254,"＞",IF(AG255=AI254,"=","＜")))</f>
        <v/>
      </c>
      <c r="AI255" s="42"/>
      <c r="AJ255" s="44"/>
      <c r="AK255" s="39" t="str">
        <f>IF(S254="","",IF(AND(T255=1,AE255&gt;1),"NG",IF(AH255="＞","OK","NG")))</f>
        <v/>
      </c>
    </row>
    <row r="256" spans="1:37" ht="15.75" customHeight="1" x14ac:dyDescent="0.15">
      <c r="A256" s="80"/>
      <c r="B256" s="81">
        <v>2</v>
      </c>
      <c r="C256" s="58" t="str">
        <f>IF(A256="","",IF(B256=1,"素　焼土　管",IF(B256=2,"合　成樹脂管",IF(B256=3,"無孔管",""))))</f>
        <v/>
      </c>
      <c r="D256" s="60"/>
      <c r="E256" s="82"/>
      <c r="F256" s="83"/>
      <c r="G256" s="83"/>
      <c r="H256" s="84"/>
      <c r="I256" s="53" t="str">
        <f>IF(A256="","",F256-G256+H256)</f>
        <v/>
      </c>
      <c r="J256" s="55" t="str">
        <f>IF(A256="",""," 1/")</f>
        <v/>
      </c>
      <c r="K256" s="85"/>
      <c r="L256" s="56" t="str">
        <f>IF(A256="","",IF(B256=1,0.013,0.012))</f>
        <v/>
      </c>
      <c r="M256" s="47" t="str">
        <f>IF(A256="","",(1/L256*(E256/100/2)^(8/3)*(1/K256*100)^(1/2)*1.65696)*100)</f>
        <v/>
      </c>
      <c r="N256" s="47" t="str">
        <f>IF(A256="","",1/L256*(E256/100/2)^(2/3)*(1/K256)^(1/2)*0.70541)</f>
        <v/>
      </c>
      <c r="O256" s="48" t="str">
        <f>IF(A256="","",ROUNDDOWN(M256/($U$3/8.64)*10000/$AJ$3,0))</f>
        <v/>
      </c>
      <c r="P256" s="49" t="str">
        <f>IF(A256="","",IF(O256&gt;Q256,"＞","＜"))</f>
        <v/>
      </c>
      <c r="Q256" s="48" t="str">
        <f>IF(A256="","",I256)</f>
        <v/>
      </c>
      <c r="R256" s="51" t="str">
        <f>IF(A256="","",IF(P256="＞","OK","NG"))</f>
        <v/>
      </c>
      <c r="S256" s="86"/>
      <c r="T256" s="87"/>
      <c r="U256" s="28" t="str">
        <f>IF(S256="","",IF(T256=1,"素焼土管",IF(T256=2,"合成樹脂管",IF(T256=3,"無孔管",""))))</f>
        <v/>
      </c>
      <c r="V256" s="29"/>
      <c r="W256" s="88"/>
      <c r="X256" s="89"/>
      <c r="Y256" s="90"/>
      <c r="Z256" s="41" t="str">
        <f>IF(S256="","",IF(AND(T257=3,I256=""),Z254+Y256,IF(AND(Z254="",I254=""),I256+Y256,IF(AND(T257=3,I256&gt;0,Z254&gt;0),I256+Z254+Y256,IF(Z254="",I254+I256+X256+Y256,IF(I256="",Z254+X256+Y256,Z254+I256+X256+Y256))))))</f>
        <v/>
      </c>
      <c r="AA256" s="45" t="str">
        <f>IF(AB256="",""," 1/")</f>
        <v/>
      </c>
      <c r="AB256" s="91"/>
      <c r="AC256" s="30" t="str">
        <f>IF(S256="","",IF(T256="","",IF(T256=1,0.013,0.012)))</f>
        <v/>
      </c>
      <c r="AD256" s="31" t="str">
        <f>IF(S256="","",IF(T256="","",(1/AC256*(W256/100/2)^(8/3)*(1/AB256*100)^(1/2)*1.65696)*100))</f>
        <v/>
      </c>
      <c r="AE256" s="31" t="str">
        <f>IF(S256="","",IF(T256="","",1/AC256*(W256/100/2)^(2/3)*(1/AB256)^(1/2)*0.70541))</f>
        <v/>
      </c>
      <c r="AF256" s="31" t="str">
        <f>IF(S256="","",IF(T256="","",ROUNDDOWN(AD256/($U$3/8.64),3)))</f>
        <v/>
      </c>
      <c r="AG256" s="32" t="str">
        <f>IF(S256="","",IF(T256="","",ROUNDDOWN(AF256*10000/$AJ$3,0)))</f>
        <v/>
      </c>
      <c r="AH256" s="33" t="str">
        <f t="shared" si="2352"/>
        <v/>
      </c>
      <c r="AI256" s="41" t="str">
        <f>IF(S256="","",Z256)</f>
        <v/>
      </c>
      <c r="AJ256" s="43" t="str">
        <f>IF(S256="","",AI256*$AJ$3/10000)</f>
        <v/>
      </c>
      <c r="AK256" s="33" t="str">
        <f>IF(S256="","",IF(T256="","",IF(AND(T256=1,AE256&gt;1),"NG",IF(AH256="＞","OK","NG"))))</f>
        <v/>
      </c>
    </row>
    <row r="257" spans="1:37" ht="15.75" customHeight="1" x14ac:dyDescent="0.15">
      <c r="A257" s="92"/>
      <c r="B257" s="93"/>
      <c r="C257" s="59"/>
      <c r="D257" s="61"/>
      <c r="E257" s="94"/>
      <c r="F257" s="95"/>
      <c r="G257" s="95"/>
      <c r="H257" s="96"/>
      <c r="I257" s="54"/>
      <c r="J257" s="46"/>
      <c r="K257" s="97"/>
      <c r="L257" s="57"/>
      <c r="M257" s="44"/>
      <c r="N257" s="44"/>
      <c r="O257" s="42"/>
      <c r="P257" s="50"/>
      <c r="Q257" s="42"/>
      <c r="R257" s="52"/>
      <c r="S257" s="98"/>
      <c r="T257" s="99">
        <v>2</v>
      </c>
      <c r="U257" s="34" t="str">
        <f>IF(S256="","",IF(T256=T257,"〃",IF(T257=1,"素焼土管",IF(T257=2,"合成樹脂管",IF(T257=3,"無孔管","")))))</f>
        <v/>
      </c>
      <c r="V257" s="35"/>
      <c r="W257" s="100"/>
      <c r="X257" s="101"/>
      <c r="Y257" s="95"/>
      <c r="Z257" s="42"/>
      <c r="AA257" s="46"/>
      <c r="AB257" s="97"/>
      <c r="AC257" s="36" t="str">
        <f>IF(S256="","",IF(T257=1,0.013,0.012))</f>
        <v/>
      </c>
      <c r="AD257" s="37" t="str">
        <f>IF(S256="","",(1/AC257*(W257/100/2)^(8/3)*(1/AB256*100)^(1/2)*1.65696)*100)</f>
        <v/>
      </c>
      <c r="AE257" s="37" t="str">
        <f>IF(S256="","",1/AC257*(W257/100/2)^(2/3)*(1/AB256)^(1/2)*0.70541)</f>
        <v/>
      </c>
      <c r="AF257" s="37" t="str">
        <f>IF(S256="","",ROUNDDOWN(AD257/($U$3/8.64),3))</f>
        <v/>
      </c>
      <c r="AG257" s="38" t="str">
        <f>IF(S256="","",ROUNDDOWN(AF257*10000/$AJ$3,0))</f>
        <v/>
      </c>
      <c r="AH257" s="39" t="str">
        <f t="shared" ref="AH257" si="2379">IF(S256="","",IF(AG257&gt;AI256,"＞",IF(AG257=AI256,"=","＜")))</f>
        <v/>
      </c>
      <c r="AI257" s="42"/>
      <c r="AJ257" s="44"/>
      <c r="AK257" s="39" t="str">
        <f>IF(S256="","",IF(AND(T257=1,AE257&gt;1),"NG",IF(AH257="＞","OK","NG")))</f>
        <v/>
      </c>
    </row>
    <row r="258" spans="1:37" ht="15.75" customHeight="1" x14ac:dyDescent="0.15">
      <c r="A258" s="80"/>
      <c r="B258" s="81">
        <v>2</v>
      </c>
      <c r="C258" s="58" t="str">
        <f>IF(A258="","",IF(B258=1,"素　焼土　管",IF(B258=2,"合　成樹脂管",IF(B258=3,"無孔管",""))))</f>
        <v/>
      </c>
      <c r="D258" s="60"/>
      <c r="E258" s="82"/>
      <c r="F258" s="83"/>
      <c r="G258" s="83"/>
      <c r="H258" s="84"/>
      <c r="I258" s="53" t="str">
        <f>IF(A258="","",F258-G258+H258)</f>
        <v/>
      </c>
      <c r="J258" s="55" t="str">
        <f>IF(A258="",""," 1/")</f>
        <v/>
      </c>
      <c r="K258" s="85"/>
      <c r="L258" s="56" t="str">
        <f>IF(A258="","",IF(B258=1,0.013,0.012))</f>
        <v/>
      </c>
      <c r="M258" s="47" t="str">
        <f>IF(A258="","",(1/L258*(E258/100/2)^(8/3)*(1/K258*100)^(1/2)*1.65696)*100)</f>
        <v/>
      </c>
      <c r="N258" s="47" t="str">
        <f>IF(A258="","",1/L258*(E258/100/2)^(2/3)*(1/K258)^(1/2)*0.70541)</f>
        <v/>
      </c>
      <c r="O258" s="48" t="str">
        <f>IF(A258="","",ROUNDDOWN(M258/($U$3/8.64)*10000/$AJ$3,0))</f>
        <v/>
      </c>
      <c r="P258" s="49" t="str">
        <f>IF(A258="","",IF(O258&gt;Q258,"＞","＜"))</f>
        <v/>
      </c>
      <c r="Q258" s="48" t="str">
        <f>IF(A258="","",I258)</f>
        <v/>
      </c>
      <c r="R258" s="51" t="str">
        <f>IF(A258="","",IF(P258="＞","OK","NG"))</f>
        <v/>
      </c>
      <c r="S258" s="86"/>
      <c r="T258" s="87"/>
      <c r="U258" s="28" t="str">
        <f>IF(S258="","",IF(T258=1,"素焼土管",IF(T258=2,"合成樹脂管",IF(T258=3,"無孔管",""))))</f>
        <v/>
      </c>
      <c r="V258" s="29"/>
      <c r="W258" s="88"/>
      <c r="X258" s="89"/>
      <c r="Y258" s="90"/>
      <c r="Z258" s="41" t="str">
        <f>IF(S258="","",IF(AND(T259=3,I258=""),Z256+Y258,IF(AND(Z256="",I256=""),I258+Y258,IF(AND(T259=3,I258&gt;0,Z256&gt;0),I258+Z256+Y258,IF(Z256="",I256+I258+X258+Y258,IF(I258="",Z256+X258+Y258,Z256+I258+X258+Y258))))))</f>
        <v/>
      </c>
      <c r="AA258" s="45" t="str">
        <f>IF(AB258="",""," 1/")</f>
        <v/>
      </c>
      <c r="AB258" s="91"/>
      <c r="AC258" s="30" t="str">
        <f>IF(S258="","",IF(T258="","",IF(T258=1,0.013,0.012)))</f>
        <v/>
      </c>
      <c r="AD258" s="31" t="str">
        <f>IF(S258="","",IF(T258="","",(1/AC258*(W258/100/2)^(8/3)*(1/AB258*100)^(1/2)*1.65696)*100))</f>
        <v/>
      </c>
      <c r="AE258" s="31" t="str">
        <f>IF(S258="","",IF(T258="","",1/AC258*(W258/100/2)^(2/3)*(1/AB258)^(1/2)*0.70541))</f>
        <v/>
      </c>
      <c r="AF258" s="31" t="str">
        <f>IF(S258="","",IF(T258="","",ROUNDDOWN(AD258/($U$3/8.64),3)))</f>
        <v/>
      </c>
      <c r="AG258" s="32" t="str">
        <f>IF(S258="","",IF(T258="","",ROUNDDOWN(AF258*10000/$AJ$3,0)))</f>
        <v/>
      </c>
      <c r="AH258" s="33" t="str">
        <f t="shared" si="2352"/>
        <v/>
      </c>
      <c r="AI258" s="41" t="str">
        <f>IF(S258="","",Z258)</f>
        <v/>
      </c>
      <c r="AJ258" s="43" t="str">
        <f>IF(S258="","",AI258*$AJ$3/10000)</f>
        <v/>
      </c>
      <c r="AK258" s="33" t="str">
        <f>IF(S258="","",IF(T258="","",IF(AND(T258=1,AE258&gt;1),"NG",IF(AH258="＞","OK","NG"))))</f>
        <v/>
      </c>
    </row>
    <row r="259" spans="1:37" ht="15.75" customHeight="1" x14ac:dyDescent="0.15">
      <c r="A259" s="92"/>
      <c r="B259" s="93"/>
      <c r="C259" s="59"/>
      <c r="D259" s="61"/>
      <c r="E259" s="94"/>
      <c r="F259" s="95"/>
      <c r="G259" s="95"/>
      <c r="H259" s="96"/>
      <c r="I259" s="54"/>
      <c r="J259" s="46"/>
      <c r="K259" s="97"/>
      <c r="L259" s="57"/>
      <c r="M259" s="44"/>
      <c r="N259" s="44"/>
      <c r="O259" s="42"/>
      <c r="P259" s="50"/>
      <c r="Q259" s="42"/>
      <c r="R259" s="52"/>
      <c r="S259" s="98"/>
      <c r="T259" s="99">
        <v>2</v>
      </c>
      <c r="U259" s="34" t="str">
        <f>IF(S258="","",IF(T258=T259,"〃",IF(T259=1,"素焼土管",IF(T259=2,"合成樹脂管",IF(T259=3,"無孔管","")))))</f>
        <v/>
      </c>
      <c r="V259" s="35"/>
      <c r="W259" s="100"/>
      <c r="X259" s="101"/>
      <c r="Y259" s="95"/>
      <c r="Z259" s="42"/>
      <c r="AA259" s="46"/>
      <c r="AB259" s="97"/>
      <c r="AC259" s="36" t="str">
        <f>IF(S258="","",IF(T259=1,0.013,0.012))</f>
        <v/>
      </c>
      <c r="AD259" s="37" t="str">
        <f>IF(S258="","",(1/AC259*(W259/100/2)^(8/3)*(1/AB258*100)^(1/2)*1.65696)*100)</f>
        <v/>
      </c>
      <c r="AE259" s="37" t="str">
        <f>IF(S258="","",1/AC259*(W259/100/2)^(2/3)*(1/AB258)^(1/2)*0.70541)</f>
        <v/>
      </c>
      <c r="AF259" s="37" t="str">
        <f>IF(S258="","",ROUNDDOWN(AD259/($U$3/8.64),3))</f>
        <v/>
      </c>
      <c r="AG259" s="38" t="str">
        <f>IF(S258="","",ROUNDDOWN(AF259*10000/$AJ$3,0))</f>
        <v/>
      </c>
      <c r="AH259" s="39" t="str">
        <f t="shared" ref="AH259" si="2380">IF(S258="","",IF(AG259&gt;AI258,"＞",IF(AG259=AI258,"=","＜")))</f>
        <v/>
      </c>
      <c r="AI259" s="42"/>
      <c r="AJ259" s="44"/>
      <c r="AK259" s="39" t="str">
        <f>IF(S258="","",IF(AND(T259=1,AE259&gt;1),"NG",IF(AH259="＞","OK","NG")))</f>
        <v/>
      </c>
    </row>
    <row r="260" spans="1:37" ht="15.75" customHeight="1" x14ac:dyDescent="0.15">
      <c r="A260" s="80"/>
      <c r="B260" s="81">
        <v>2</v>
      </c>
      <c r="C260" s="58" t="str">
        <f>IF(A260="","",IF(B260=1,"素　焼土　管",IF(B260=2,"合　成樹脂管",IF(B260=3,"無孔管",""))))</f>
        <v/>
      </c>
      <c r="D260" s="60"/>
      <c r="E260" s="82"/>
      <c r="F260" s="83"/>
      <c r="G260" s="83"/>
      <c r="H260" s="84"/>
      <c r="I260" s="53" t="str">
        <f>IF(A260="","",F260-G260+H260)</f>
        <v/>
      </c>
      <c r="J260" s="55" t="str">
        <f>IF(A260="",""," 1/")</f>
        <v/>
      </c>
      <c r="K260" s="85"/>
      <c r="L260" s="56" t="str">
        <f>IF(A260="","",IF(B260=1,0.013,0.012))</f>
        <v/>
      </c>
      <c r="M260" s="47" t="str">
        <f>IF(A260="","",(1/L260*(E260/100/2)^(8/3)*(1/K260*100)^(1/2)*1.65696)*100)</f>
        <v/>
      </c>
      <c r="N260" s="47" t="str">
        <f>IF(A260="","",1/L260*(E260/100/2)^(2/3)*(1/K260)^(1/2)*0.70541)</f>
        <v/>
      </c>
      <c r="O260" s="48" t="str">
        <f>IF(A260="","",ROUNDDOWN(M260/($U$3/8.64)*10000/$AJ$3,0))</f>
        <v/>
      </c>
      <c r="P260" s="49" t="str">
        <f>IF(A260="","",IF(O260&gt;Q260,"＞","＜"))</f>
        <v/>
      </c>
      <c r="Q260" s="48" t="str">
        <f>IF(A260="","",I260)</f>
        <v/>
      </c>
      <c r="R260" s="51" t="str">
        <f>IF(A260="","",IF(P260="＞","OK","NG"))</f>
        <v/>
      </c>
      <c r="S260" s="86"/>
      <c r="T260" s="87"/>
      <c r="U260" s="28" t="str">
        <f>IF(S260="","",IF(T260=1,"素焼土管",IF(T260=2,"合成樹脂管",IF(T260=3,"無孔管",""))))</f>
        <v/>
      </c>
      <c r="V260" s="29"/>
      <c r="W260" s="88"/>
      <c r="X260" s="89"/>
      <c r="Y260" s="90"/>
      <c r="Z260" s="41" t="str">
        <f>IF(S260="","",IF(AND(T261=3,I260=""),Z258+Y260,IF(AND(Z258="",I258=""),I260+Y260,IF(AND(T261=3,I260&gt;0,Z258&gt;0),I260+Z258+Y260,IF(Z258="",I258+I260+X260+Y260,IF(I260="",Z258+X260+Y260,Z258+I260+X260+Y260))))))</f>
        <v/>
      </c>
      <c r="AA260" s="45" t="str">
        <f>IF(AB260="",""," 1/")</f>
        <v/>
      </c>
      <c r="AB260" s="91"/>
      <c r="AC260" s="30" t="str">
        <f>IF(S260="","",IF(T260="","",IF(T260=1,0.013,0.012)))</f>
        <v/>
      </c>
      <c r="AD260" s="31" t="str">
        <f>IF(S260="","",IF(T260="","",(1/AC260*(W260/100/2)^(8/3)*(1/AB260*100)^(1/2)*1.65696)*100))</f>
        <v/>
      </c>
      <c r="AE260" s="31" t="str">
        <f>IF(S260="","",IF(T260="","",1/AC260*(W260/100/2)^(2/3)*(1/AB260)^(1/2)*0.70541))</f>
        <v/>
      </c>
      <c r="AF260" s="31" t="str">
        <f>IF(S260="","",IF(T260="","",ROUNDDOWN(AD260/($U$3/8.64),3)))</f>
        <v/>
      </c>
      <c r="AG260" s="32" t="str">
        <f>IF(S260="","",IF(T260="","",ROUNDDOWN(AF260*10000/$AJ$3,0)))</f>
        <v/>
      </c>
      <c r="AH260" s="33" t="str">
        <f t="shared" si="2352"/>
        <v/>
      </c>
      <c r="AI260" s="41" t="str">
        <f>IF(S260="","",Z260)</f>
        <v/>
      </c>
      <c r="AJ260" s="43" t="str">
        <f>IF(S260="","",AI260*$AJ$3/10000)</f>
        <v/>
      </c>
      <c r="AK260" s="33" t="str">
        <f>IF(S260="","",IF(T260="","",IF(AND(T260=1,AE260&gt;1),"NG",IF(AH260="＞","OK","NG"))))</f>
        <v/>
      </c>
    </row>
    <row r="261" spans="1:37" ht="15.75" customHeight="1" x14ac:dyDescent="0.15">
      <c r="A261" s="92"/>
      <c r="B261" s="93"/>
      <c r="C261" s="59"/>
      <c r="D261" s="61"/>
      <c r="E261" s="94"/>
      <c r="F261" s="95"/>
      <c r="G261" s="95"/>
      <c r="H261" s="96"/>
      <c r="I261" s="54"/>
      <c r="J261" s="46"/>
      <c r="K261" s="97"/>
      <c r="L261" s="57"/>
      <c r="M261" s="44"/>
      <c r="N261" s="44"/>
      <c r="O261" s="42"/>
      <c r="P261" s="50"/>
      <c r="Q261" s="42"/>
      <c r="R261" s="52"/>
      <c r="S261" s="98"/>
      <c r="T261" s="99">
        <v>2</v>
      </c>
      <c r="U261" s="34" t="str">
        <f>IF(S260="","",IF(T260=T261,"〃",IF(T261=1,"素焼土管",IF(T261=2,"合成樹脂管",IF(T261=3,"無孔管","")))))</f>
        <v/>
      </c>
      <c r="V261" s="35"/>
      <c r="W261" s="100"/>
      <c r="X261" s="101"/>
      <c r="Y261" s="95"/>
      <c r="Z261" s="42"/>
      <c r="AA261" s="46"/>
      <c r="AB261" s="97"/>
      <c r="AC261" s="36" t="str">
        <f>IF(S260="","",IF(T261=1,0.013,0.012))</f>
        <v/>
      </c>
      <c r="AD261" s="37" t="str">
        <f>IF(S260="","",(1/AC261*(W261/100/2)^(8/3)*(1/AB260*100)^(1/2)*1.65696)*100)</f>
        <v/>
      </c>
      <c r="AE261" s="37" t="str">
        <f>IF(S260="","",1/AC261*(W261/100/2)^(2/3)*(1/AB260)^(1/2)*0.70541)</f>
        <v/>
      </c>
      <c r="AF261" s="37" t="str">
        <f>IF(S260="","",ROUNDDOWN(AD261/($U$3/8.64),3))</f>
        <v/>
      </c>
      <c r="AG261" s="38" t="str">
        <f>IF(S260="","",ROUNDDOWN(AF261*10000/$AJ$3,0))</f>
        <v/>
      </c>
      <c r="AH261" s="39" t="str">
        <f t="shared" ref="AH261" si="2381">IF(S260="","",IF(AG261&gt;AI260,"＞",IF(AG261=AI260,"=","＜")))</f>
        <v/>
      </c>
      <c r="AI261" s="42"/>
      <c r="AJ261" s="44"/>
      <c r="AK261" s="39" t="str">
        <f>IF(S260="","",IF(AND(T261=1,AE261&gt;1),"NG",IF(AH261="＞","OK","NG")))</f>
        <v/>
      </c>
    </row>
    <row r="262" spans="1:37" ht="15.75" customHeight="1" x14ac:dyDescent="0.15">
      <c r="A262" s="80"/>
      <c r="B262" s="81">
        <v>2</v>
      </c>
      <c r="C262" s="58" t="str">
        <f>IF(A262="","",IF(B262=1,"素　焼土　管",IF(B262=2,"合　成樹脂管",IF(B262=3,"無孔管",""))))</f>
        <v/>
      </c>
      <c r="D262" s="60"/>
      <c r="E262" s="82"/>
      <c r="F262" s="83"/>
      <c r="G262" s="83"/>
      <c r="H262" s="84"/>
      <c r="I262" s="53" t="str">
        <f>IF(A262="","",F262-G262+H262)</f>
        <v/>
      </c>
      <c r="J262" s="55" t="str">
        <f>IF(A262="",""," 1/")</f>
        <v/>
      </c>
      <c r="K262" s="85"/>
      <c r="L262" s="56" t="str">
        <f>IF(A262="","",IF(B262=1,0.013,0.012))</f>
        <v/>
      </c>
      <c r="M262" s="47" t="str">
        <f>IF(A262="","",(1/L262*(E262/100/2)^(8/3)*(1/K262*100)^(1/2)*1.65696)*100)</f>
        <v/>
      </c>
      <c r="N262" s="47" t="str">
        <f>IF(A262="","",1/L262*(E262/100/2)^(2/3)*(1/K262)^(1/2)*0.70541)</f>
        <v/>
      </c>
      <c r="O262" s="48" t="str">
        <f>IF(A262="","",ROUNDDOWN(M262/($U$3/8.64)*10000/$AJ$3,0))</f>
        <v/>
      </c>
      <c r="P262" s="49" t="str">
        <f>IF(A262="","",IF(O262&gt;Q262,"＞","＜"))</f>
        <v/>
      </c>
      <c r="Q262" s="48" t="str">
        <f>IF(A262="","",I262)</f>
        <v/>
      </c>
      <c r="R262" s="51" t="str">
        <f>IF(A262="","",IF(P262="＞","OK","NG"))</f>
        <v/>
      </c>
      <c r="S262" s="86"/>
      <c r="T262" s="87"/>
      <c r="U262" s="28" t="str">
        <f>IF(S262="","",IF(T262=1,"素焼土管",IF(T262=2,"合成樹脂管",IF(T262=3,"無孔管",""))))</f>
        <v/>
      </c>
      <c r="V262" s="29"/>
      <c r="W262" s="88"/>
      <c r="X262" s="89"/>
      <c r="Y262" s="90"/>
      <c r="Z262" s="41" t="str">
        <f>IF(S262="","",IF(AND(T263=3,I262=""),Z260+Y262,IF(AND(Z260="",I260=""),I262+Y262,IF(AND(T263=3,I262&gt;0,Z260&gt;0),I262+Z260+Y262,IF(Z260="",I260+I262+X262+Y262,IF(I262="",Z260+X262+Y262,Z260+I262+X262+Y262))))))</f>
        <v/>
      </c>
      <c r="AA262" s="45" t="str">
        <f>IF(AB262="",""," 1/")</f>
        <v/>
      </c>
      <c r="AB262" s="91"/>
      <c r="AC262" s="30" t="str">
        <f>IF(S262="","",IF(T262="","",IF(T262=1,0.013,0.012)))</f>
        <v/>
      </c>
      <c r="AD262" s="31" t="str">
        <f>IF(S262="","",IF(T262="","",(1/AC262*(W262/100/2)^(8/3)*(1/AB262*100)^(1/2)*1.65696)*100))</f>
        <v/>
      </c>
      <c r="AE262" s="31" t="str">
        <f>IF(S262="","",IF(T262="","",1/AC262*(W262/100/2)^(2/3)*(1/AB262)^(1/2)*0.70541))</f>
        <v/>
      </c>
      <c r="AF262" s="31" t="str">
        <f>IF(S262="","",IF(T262="","",ROUNDDOWN(AD262/($U$3/8.64),3)))</f>
        <v/>
      </c>
      <c r="AG262" s="32" t="str">
        <f>IF(S262="","",IF(T262="","",ROUNDDOWN(AF262*10000/$AJ$3,0)))</f>
        <v/>
      </c>
      <c r="AH262" s="33" t="str">
        <f t="shared" si="2352"/>
        <v/>
      </c>
      <c r="AI262" s="41" t="str">
        <f>IF(S262="","",Z262)</f>
        <v/>
      </c>
      <c r="AJ262" s="43" t="str">
        <f>IF(S262="","",AI262*$AJ$3/10000)</f>
        <v/>
      </c>
      <c r="AK262" s="33" t="str">
        <f>IF(S262="","",IF(T262="","",IF(AND(T262=1,AE262&gt;1),"NG",IF(AH262="＞","OK","NG"))))</f>
        <v/>
      </c>
    </row>
    <row r="263" spans="1:37" ht="15.75" customHeight="1" x14ac:dyDescent="0.15">
      <c r="A263" s="92"/>
      <c r="B263" s="93"/>
      <c r="C263" s="59"/>
      <c r="D263" s="61"/>
      <c r="E263" s="94"/>
      <c r="F263" s="95"/>
      <c r="G263" s="95"/>
      <c r="H263" s="96"/>
      <c r="I263" s="54"/>
      <c r="J263" s="46"/>
      <c r="K263" s="97"/>
      <c r="L263" s="57"/>
      <c r="M263" s="44"/>
      <c r="N263" s="44"/>
      <c r="O263" s="42"/>
      <c r="P263" s="50"/>
      <c r="Q263" s="42"/>
      <c r="R263" s="52"/>
      <c r="S263" s="98"/>
      <c r="T263" s="99">
        <v>2</v>
      </c>
      <c r="U263" s="34" t="str">
        <f>IF(S262="","",IF(T262=T263,"〃",IF(T263=1,"素焼土管",IF(T263=2,"合成樹脂管",IF(T263=3,"無孔管","")))))</f>
        <v/>
      </c>
      <c r="V263" s="35"/>
      <c r="W263" s="100"/>
      <c r="X263" s="101"/>
      <c r="Y263" s="95"/>
      <c r="Z263" s="42"/>
      <c r="AA263" s="46"/>
      <c r="AB263" s="97"/>
      <c r="AC263" s="36" t="str">
        <f>IF(S262="","",IF(T263=1,0.013,0.012))</f>
        <v/>
      </c>
      <c r="AD263" s="37" t="str">
        <f>IF(S262="","",(1/AC263*(W263/100/2)^(8/3)*(1/AB262*100)^(1/2)*1.65696)*100)</f>
        <v/>
      </c>
      <c r="AE263" s="37" t="str">
        <f>IF(S262="","",1/AC263*(W263/100/2)^(2/3)*(1/AB262)^(1/2)*0.70541)</f>
        <v/>
      </c>
      <c r="AF263" s="37" t="str">
        <f>IF(S262="","",ROUNDDOWN(AD263/($U$3/8.64),3))</f>
        <v/>
      </c>
      <c r="AG263" s="38" t="str">
        <f>IF(S262="","",ROUNDDOWN(AF263*10000/$AJ$3,0))</f>
        <v/>
      </c>
      <c r="AH263" s="39" t="str">
        <f t="shared" ref="AH263" si="2382">IF(S262="","",IF(AG263&gt;AI262,"＞",IF(AG263=AI262,"=","＜")))</f>
        <v/>
      </c>
      <c r="AI263" s="42"/>
      <c r="AJ263" s="44"/>
      <c r="AK263" s="39" t="str">
        <f>IF(S262="","",IF(AND(T263=1,AE263&gt;1),"NG",IF(AH263="＞","OK","NG")))</f>
        <v/>
      </c>
    </row>
    <row r="264" spans="1:37" ht="15.75" customHeight="1" x14ac:dyDescent="0.15">
      <c r="A264" s="80"/>
      <c r="B264" s="81">
        <v>2</v>
      </c>
      <c r="C264" s="58" t="str">
        <f>IF(A264="","",IF(B264=1,"素　焼土　管",IF(B264=2,"合　成樹脂管",IF(B264=3,"無孔管",""))))</f>
        <v/>
      </c>
      <c r="D264" s="60"/>
      <c r="E264" s="82"/>
      <c r="F264" s="83"/>
      <c r="G264" s="83"/>
      <c r="H264" s="84"/>
      <c r="I264" s="53" t="str">
        <f>IF(A264="","",F264-G264+H264)</f>
        <v/>
      </c>
      <c r="J264" s="55" t="str">
        <f>IF(A264="",""," 1/")</f>
        <v/>
      </c>
      <c r="K264" s="85"/>
      <c r="L264" s="56" t="str">
        <f>IF(A264="","",IF(B264=1,0.013,0.012))</f>
        <v/>
      </c>
      <c r="M264" s="47" t="str">
        <f>IF(A264="","",(1/L264*(E264/100/2)^(8/3)*(1/K264*100)^(1/2)*1.65696)*100)</f>
        <v/>
      </c>
      <c r="N264" s="47" t="str">
        <f>IF(A264="","",1/L264*(E264/100/2)^(2/3)*(1/K264)^(1/2)*0.70541)</f>
        <v/>
      </c>
      <c r="O264" s="48" t="str">
        <f>IF(A264="","",ROUNDDOWN(M264/($U$3/8.64)*10000/$AJ$3,0))</f>
        <v/>
      </c>
      <c r="P264" s="49" t="str">
        <f>IF(A264="","",IF(O264&gt;Q264,"＞","＜"))</f>
        <v/>
      </c>
      <c r="Q264" s="48" t="str">
        <f>IF(A264="","",I264)</f>
        <v/>
      </c>
      <c r="R264" s="51" t="str">
        <f>IF(A264="","",IF(P264="＞","OK","NG"))</f>
        <v/>
      </c>
      <c r="S264" s="86"/>
      <c r="T264" s="87"/>
      <c r="U264" s="28" t="str">
        <f>IF(S264="","",IF(T264=1,"素焼土管",IF(T264=2,"合成樹脂管",IF(T264=3,"無孔管",""))))</f>
        <v/>
      </c>
      <c r="V264" s="29"/>
      <c r="W264" s="88"/>
      <c r="X264" s="89"/>
      <c r="Y264" s="90"/>
      <c r="Z264" s="41" t="str">
        <f>IF(S264="","",IF(AND(T265=3,I264=""),Z262+Y264,IF(AND(Z262="",I262=""),I264+Y264,IF(AND(T265=3,I264&gt;0,Z262&gt;0),I264+Z262+Y264,IF(Z262="",I262+I264+X264+Y264,IF(I264="",Z262+X264+Y264,Z262+I264+X264+Y264))))))</f>
        <v/>
      </c>
      <c r="AA264" s="45" t="str">
        <f>IF(AB264="",""," 1/")</f>
        <v/>
      </c>
      <c r="AB264" s="91"/>
      <c r="AC264" s="30" t="str">
        <f>IF(S264="","",IF(T264="","",IF(T264=1,0.013,0.012)))</f>
        <v/>
      </c>
      <c r="AD264" s="31" t="str">
        <f>IF(S264="","",IF(T264="","",(1/AC264*(W264/100/2)^(8/3)*(1/AB264*100)^(1/2)*1.65696)*100))</f>
        <v/>
      </c>
      <c r="AE264" s="31" t="str">
        <f>IF(S264="","",IF(T264="","",1/AC264*(W264/100/2)^(2/3)*(1/AB264)^(1/2)*0.70541))</f>
        <v/>
      </c>
      <c r="AF264" s="31" t="str">
        <f>IF(S264="","",IF(T264="","",ROUNDDOWN(AD264/($U$3/8.64),3)))</f>
        <v/>
      </c>
      <c r="AG264" s="32" t="str">
        <f>IF(S264="","",IF(T264="","",ROUNDDOWN(AF264*10000/$AJ$3,0)))</f>
        <v/>
      </c>
      <c r="AH264" s="33" t="str">
        <f t="shared" si="2352"/>
        <v/>
      </c>
      <c r="AI264" s="41" t="str">
        <f>IF(S264="","",Z264)</f>
        <v/>
      </c>
      <c r="AJ264" s="43" t="str">
        <f>IF(S264="","",AI264*$AJ$3/10000)</f>
        <v/>
      </c>
      <c r="AK264" s="33" t="str">
        <f>IF(S264="","",IF(T264="","",IF(AND(T264=1,AE264&gt;1),"NG",IF(AH264="＞","OK","NG"))))</f>
        <v/>
      </c>
    </row>
    <row r="265" spans="1:37" ht="15.75" customHeight="1" x14ac:dyDescent="0.15">
      <c r="A265" s="92"/>
      <c r="B265" s="93"/>
      <c r="C265" s="59"/>
      <c r="D265" s="61"/>
      <c r="E265" s="94"/>
      <c r="F265" s="95"/>
      <c r="G265" s="95"/>
      <c r="H265" s="96"/>
      <c r="I265" s="54"/>
      <c r="J265" s="46"/>
      <c r="K265" s="97"/>
      <c r="L265" s="57"/>
      <c r="M265" s="44"/>
      <c r="N265" s="44"/>
      <c r="O265" s="42"/>
      <c r="P265" s="50"/>
      <c r="Q265" s="42"/>
      <c r="R265" s="52"/>
      <c r="S265" s="98"/>
      <c r="T265" s="99">
        <v>2</v>
      </c>
      <c r="U265" s="34" t="str">
        <f>IF(S264="","",IF(T264=T265,"〃",IF(T265=1,"素焼土管",IF(T265=2,"合成樹脂管",IF(T265=3,"無孔管","")))))</f>
        <v/>
      </c>
      <c r="V265" s="35"/>
      <c r="W265" s="100"/>
      <c r="X265" s="101"/>
      <c r="Y265" s="95"/>
      <c r="Z265" s="42"/>
      <c r="AA265" s="46"/>
      <c r="AB265" s="97"/>
      <c r="AC265" s="36" t="str">
        <f>IF(S264="","",IF(T265=1,0.013,0.012))</f>
        <v/>
      </c>
      <c r="AD265" s="37" t="str">
        <f>IF(S264="","",(1/AC265*(W265/100/2)^(8/3)*(1/AB264*100)^(1/2)*1.65696)*100)</f>
        <v/>
      </c>
      <c r="AE265" s="37" t="str">
        <f>IF(S264="","",1/AC265*(W265/100/2)^(2/3)*(1/AB264)^(1/2)*0.70541)</f>
        <v/>
      </c>
      <c r="AF265" s="37" t="str">
        <f>IF(S264="","",ROUNDDOWN(AD265/($U$3/8.64),3))</f>
        <v/>
      </c>
      <c r="AG265" s="38" t="str">
        <f>IF(S264="","",ROUNDDOWN(AF265*10000/$AJ$3,0))</f>
        <v/>
      </c>
      <c r="AH265" s="39" t="str">
        <f t="shared" ref="AH265" si="2383">IF(S264="","",IF(AG265&gt;AI264,"＞",IF(AG265=AI264,"=","＜")))</f>
        <v/>
      </c>
      <c r="AI265" s="42"/>
      <c r="AJ265" s="44"/>
      <c r="AK265" s="39" t="str">
        <f>IF(S264="","",IF(AND(T265=1,AE265&gt;1),"NG",IF(AH265="＞","OK","NG")))</f>
        <v/>
      </c>
    </row>
    <row r="266" spans="1:37" ht="15.75" customHeight="1" x14ac:dyDescent="0.15">
      <c r="A266" s="80"/>
      <c r="B266" s="81">
        <v>2</v>
      </c>
      <c r="C266" s="58" t="str">
        <f>IF(A266="","",IF(B266=1,"素　焼土　管",IF(B266=2,"合　成樹脂管",IF(B266=3,"無孔管",""))))</f>
        <v/>
      </c>
      <c r="D266" s="60"/>
      <c r="E266" s="82"/>
      <c r="F266" s="83"/>
      <c r="G266" s="83"/>
      <c r="H266" s="84"/>
      <c r="I266" s="53" t="str">
        <f>IF(A266="","",F266-G266+H266)</f>
        <v/>
      </c>
      <c r="J266" s="55" t="str">
        <f>IF(A266="",""," 1/")</f>
        <v/>
      </c>
      <c r="K266" s="85"/>
      <c r="L266" s="56" t="str">
        <f>IF(A266="","",IF(B266=1,0.013,0.012))</f>
        <v/>
      </c>
      <c r="M266" s="47" t="str">
        <f>IF(A266="","",(1/L266*(E266/100/2)^(8/3)*(1/K266*100)^(1/2)*1.65696)*100)</f>
        <v/>
      </c>
      <c r="N266" s="47" t="str">
        <f>IF(A266="","",1/L266*(E266/100/2)^(2/3)*(1/K266)^(1/2)*0.70541)</f>
        <v/>
      </c>
      <c r="O266" s="48" t="str">
        <f>IF(A266="","",ROUNDDOWN(M266/($U$3/8.64)*10000/$AJ$3,0))</f>
        <v/>
      </c>
      <c r="P266" s="49" t="str">
        <f>IF(A266="","",IF(O266&gt;Q266,"＞","＜"))</f>
        <v/>
      </c>
      <c r="Q266" s="48" t="str">
        <f>IF(A266="","",I266)</f>
        <v/>
      </c>
      <c r="R266" s="51" t="str">
        <f>IF(A266="","",IF(P266="＞","OK","NG"))</f>
        <v/>
      </c>
      <c r="S266" s="86"/>
      <c r="T266" s="87"/>
      <c r="U266" s="28" t="str">
        <f>IF(S266="","",IF(T266=1,"素焼土管",IF(T266=2,"合成樹脂管",IF(T266=3,"無孔管",""))))</f>
        <v/>
      </c>
      <c r="V266" s="29"/>
      <c r="W266" s="88"/>
      <c r="X266" s="89"/>
      <c r="Y266" s="90"/>
      <c r="Z266" s="41" t="str">
        <f>IF(S266="","",IF(AND(T267=3,I266=""),Z264+Y266,IF(AND(Z264="",I264=""),I266+Y266,IF(AND(T267=3,I266&gt;0,Z264&gt;0),I266+Z264+Y266,IF(Z264="",I264+I266+X266+Y266,IF(I266="",Z264+X266+Y266,Z264+I266+X266+Y266))))))</f>
        <v/>
      </c>
      <c r="AA266" s="45" t="str">
        <f>IF(AB266="",""," 1/")</f>
        <v/>
      </c>
      <c r="AB266" s="91"/>
      <c r="AC266" s="30" t="str">
        <f>IF(S266="","",IF(T266="","",IF(T266=1,0.013,0.012)))</f>
        <v/>
      </c>
      <c r="AD266" s="31" t="str">
        <f>IF(S266="","",IF(T266="","",(1/AC266*(W266/100/2)^(8/3)*(1/AB266*100)^(1/2)*1.65696)*100))</f>
        <v/>
      </c>
      <c r="AE266" s="31" t="str">
        <f>IF(S266="","",IF(T266="","",1/AC266*(W266/100/2)^(2/3)*(1/AB266)^(1/2)*0.70541))</f>
        <v/>
      </c>
      <c r="AF266" s="31" t="str">
        <f>IF(S266="","",IF(T266="","",ROUNDDOWN(AD266/($U$3/8.64),3)))</f>
        <v/>
      </c>
      <c r="AG266" s="32" t="str">
        <f>IF(S266="","",IF(T266="","",ROUNDDOWN(AF266*10000/$AJ$3,0)))</f>
        <v/>
      </c>
      <c r="AH266" s="33" t="str">
        <f t="shared" si="2352"/>
        <v/>
      </c>
      <c r="AI266" s="41" t="str">
        <f>IF(S266="","",Z266)</f>
        <v/>
      </c>
      <c r="AJ266" s="43" t="str">
        <f>IF(S266="","",AI266*$AJ$3/10000)</f>
        <v/>
      </c>
      <c r="AK266" s="33" t="str">
        <f>IF(S266="","",IF(T266="","",IF(AND(T266=1,AE266&gt;1),"NG",IF(AH266="＞","OK","NG"))))</f>
        <v/>
      </c>
    </row>
    <row r="267" spans="1:37" ht="15.75" customHeight="1" x14ac:dyDescent="0.15">
      <c r="A267" s="92"/>
      <c r="B267" s="93"/>
      <c r="C267" s="59"/>
      <c r="D267" s="61"/>
      <c r="E267" s="94"/>
      <c r="F267" s="95"/>
      <c r="G267" s="95"/>
      <c r="H267" s="96"/>
      <c r="I267" s="54"/>
      <c r="J267" s="46"/>
      <c r="K267" s="97"/>
      <c r="L267" s="57"/>
      <c r="M267" s="44"/>
      <c r="N267" s="44"/>
      <c r="O267" s="42"/>
      <c r="P267" s="50"/>
      <c r="Q267" s="42"/>
      <c r="R267" s="52"/>
      <c r="S267" s="98"/>
      <c r="T267" s="99">
        <v>2</v>
      </c>
      <c r="U267" s="34" t="str">
        <f>IF(S266="","",IF(T266=T267,"〃",IF(T267=1,"素焼土管",IF(T267=2,"合成樹脂管",IF(T267=3,"無孔管","")))))</f>
        <v/>
      </c>
      <c r="V267" s="35"/>
      <c r="W267" s="100"/>
      <c r="X267" s="101"/>
      <c r="Y267" s="95"/>
      <c r="Z267" s="42"/>
      <c r="AA267" s="46"/>
      <c r="AB267" s="97"/>
      <c r="AC267" s="36" t="str">
        <f>IF(S266="","",IF(T267=1,0.013,0.012))</f>
        <v/>
      </c>
      <c r="AD267" s="37" t="str">
        <f>IF(S266="","",(1/AC267*(W267/100/2)^(8/3)*(1/AB266*100)^(1/2)*1.65696)*100)</f>
        <v/>
      </c>
      <c r="AE267" s="37" t="str">
        <f>IF(S266="","",1/AC267*(W267/100/2)^(2/3)*(1/AB266)^(1/2)*0.70541)</f>
        <v/>
      </c>
      <c r="AF267" s="37" t="str">
        <f>IF(S266="","",ROUNDDOWN(AD267/($U$3/8.64),3))</f>
        <v/>
      </c>
      <c r="AG267" s="38" t="str">
        <f>IF(S266="","",ROUNDDOWN(AF267*10000/$AJ$3,0))</f>
        <v/>
      </c>
      <c r="AH267" s="39" t="str">
        <f t="shared" ref="AH267" si="2384">IF(S266="","",IF(AG267&gt;AI266,"＞",IF(AG267=AI266,"=","＜")))</f>
        <v/>
      </c>
      <c r="AI267" s="42"/>
      <c r="AJ267" s="44"/>
      <c r="AK267" s="39" t="str">
        <f>IF(S266="","",IF(AND(T267=1,AE267&gt;1),"NG",IF(AH267="＞","OK","NG")))</f>
        <v/>
      </c>
    </row>
    <row r="268" spans="1:37" ht="15.75" customHeight="1" x14ac:dyDescent="0.15">
      <c r="A268" s="80"/>
      <c r="B268" s="81">
        <v>2</v>
      </c>
      <c r="C268" s="58" t="str">
        <f>IF(A268="","",IF(B268=1,"素　焼土　管",IF(B268=2,"合　成樹脂管",IF(B268=3,"無孔管",""))))</f>
        <v/>
      </c>
      <c r="D268" s="60"/>
      <c r="E268" s="82"/>
      <c r="F268" s="83"/>
      <c r="G268" s="83"/>
      <c r="H268" s="84"/>
      <c r="I268" s="53" t="str">
        <f>IF(A268="","",F268-G268+H268)</f>
        <v/>
      </c>
      <c r="J268" s="55" t="str">
        <f>IF(A268="",""," 1/")</f>
        <v/>
      </c>
      <c r="K268" s="85"/>
      <c r="L268" s="56" t="str">
        <f>IF(A268="","",IF(B268=1,0.013,0.012))</f>
        <v/>
      </c>
      <c r="M268" s="47" t="str">
        <f>IF(A268="","",(1/L268*(E268/100/2)^(8/3)*(1/K268*100)^(1/2)*1.65696)*100)</f>
        <v/>
      </c>
      <c r="N268" s="47" t="str">
        <f>IF(A268="","",1/L268*(E268/100/2)^(2/3)*(1/K268)^(1/2)*0.70541)</f>
        <v/>
      </c>
      <c r="O268" s="48" t="str">
        <f>IF(A268="","",ROUNDDOWN(M268/($U$3/8.64)*10000/$AJ$3,0))</f>
        <v/>
      </c>
      <c r="P268" s="49" t="str">
        <f>IF(A268="","",IF(O268&gt;Q268,"＞","＜"))</f>
        <v/>
      </c>
      <c r="Q268" s="48" t="str">
        <f>IF(A268="","",I268)</f>
        <v/>
      </c>
      <c r="R268" s="51" t="str">
        <f>IF(A268="","",IF(P268="＞","OK","NG"))</f>
        <v/>
      </c>
      <c r="S268" s="86"/>
      <c r="T268" s="87"/>
      <c r="U268" s="28" t="str">
        <f>IF(S268="","",IF(T268=1,"素焼土管",IF(T268=2,"合成樹脂管",IF(T268=3,"無孔管",""))))</f>
        <v/>
      </c>
      <c r="V268" s="29"/>
      <c r="W268" s="88"/>
      <c r="X268" s="89"/>
      <c r="Y268" s="90"/>
      <c r="Z268" s="41" t="str">
        <f>IF(S268="","",IF(AND(T269=3,I268=""),Z266+Y268,IF(AND(Z266="",I266=""),I268+Y268,IF(AND(T269=3,I268&gt;0,Z266&gt;0),I268+Z266+Y268,IF(Z266="",I266+I268+X268+Y268,IF(I268="",Z266+X268+Y268,Z266+I268+X268+Y268))))))</f>
        <v/>
      </c>
      <c r="AA268" s="45" t="str">
        <f>IF(AB268="",""," 1/")</f>
        <v/>
      </c>
      <c r="AB268" s="91"/>
      <c r="AC268" s="30" t="str">
        <f>IF(S268="","",IF(T268="","",IF(T268=1,0.013,0.012)))</f>
        <v/>
      </c>
      <c r="AD268" s="31" t="str">
        <f>IF(S268="","",IF(T268="","",(1/AC268*(W268/100/2)^(8/3)*(1/AB268*100)^(1/2)*1.65696)*100))</f>
        <v/>
      </c>
      <c r="AE268" s="31" t="str">
        <f>IF(S268="","",IF(T268="","",1/AC268*(W268/100/2)^(2/3)*(1/AB268)^(1/2)*0.70541))</f>
        <v/>
      </c>
      <c r="AF268" s="31" t="str">
        <f>IF(S268="","",IF(T268="","",ROUNDDOWN(AD268/($U$3/8.64),3)))</f>
        <v/>
      </c>
      <c r="AG268" s="32" t="str">
        <f>IF(S268="","",IF(T268="","",ROUNDDOWN(AF268*10000/$AJ$3,0)))</f>
        <v/>
      </c>
      <c r="AH268" s="33" t="str">
        <f t="shared" ref="AH268:AH330" si="2385">IF(S268="","",IF(T268="","",IF(AG268&gt;AI268,"＞","＜")))</f>
        <v/>
      </c>
      <c r="AI268" s="41" t="str">
        <f>IF(S268="","",Z268)</f>
        <v/>
      </c>
      <c r="AJ268" s="43" t="str">
        <f>IF(S268="","",AI268*$AJ$3/10000)</f>
        <v/>
      </c>
      <c r="AK268" s="33" t="str">
        <f>IF(S268="","",IF(T268="","",IF(AND(T268=1,AE268&gt;1),"NG",IF(AH268="＞","OK","NG"))))</f>
        <v/>
      </c>
    </row>
    <row r="269" spans="1:37" ht="15.75" customHeight="1" x14ac:dyDescent="0.15">
      <c r="A269" s="92"/>
      <c r="B269" s="93"/>
      <c r="C269" s="59"/>
      <c r="D269" s="61"/>
      <c r="E269" s="94"/>
      <c r="F269" s="95"/>
      <c r="G269" s="95"/>
      <c r="H269" s="96"/>
      <c r="I269" s="54"/>
      <c r="J269" s="46"/>
      <c r="K269" s="97"/>
      <c r="L269" s="57"/>
      <c r="M269" s="44"/>
      <c r="N269" s="44"/>
      <c r="O269" s="42"/>
      <c r="P269" s="50"/>
      <c r="Q269" s="42"/>
      <c r="R269" s="52"/>
      <c r="S269" s="98"/>
      <c r="T269" s="99">
        <v>2</v>
      </c>
      <c r="U269" s="34" t="str">
        <f>IF(S268="","",IF(T268=T269,"〃",IF(T269=1,"素焼土管",IF(T269=2,"合成樹脂管",IF(T269=3,"無孔管","")))))</f>
        <v/>
      </c>
      <c r="V269" s="35"/>
      <c r="W269" s="100"/>
      <c r="X269" s="101"/>
      <c r="Y269" s="95"/>
      <c r="Z269" s="42"/>
      <c r="AA269" s="46"/>
      <c r="AB269" s="97"/>
      <c r="AC269" s="36" t="str">
        <f>IF(S268="","",IF(T269=1,0.013,0.012))</f>
        <v/>
      </c>
      <c r="AD269" s="37" t="str">
        <f>IF(S268="","",(1/AC269*(W269/100/2)^(8/3)*(1/AB268*100)^(1/2)*1.65696)*100)</f>
        <v/>
      </c>
      <c r="AE269" s="37" t="str">
        <f>IF(S268="","",1/AC269*(W269/100/2)^(2/3)*(1/AB268)^(1/2)*0.70541)</f>
        <v/>
      </c>
      <c r="AF269" s="37" t="str">
        <f>IF(S268="","",ROUNDDOWN(AD269/($U$3/8.64),3))</f>
        <v/>
      </c>
      <c r="AG269" s="38" t="str">
        <f>IF(S268="","",ROUNDDOWN(AF269*10000/$AJ$3,0))</f>
        <v/>
      </c>
      <c r="AH269" s="39" t="str">
        <f t="shared" ref="AH269" si="2386">IF(S268="","",IF(AG269&gt;AI268,"＞",IF(AG269=AI268,"=","＜")))</f>
        <v/>
      </c>
      <c r="AI269" s="42"/>
      <c r="AJ269" s="44"/>
      <c r="AK269" s="39" t="str">
        <f>IF(S268="","",IF(AND(T269=1,AE269&gt;1),"NG",IF(AH269="＞","OK","NG")))</f>
        <v/>
      </c>
    </row>
    <row r="270" spans="1:37" ht="15.75" customHeight="1" x14ac:dyDescent="0.15">
      <c r="A270" s="80"/>
      <c r="B270" s="81">
        <v>2</v>
      </c>
      <c r="C270" s="58" t="str">
        <f>IF(A270="","",IF(B270=1,"素　焼土　管",IF(B270=2,"合　成樹脂管",IF(B270=3,"無孔管",""))))</f>
        <v/>
      </c>
      <c r="D270" s="60"/>
      <c r="E270" s="82"/>
      <c r="F270" s="83"/>
      <c r="G270" s="83"/>
      <c r="H270" s="84"/>
      <c r="I270" s="53" t="str">
        <f>IF(A270="","",F270-G270+H270)</f>
        <v/>
      </c>
      <c r="J270" s="55" t="str">
        <f>IF(A270="",""," 1/")</f>
        <v/>
      </c>
      <c r="K270" s="85"/>
      <c r="L270" s="56" t="str">
        <f>IF(A270="","",IF(B270=1,0.013,0.012))</f>
        <v/>
      </c>
      <c r="M270" s="47" t="str">
        <f>IF(A270="","",(1/L270*(E270/100/2)^(8/3)*(1/K270*100)^(1/2)*1.65696)*100)</f>
        <v/>
      </c>
      <c r="N270" s="47" t="str">
        <f>IF(A270="","",1/L270*(E270/100/2)^(2/3)*(1/K270)^(1/2)*0.70541)</f>
        <v/>
      </c>
      <c r="O270" s="48" t="str">
        <f>IF(A270="","",ROUNDDOWN(M270/($U$3/8.64)*10000/$AJ$3,0))</f>
        <v/>
      </c>
      <c r="P270" s="49" t="str">
        <f>IF(A270="","",IF(O270&gt;Q270,"＞","＜"))</f>
        <v/>
      </c>
      <c r="Q270" s="48" t="str">
        <f>IF(A270="","",I270)</f>
        <v/>
      </c>
      <c r="R270" s="51" t="str">
        <f>IF(A270="","",IF(P270="＞","OK","NG"))</f>
        <v/>
      </c>
      <c r="S270" s="86"/>
      <c r="T270" s="87"/>
      <c r="U270" s="28" t="str">
        <f>IF(S270="","",IF(T270=1,"素焼土管",IF(T270=2,"合成樹脂管",IF(T270=3,"無孔管",""))))</f>
        <v/>
      </c>
      <c r="V270" s="29"/>
      <c r="W270" s="88"/>
      <c r="X270" s="89"/>
      <c r="Y270" s="90"/>
      <c r="Z270" s="41" t="str">
        <f>IF(S270="","",IF(AND(T271=3,I270=""),Z268+Y270,IF(AND(Z268="",I268=""),I270+Y270,IF(AND(T271=3,I270&gt;0,Z268&gt;0),I270+Z268+Y270,IF(Z268="",I268+I270+X270+Y270,IF(I270="",Z268+X270+Y270,Z268+I270+X270+Y270))))))</f>
        <v/>
      </c>
      <c r="AA270" s="45" t="str">
        <f>IF(AB270="",""," 1/")</f>
        <v/>
      </c>
      <c r="AB270" s="91"/>
      <c r="AC270" s="30" t="str">
        <f>IF(S270="","",IF(T270="","",IF(T270=1,0.013,0.012)))</f>
        <v/>
      </c>
      <c r="AD270" s="31" t="str">
        <f>IF(S270="","",IF(T270="","",(1/AC270*(W270/100/2)^(8/3)*(1/AB270*100)^(1/2)*1.65696)*100))</f>
        <v/>
      </c>
      <c r="AE270" s="31" t="str">
        <f>IF(S270="","",IF(T270="","",1/AC270*(W270/100/2)^(2/3)*(1/AB270)^(1/2)*0.70541))</f>
        <v/>
      </c>
      <c r="AF270" s="31" t="str">
        <f>IF(S270="","",IF(T270="","",ROUNDDOWN(AD270/($U$3/8.64),3)))</f>
        <v/>
      </c>
      <c r="AG270" s="32" t="str">
        <f>IF(S270="","",IF(T270="","",ROUNDDOWN(AF270*10000/$AJ$3,0)))</f>
        <v/>
      </c>
      <c r="AH270" s="33" t="str">
        <f t="shared" si="2385"/>
        <v/>
      </c>
      <c r="AI270" s="41" t="str">
        <f>IF(S270="","",Z270)</f>
        <v/>
      </c>
      <c r="AJ270" s="43" t="str">
        <f>IF(S270="","",AI270*$AJ$3/10000)</f>
        <v/>
      </c>
      <c r="AK270" s="33" t="str">
        <f>IF(S270="","",IF(T270="","",IF(AND(T270=1,AE270&gt;1),"NG",IF(AH270="＞","OK","NG"))))</f>
        <v/>
      </c>
    </row>
    <row r="271" spans="1:37" ht="15.75" customHeight="1" x14ac:dyDescent="0.15">
      <c r="A271" s="92"/>
      <c r="B271" s="93"/>
      <c r="C271" s="59"/>
      <c r="D271" s="61"/>
      <c r="E271" s="94"/>
      <c r="F271" s="95"/>
      <c r="G271" s="95"/>
      <c r="H271" s="96"/>
      <c r="I271" s="54"/>
      <c r="J271" s="46"/>
      <c r="K271" s="97"/>
      <c r="L271" s="57"/>
      <c r="M271" s="44"/>
      <c r="N271" s="44"/>
      <c r="O271" s="42"/>
      <c r="P271" s="50"/>
      <c r="Q271" s="42"/>
      <c r="R271" s="52"/>
      <c r="S271" s="98"/>
      <c r="T271" s="99">
        <v>2</v>
      </c>
      <c r="U271" s="34" t="str">
        <f>IF(S270="","",IF(T270=T271,"〃",IF(T271=1,"素焼土管",IF(T271=2,"合成樹脂管",IF(T271=3,"無孔管","")))))</f>
        <v/>
      </c>
      <c r="V271" s="35"/>
      <c r="W271" s="100"/>
      <c r="X271" s="101"/>
      <c r="Y271" s="95"/>
      <c r="Z271" s="42"/>
      <c r="AA271" s="46"/>
      <c r="AB271" s="97"/>
      <c r="AC271" s="36" t="str">
        <f>IF(S270="","",IF(T271=1,0.013,0.012))</f>
        <v/>
      </c>
      <c r="AD271" s="37" t="str">
        <f>IF(S270="","",(1/AC271*(W271/100/2)^(8/3)*(1/AB270*100)^(1/2)*1.65696)*100)</f>
        <v/>
      </c>
      <c r="AE271" s="37" t="str">
        <f>IF(S270="","",1/AC271*(W271/100/2)^(2/3)*(1/AB270)^(1/2)*0.70541)</f>
        <v/>
      </c>
      <c r="AF271" s="37" t="str">
        <f>IF(S270="","",ROUNDDOWN(AD271/($U$3/8.64),3))</f>
        <v/>
      </c>
      <c r="AG271" s="38" t="str">
        <f>IF(S270="","",ROUNDDOWN(AF271*10000/$AJ$3,0))</f>
        <v/>
      </c>
      <c r="AH271" s="39" t="str">
        <f t="shared" ref="AH271" si="2387">IF(S270="","",IF(AG271&gt;AI270,"＞",IF(AG271=AI270,"=","＜")))</f>
        <v/>
      </c>
      <c r="AI271" s="42"/>
      <c r="AJ271" s="44"/>
      <c r="AK271" s="39" t="str">
        <f>IF(S270="","",IF(AND(T271=1,AE271&gt;1),"NG",IF(AH271="＞","OK","NG")))</f>
        <v/>
      </c>
    </row>
    <row r="272" spans="1:37" ht="15.75" customHeight="1" x14ac:dyDescent="0.15">
      <c r="A272" s="80"/>
      <c r="B272" s="81">
        <v>2</v>
      </c>
      <c r="C272" s="58" t="str">
        <f>IF(A272="","",IF(B272=1,"素　焼土　管",IF(B272=2,"合　成樹脂管",IF(B272=3,"無孔管",""))))</f>
        <v/>
      </c>
      <c r="D272" s="60"/>
      <c r="E272" s="82"/>
      <c r="F272" s="83"/>
      <c r="G272" s="83"/>
      <c r="H272" s="84"/>
      <c r="I272" s="53" t="str">
        <f>IF(A272="","",F272-G272+H272)</f>
        <v/>
      </c>
      <c r="J272" s="55" t="str">
        <f>IF(A272="",""," 1/")</f>
        <v/>
      </c>
      <c r="K272" s="85"/>
      <c r="L272" s="56" t="str">
        <f>IF(A272="","",IF(B272=1,0.013,0.012))</f>
        <v/>
      </c>
      <c r="M272" s="47" t="str">
        <f>IF(A272="","",(1/L272*(E272/100/2)^(8/3)*(1/K272*100)^(1/2)*1.65696)*100)</f>
        <v/>
      </c>
      <c r="N272" s="47" t="str">
        <f>IF(A272="","",1/L272*(E272/100/2)^(2/3)*(1/K272)^(1/2)*0.70541)</f>
        <v/>
      </c>
      <c r="O272" s="48" t="str">
        <f>IF(A272="","",ROUNDDOWN(M272/($U$3/8.64)*10000/$AJ$3,0))</f>
        <v/>
      </c>
      <c r="P272" s="49" t="str">
        <f>IF(A272="","",IF(O272&gt;Q272,"＞","＜"))</f>
        <v/>
      </c>
      <c r="Q272" s="48" t="str">
        <f>IF(A272="","",I272)</f>
        <v/>
      </c>
      <c r="R272" s="51" t="str">
        <f>IF(A272="","",IF(P272="＞","OK","NG"))</f>
        <v/>
      </c>
      <c r="S272" s="86"/>
      <c r="T272" s="87"/>
      <c r="U272" s="28" t="str">
        <f>IF(S272="","",IF(T272=1,"素焼土管",IF(T272=2,"合成樹脂管",IF(T272=3,"無孔管",""))))</f>
        <v/>
      </c>
      <c r="V272" s="29"/>
      <c r="W272" s="88"/>
      <c r="X272" s="89"/>
      <c r="Y272" s="90"/>
      <c r="Z272" s="41" t="str">
        <f>IF(S272="","",IF(AND(T273=3,I272=""),Z270+Y272,IF(AND(Z270="",I270=""),I272+Y272,IF(AND(T273=3,I272&gt;0,Z270&gt;0),I272+Z270+Y272,IF(Z270="",I270+I272+X272+Y272,IF(I272="",Z270+X272+Y272,Z270+I272+X272+Y272))))))</f>
        <v/>
      </c>
      <c r="AA272" s="45" t="str">
        <f>IF(AB272="",""," 1/")</f>
        <v/>
      </c>
      <c r="AB272" s="91"/>
      <c r="AC272" s="30" t="str">
        <f>IF(S272="","",IF(T272="","",IF(T272=1,0.013,0.012)))</f>
        <v/>
      </c>
      <c r="AD272" s="31" t="str">
        <f>IF(S272="","",IF(T272="","",(1/AC272*(W272/100/2)^(8/3)*(1/AB272*100)^(1/2)*1.65696)*100))</f>
        <v/>
      </c>
      <c r="AE272" s="31" t="str">
        <f>IF(S272="","",IF(T272="","",1/AC272*(W272/100/2)^(2/3)*(1/AB272)^(1/2)*0.70541))</f>
        <v/>
      </c>
      <c r="AF272" s="31" t="str">
        <f>IF(S272="","",IF(T272="","",ROUNDDOWN(AD272/($U$3/8.64),3)))</f>
        <v/>
      </c>
      <c r="AG272" s="32" t="str">
        <f>IF(S272="","",IF(T272="","",ROUNDDOWN(AF272*10000/$AJ$3,0)))</f>
        <v/>
      </c>
      <c r="AH272" s="33" t="str">
        <f t="shared" si="2385"/>
        <v/>
      </c>
      <c r="AI272" s="41" t="str">
        <f>IF(S272="","",Z272)</f>
        <v/>
      </c>
      <c r="AJ272" s="43" t="str">
        <f>IF(S272="","",AI272*$AJ$3/10000)</f>
        <v/>
      </c>
      <c r="AK272" s="33" t="str">
        <f>IF(S272="","",IF(T272="","",IF(AND(T272=1,AE272&gt;1),"NG",IF(AH272="＞","OK","NG"))))</f>
        <v/>
      </c>
    </row>
    <row r="273" spans="1:37" ht="15.75" customHeight="1" x14ac:dyDescent="0.15">
      <c r="A273" s="92"/>
      <c r="B273" s="93"/>
      <c r="C273" s="59"/>
      <c r="D273" s="61"/>
      <c r="E273" s="94"/>
      <c r="F273" s="95"/>
      <c r="G273" s="95"/>
      <c r="H273" s="96"/>
      <c r="I273" s="54"/>
      <c r="J273" s="46"/>
      <c r="K273" s="97"/>
      <c r="L273" s="57"/>
      <c r="M273" s="44"/>
      <c r="N273" s="44"/>
      <c r="O273" s="42"/>
      <c r="P273" s="50"/>
      <c r="Q273" s="42"/>
      <c r="R273" s="52"/>
      <c r="S273" s="98"/>
      <c r="T273" s="99">
        <v>2</v>
      </c>
      <c r="U273" s="34" t="str">
        <f>IF(S272="","",IF(T272=T273,"〃",IF(T273=1,"素焼土管",IF(T273=2,"合成樹脂管",IF(T273=3,"無孔管","")))))</f>
        <v/>
      </c>
      <c r="V273" s="35"/>
      <c r="W273" s="100"/>
      <c r="X273" s="101"/>
      <c r="Y273" s="95"/>
      <c r="Z273" s="42"/>
      <c r="AA273" s="46"/>
      <c r="AB273" s="97"/>
      <c r="AC273" s="36" t="str">
        <f>IF(S272="","",IF(T273=1,0.013,0.012))</f>
        <v/>
      </c>
      <c r="AD273" s="37" t="str">
        <f>IF(S272="","",(1/AC273*(W273/100/2)^(8/3)*(1/AB272*100)^(1/2)*1.65696)*100)</f>
        <v/>
      </c>
      <c r="AE273" s="37" t="str">
        <f>IF(S272="","",1/AC273*(W273/100/2)^(2/3)*(1/AB272)^(1/2)*0.70541)</f>
        <v/>
      </c>
      <c r="AF273" s="37" t="str">
        <f>IF(S272="","",ROUNDDOWN(AD273/($U$3/8.64),3))</f>
        <v/>
      </c>
      <c r="AG273" s="38" t="str">
        <f>IF(S272="","",ROUNDDOWN(AF273*10000/$AJ$3,0))</f>
        <v/>
      </c>
      <c r="AH273" s="39" t="str">
        <f t="shared" ref="AH273" si="2388">IF(S272="","",IF(AG273&gt;AI272,"＞",IF(AG273=AI272,"=","＜")))</f>
        <v/>
      </c>
      <c r="AI273" s="42"/>
      <c r="AJ273" s="44"/>
      <c r="AK273" s="39" t="str">
        <f>IF(S272="","",IF(AND(T273=1,AE273&gt;1),"NG",IF(AH273="＞","OK","NG")))</f>
        <v/>
      </c>
    </row>
    <row r="274" spans="1:37" ht="15.75" customHeight="1" x14ac:dyDescent="0.15">
      <c r="A274" s="80"/>
      <c r="B274" s="81">
        <v>2</v>
      </c>
      <c r="C274" s="58" t="str">
        <f>IF(A274="","",IF(B274=1,"素　焼土　管",IF(B274=2,"合　成樹脂管",IF(B274=3,"無孔管",""))))</f>
        <v/>
      </c>
      <c r="D274" s="60"/>
      <c r="E274" s="82"/>
      <c r="F274" s="83"/>
      <c r="G274" s="83"/>
      <c r="H274" s="84"/>
      <c r="I274" s="53" t="str">
        <f>IF(A274="","",F274-G274+H274)</f>
        <v/>
      </c>
      <c r="J274" s="55" t="str">
        <f>IF(A274="",""," 1/")</f>
        <v/>
      </c>
      <c r="K274" s="85"/>
      <c r="L274" s="56" t="str">
        <f>IF(A274="","",IF(B274=1,0.013,0.012))</f>
        <v/>
      </c>
      <c r="M274" s="47" t="str">
        <f>IF(A274="","",(1/L274*(E274/100/2)^(8/3)*(1/K274*100)^(1/2)*1.65696)*100)</f>
        <v/>
      </c>
      <c r="N274" s="47" t="str">
        <f>IF(A274="","",1/L274*(E274/100/2)^(2/3)*(1/K274)^(1/2)*0.70541)</f>
        <v/>
      </c>
      <c r="O274" s="48" t="str">
        <f>IF(A274="","",ROUNDDOWN(M274/($U$3/8.64)*10000/$AJ$3,0))</f>
        <v/>
      </c>
      <c r="P274" s="49" t="str">
        <f>IF(A274="","",IF(O274&gt;Q274,"＞","＜"))</f>
        <v/>
      </c>
      <c r="Q274" s="48" t="str">
        <f>IF(A274="","",I274)</f>
        <v/>
      </c>
      <c r="R274" s="51" t="str">
        <f>IF(A274="","",IF(P274="＞","OK","NG"))</f>
        <v/>
      </c>
      <c r="S274" s="86"/>
      <c r="T274" s="87"/>
      <c r="U274" s="28" t="str">
        <f>IF(S274="","",IF(T274=1,"素焼土管",IF(T274=2,"合成樹脂管",IF(T274=3,"無孔管",""))))</f>
        <v/>
      </c>
      <c r="V274" s="29"/>
      <c r="W274" s="88"/>
      <c r="X274" s="89"/>
      <c r="Y274" s="90"/>
      <c r="Z274" s="41" t="str">
        <f>IF(S274="","",IF(AND(T275=3,I274=""),Z272+Y274,IF(AND(Z272="",I272=""),I274+Y274,IF(AND(T275=3,I274&gt;0,Z272&gt;0),I274+Z272+Y274,IF(Z272="",I272+I274+X274+Y274,IF(I274="",Z272+X274+Y274,Z272+I274+X274+Y274))))))</f>
        <v/>
      </c>
      <c r="AA274" s="45" t="str">
        <f>IF(AB274="",""," 1/")</f>
        <v/>
      </c>
      <c r="AB274" s="91"/>
      <c r="AC274" s="30" t="str">
        <f>IF(S274="","",IF(T274="","",IF(T274=1,0.013,0.012)))</f>
        <v/>
      </c>
      <c r="AD274" s="31" t="str">
        <f>IF(S274="","",IF(T274="","",(1/AC274*(W274/100/2)^(8/3)*(1/AB274*100)^(1/2)*1.65696)*100))</f>
        <v/>
      </c>
      <c r="AE274" s="31" t="str">
        <f>IF(S274="","",IF(T274="","",1/AC274*(W274/100/2)^(2/3)*(1/AB274)^(1/2)*0.70541))</f>
        <v/>
      </c>
      <c r="AF274" s="31" t="str">
        <f>IF(S274="","",IF(T274="","",ROUNDDOWN(AD274/($U$3/8.64),3)))</f>
        <v/>
      </c>
      <c r="AG274" s="32" t="str">
        <f>IF(S274="","",IF(T274="","",ROUNDDOWN(AF274*10000/$AJ$3,0)))</f>
        <v/>
      </c>
      <c r="AH274" s="33" t="str">
        <f t="shared" si="2385"/>
        <v/>
      </c>
      <c r="AI274" s="41" t="str">
        <f>IF(S274="","",Z274)</f>
        <v/>
      </c>
      <c r="AJ274" s="43" t="str">
        <f>IF(S274="","",AI274*$AJ$3/10000)</f>
        <v/>
      </c>
      <c r="AK274" s="33" t="str">
        <f>IF(S274="","",IF(T274="","",IF(AND(T274=1,AE274&gt;1),"NG",IF(AH274="＞","OK","NG"))))</f>
        <v/>
      </c>
    </row>
    <row r="275" spans="1:37" ht="15.75" customHeight="1" x14ac:dyDescent="0.15">
      <c r="A275" s="92"/>
      <c r="B275" s="93"/>
      <c r="C275" s="59"/>
      <c r="D275" s="61"/>
      <c r="E275" s="94"/>
      <c r="F275" s="95"/>
      <c r="G275" s="95"/>
      <c r="H275" s="96"/>
      <c r="I275" s="54"/>
      <c r="J275" s="46"/>
      <c r="K275" s="97"/>
      <c r="L275" s="57"/>
      <c r="M275" s="44"/>
      <c r="N275" s="44"/>
      <c r="O275" s="42"/>
      <c r="P275" s="50"/>
      <c r="Q275" s="42"/>
      <c r="R275" s="52"/>
      <c r="S275" s="98"/>
      <c r="T275" s="99">
        <v>2</v>
      </c>
      <c r="U275" s="34" t="str">
        <f>IF(S274="","",IF(T274=T275,"〃",IF(T275=1,"素焼土管",IF(T275=2,"合成樹脂管",IF(T275=3,"無孔管","")))))</f>
        <v/>
      </c>
      <c r="V275" s="35"/>
      <c r="W275" s="100"/>
      <c r="X275" s="101"/>
      <c r="Y275" s="95"/>
      <c r="Z275" s="42"/>
      <c r="AA275" s="46"/>
      <c r="AB275" s="97"/>
      <c r="AC275" s="36" t="str">
        <f>IF(S274="","",IF(T275=1,0.013,0.012))</f>
        <v/>
      </c>
      <c r="AD275" s="37" t="str">
        <f>IF(S274="","",(1/AC275*(W275/100/2)^(8/3)*(1/AB274*100)^(1/2)*1.65696)*100)</f>
        <v/>
      </c>
      <c r="AE275" s="37" t="str">
        <f>IF(S274="","",1/AC275*(W275/100/2)^(2/3)*(1/AB274)^(1/2)*0.70541)</f>
        <v/>
      </c>
      <c r="AF275" s="37" t="str">
        <f>IF(S274="","",ROUNDDOWN(AD275/($U$3/8.64),3))</f>
        <v/>
      </c>
      <c r="AG275" s="38" t="str">
        <f>IF(S274="","",ROUNDDOWN(AF275*10000/$AJ$3,0))</f>
        <v/>
      </c>
      <c r="AH275" s="39" t="str">
        <f t="shared" ref="AH275" si="2389">IF(S274="","",IF(AG275&gt;AI274,"＞",IF(AG275=AI274,"=","＜")))</f>
        <v/>
      </c>
      <c r="AI275" s="42"/>
      <c r="AJ275" s="44"/>
      <c r="AK275" s="39" t="str">
        <f>IF(S274="","",IF(AND(T275=1,AE275&gt;1),"NG",IF(AH275="＞","OK","NG")))</f>
        <v/>
      </c>
    </row>
    <row r="276" spans="1:37" ht="15.75" customHeight="1" x14ac:dyDescent="0.15">
      <c r="A276" s="80"/>
      <c r="B276" s="81">
        <v>2</v>
      </c>
      <c r="C276" s="58" t="str">
        <f>IF(A276="","",IF(B276=1,"素　焼土　管",IF(B276=2,"合　成樹脂管",IF(B276=3,"無孔管",""))))</f>
        <v/>
      </c>
      <c r="D276" s="60"/>
      <c r="E276" s="82"/>
      <c r="F276" s="83"/>
      <c r="G276" s="83"/>
      <c r="H276" s="84"/>
      <c r="I276" s="53" t="str">
        <f>IF(A276="","",F276-G276+H276)</f>
        <v/>
      </c>
      <c r="J276" s="55" t="str">
        <f>IF(A276="",""," 1/")</f>
        <v/>
      </c>
      <c r="K276" s="85"/>
      <c r="L276" s="56" t="str">
        <f>IF(A276="","",IF(B276=1,0.013,0.012))</f>
        <v/>
      </c>
      <c r="M276" s="47" t="str">
        <f>IF(A276="","",(1/L276*(E276/100/2)^(8/3)*(1/K276*100)^(1/2)*1.65696)*100)</f>
        <v/>
      </c>
      <c r="N276" s="47" t="str">
        <f>IF(A276="","",1/L276*(E276/100/2)^(2/3)*(1/K276)^(1/2)*0.70541)</f>
        <v/>
      </c>
      <c r="O276" s="48" t="str">
        <f>IF(A276="","",ROUNDDOWN(M276/($U$3/8.64)*10000/$AJ$3,0))</f>
        <v/>
      </c>
      <c r="P276" s="49" t="str">
        <f>IF(A276="","",IF(O276&gt;Q276,"＞","＜"))</f>
        <v/>
      </c>
      <c r="Q276" s="48" t="str">
        <f>IF(A276="","",I276)</f>
        <v/>
      </c>
      <c r="R276" s="51" t="str">
        <f>IF(A276="","",IF(P276="＞","OK","NG"))</f>
        <v/>
      </c>
      <c r="S276" s="86"/>
      <c r="T276" s="87"/>
      <c r="U276" s="28" t="str">
        <f>IF(S276="","",IF(T276=1,"素焼土管",IF(T276=2,"合成樹脂管",IF(T276=3,"無孔管",""))))</f>
        <v/>
      </c>
      <c r="V276" s="29"/>
      <c r="W276" s="88"/>
      <c r="X276" s="89"/>
      <c r="Y276" s="90"/>
      <c r="Z276" s="41" t="str">
        <f>IF(S276="","",IF(AND(T277=3,I276=""),Z274+Y276,IF(AND(Z274="",I274=""),I276+Y276,IF(AND(T277=3,I276&gt;0,Z274&gt;0),I276+Z274+Y276,IF(Z274="",I274+I276+X276+Y276,IF(I276="",Z274+X276+Y276,Z274+I276+X276+Y276))))))</f>
        <v/>
      </c>
      <c r="AA276" s="45" t="str">
        <f>IF(AB276="",""," 1/")</f>
        <v/>
      </c>
      <c r="AB276" s="91"/>
      <c r="AC276" s="30" t="str">
        <f>IF(S276="","",IF(T276="","",IF(T276=1,0.013,0.012)))</f>
        <v/>
      </c>
      <c r="AD276" s="31" t="str">
        <f>IF(S276="","",IF(T276="","",(1/AC276*(W276/100/2)^(8/3)*(1/AB276*100)^(1/2)*1.65696)*100))</f>
        <v/>
      </c>
      <c r="AE276" s="31" t="str">
        <f>IF(S276="","",IF(T276="","",1/AC276*(W276/100/2)^(2/3)*(1/AB276)^(1/2)*0.70541))</f>
        <v/>
      </c>
      <c r="AF276" s="31" t="str">
        <f>IF(S276="","",IF(T276="","",ROUNDDOWN(AD276/($U$3/8.64),3)))</f>
        <v/>
      </c>
      <c r="AG276" s="32" t="str">
        <f>IF(S276="","",IF(T276="","",ROUNDDOWN(AF276*10000/$AJ$3,0)))</f>
        <v/>
      </c>
      <c r="AH276" s="33" t="str">
        <f t="shared" si="2385"/>
        <v/>
      </c>
      <c r="AI276" s="41" t="str">
        <f>IF(S276="","",Z276)</f>
        <v/>
      </c>
      <c r="AJ276" s="43" t="str">
        <f>IF(S276="","",AI276*$AJ$3/10000)</f>
        <v/>
      </c>
      <c r="AK276" s="33" t="str">
        <f>IF(S276="","",IF(T276="","",IF(AND(T276=1,AE276&gt;1),"NG",IF(AH276="＞","OK","NG"))))</f>
        <v/>
      </c>
    </row>
    <row r="277" spans="1:37" ht="15.75" customHeight="1" x14ac:dyDescent="0.15">
      <c r="A277" s="92"/>
      <c r="B277" s="93"/>
      <c r="C277" s="59"/>
      <c r="D277" s="61"/>
      <c r="E277" s="94"/>
      <c r="F277" s="95"/>
      <c r="G277" s="95"/>
      <c r="H277" s="96"/>
      <c r="I277" s="54"/>
      <c r="J277" s="46"/>
      <c r="K277" s="97"/>
      <c r="L277" s="57"/>
      <c r="M277" s="44"/>
      <c r="N277" s="44"/>
      <c r="O277" s="42"/>
      <c r="P277" s="50"/>
      <c r="Q277" s="42"/>
      <c r="R277" s="52"/>
      <c r="S277" s="98"/>
      <c r="T277" s="99">
        <v>2</v>
      </c>
      <c r="U277" s="34" t="str">
        <f>IF(S276="","",IF(T276=T277,"〃",IF(T277=1,"素焼土管",IF(T277=2,"合成樹脂管",IF(T277=3,"無孔管","")))))</f>
        <v/>
      </c>
      <c r="V277" s="35"/>
      <c r="W277" s="100"/>
      <c r="X277" s="101"/>
      <c r="Y277" s="95"/>
      <c r="Z277" s="42"/>
      <c r="AA277" s="46"/>
      <c r="AB277" s="97"/>
      <c r="AC277" s="36" t="str">
        <f>IF(S276="","",IF(T277=1,0.013,0.012))</f>
        <v/>
      </c>
      <c r="AD277" s="37" t="str">
        <f>IF(S276="","",(1/AC277*(W277/100/2)^(8/3)*(1/AB276*100)^(1/2)*1.65696)*100)</f>
        <v/>
      </c>
      <c r="AE277" s="37" t="str">
        <f>IF(S276="","",1/AC277*(W277/100/2)^(2/3)*(1/AB276)^(1/2)*0.70541)</f>
        <v/>
      </c>
      <c r="AF277" s="37" t="str">
        <f>IF(S276="","",ROUNDDOWN(AD277/($U$3/8.64),3))</f>
        <v/>
      </c>
      <c r="AG277" s="38" t="str">
        <f>IF(S276="","",ROUNDDOWN(AF277*10000/$AJ$3,0))</f>
        <v/>
      </c>
      <c r="AH277" s="39" t="str">
        <f t="shared" ref="AH277" si="2390">IF(S276="","",IF(AG277&gt;AI276,"＞",IF(AG277=AI276,"=","＜")))</f>
        <v/>
      </c>
      <c r="AI277" s="42"/>
      <c r="AJ277" s="44"/>
      <c r="AK277" s="39" t="str">
        <f>IF(S276="","",IF(AND(T277=1,AE277&gt;1),"NG",IF(AH277="＞","OK","NG")))</f>
        <v/>
      </c>
    </row>
    <row r="278" spans="1:37" ht="15.75" customHeight="1" x14ac:dyDescent="0.15">
      <c r="A278" s="80"/>
      <c r="B278" s="81">
        <v>2</v>
      </c>
      <c r="C278" s="58" t="str">
        <f>IF(A278="","",IF(B278=1,"素　焼土　管",IF(B278=2,"合　成樹脂管",IF(B278=3,"無孔管",""))))</f>
        <v/>
      </c>
      <c r="D278" s="60"/>
      <c r="E278" s="82"/>
      <c r="F278" s="83"/>
      <c r="G278" s="83"/>
      <c r="H278" s="84"/>
      <c r="I278" s="53" t="str">
        <f>IF(A278="","",F278-G278+H278)</f>
        <v/>
      </c>
      <c r="J278" s="55" t="str">
        <f>IF(A278="",""," 1/")</f>
        <v/>
      </c>
      <c r="K278" s="85"/>
      <c r="L278" s="56" t="str">
        <f>IF(A278="","",IF(B278=1,0.013,0.012))</f>
        <v/>
      </c>
      <c r="M278" s="47" t="str">
        <f>IF(A278="","",(1/L278*(E278/100/2)^(8/3)*(1/K278*100)^(1/2)*1.65696)*100)</f>
        <v/>
      </c>
      <c r="N278" s="47" t="str">
        <f>IF(A278="","",1/L278*(E278/100/2)^(2/3)*(1/K278)^(1/2)*0.70541)</f>
        <v/>
      </c>
      <c r="O278" s="48" t="str">
        <f>IF(A278="","",ROUNDDOWN(M278/($U$3/8.64)*10000/$AJ$3,0))</f>
        <v/>
      </c>
      <c r="P278" s="49" t="str">
        <f>IF(A278="","",IF(O278&gt;Q278,"＞","＜"))</f>
        <v/>
      </c>
      <c r="Q278" s="48" t="str">
        <f>IF(A278="","",I278)</f>
        <v/>
      </c>
      <c r="R278" s="51" t="str">
        <f>IF(A278="","",IF(P278="＞","OK","NG"))</f>
        <v/>
      </c>
      <c r="S278" s="86"/>
      <c r="T278" s="87"/>
      <c r="U278" s="28" t="str">
        <f>IF(S278="","",IF(T278=1,"素焼土管",IF(T278=2,"合成樹脂管",IF(T278=3,"無孔管",""))))</f>
        <v/>
      </c>
      <c r="V278" s="29"/>
      <c r="W278" s="88"/>
      <c r="X278" s="89"/>
      <c r="Y278" s="90"/>
      <c r="Z278" s="41" t="str">
        <f>IF(S278="","",IF(AND(T279=3,I278=""),Z276+Y278,IF(AND(Z276="",I276=""),I278+Y278,IF(AND(T279=3,I278&gt;0,Z276&gt;0),I278+Z276+Y278,IF(Z276="",I276+I278+X278+Y278,IF(I278="",Z276+X278+Y278,Z276+I278+X278+Y278))))))</f>
        <v/>
      </c>
      <c r="AA278" s="45" t="str">
        <f>IF(AB278="",""," 1/")</f>
        <v/>
      </c>
      <c r="AB278" s="91"/>
      <c r="AC278" s="30" t="str">
        <f>IF(S278="","",IF(T278="","",IF(T278=1,0.013,0.012)))</f>
        <v/>
      </c>
      <c r="AD278" s="31" t="str">
        <f>IF(S278="","",IF(T278="","",(1/AC278*(W278/100/2)^(8/3)*(1/AB278*100)^(1/2)*1.65696)*100))</f>
        <v/>
      </c>
      <c r="AE278" s="31" t="str">
        <f>IF(S278="","",IF(T278="","",1/AC278*(W278/100/2)^(2/3)*(1/AB278)^(1/2)*0.70541))</f>
        <v/>
      </c>
      <c r="AF278" s="31" t="str">
        <f>IF(S278="","",IF(T278="","",ROUNDDOWN(AD278/($U$3/8.64),3)))</f>
        <v/>
      </c>
      <c r="AG278" s="32" t="str">
        <f>IF(S278="","",IF(T278="","",ROUNDDOWN(AF278*10000/$AJ$3,0)))</f>
        <v/>
      </c>
      <c r="AH278" s="33" t="str">
        <f t="shared" si="2385"/>
        <v/>
      </c>
      <c r="AI278" s="41" t="str">
        <f>IF(S278="","",Z278)</f>
        <v/>
      </c>
      <c r="AJ278" s="43" t="str">
        <f>IF(S278="","",AI278*$AJ$3/10000)</f>
        <v/>
      </c>
      <c r="AK278" s="33" t="str">
        <f>IF(S278="","",IF(T278="","",IF(AND(T278=1,AE278&gt;1),"NG",IF(AH278="＞","OK","NG"))))</f>
        <v/>
      </c>
    </row>
    <row r="279" spans="1:37" ht="15.75" customHeight="1" x14ac:dyDescent="0.15">
      <c r="A279" s="92"/>
      <c r="B279" s="93"/>
      <c r="C279" s="59"/>
      <c r="D279" s="61"/>
      <c r="E279" s="94"/>
      <c r="F279" s="95"/>
      <c r="G279" s="95"/>
      <c r="H279" s="96"/>
      <c r="I279" s="54"/>
      <c r="J279" s="46"/>
      <c r="K279" s="97"/>
      <c r="L279" s="57"/>
      <c r="M279" s="44"/>
      <c r="N279" s="44"/>
      <c r="O279" s="42"/>
      <c r="P279" s="50"/>
      <c r="Q279" s="42"/>
      <c r="R279" s="52"/>
      <c r="S279" s="98"/>
      <c r="T279" s="99">
        <v>2</v>
      </c>
      <c r="U279" s="34" t="str">
        <f>IF(S278="","",IF(T278=T279,"〃",IF(T279=1,"素焼土管",IF(T279=2,"合成樹脂管",IF(T279=3,"無孔管","")))))</f>
        <v/>
      </c>
      <c r="V279" s="35"/>
      <c r="W279" s="100"/>
      <c r="X279" s="101"/>
      <c r="Y279" s="95"/>
      <c r="Z279" s="42"/>
      <c r="AA279" s="46"/>
      <c r="AB279" s="97"/>
      <c r="AC279" s="36" t="str">
        <f>IF(S278="","",IF(T279=1,0.013,0.012))</f>
        <v/>
      </c>
      <c r="AD279" s="37" t="str">
        <f>IF(S278="","",(1/AC279*(W279/100/2)^(8/3)*(1/AB278*100)^(1/2)*1.65696)*100)</f>
        <v/>
      </c>
      <c r="AE279" s="37" t="str">
        <f>IF(S278="","",1/AC279*(W279/100/2)^(2/3)*(1/AB278)^(1/2)*0.70541)</f>
        <v/>
      </c>
      <c r="AF279" s="37" t="str">
        <f>IF(S278="","",ROUNDDOWN(AD279/($U$3/8.64),3))</f>
        <v/>
      </c>
      <c r="AG279" s="38" t="str">
        <f>IF(S278="","",ROUNDDOWN(AF279*10000/$AJ$3,0))</f>
        <v/>
      </c>
      <c r="AH279" s="39" t="str">
        <f t="shared" ref="AH279" si="2391">IF(S278="","",IF(AG279&gt;AI278,"＞",IF(AG279=AI278,"=","＜")))</f>
        <v/>
      </c>
      <c r="AI279" s="42"/>
      <c r="AJ279" s="44"/>
      <c r="AK279" s="39" t="str">
        <f>IF(S278="","",IF(AND(T279=1,AE279&gt;1),"NG",IF(AH279="＞","OK","NG")))</f>
        <v/>
      </c>
    </row>
    <row r="280" spans="1:37" ht="15.75" customHeight="1" x14ac:dyDescent="0.15">
      <c r="A280" s="80"/>
      <c r="B280" s="81">
        <v>2</v>
      </c>
      <c r="C280" s="58" t="str">
        <f>IF(A280="","",IF(B280=1,"素　焼土　管",IF(B280=2,"合　成樹脂管",IF(B280=3,"無孔管",""))))</f>
        <v/>
      </c>
      <c r="D280" s="60"/>
      <c r="E280" s="82"/>
      <c r="F280" s="83"/>
      <c r="G280" s="83"/>
      <c r="H280" s="84"/>
      <c r="I280" s="53" t="str">
        <f>IF(A280="","",F280-G280+H280)</f>
        <v/>
      </c>
      <c r="J280" s="55" t="str">
        <f>IF(A280="",""," 1/")</f>
        <v/>
      </c>
      <c r="K280" s="85"/>
      <c r="L280" s="56" t="str">
        <f>IF(A280="","",IF(B280=1,0.013,0.012))</f>
        <v/>
      </c>
      <c r="M280" s="47" t="str">
        <f>IF(A280="","",(1/L280*(E280/100/2)^(8/3)*(1/K280*100)^(1/2)*1.65696)*100)</f>
        <v/>
      </c>
      <c r="N280" s="47" t="str">
        <f>IF(A280="","",1/L280*(E280/100/2)^(2/3)*(1/K280)^(1/2)*0.70541)</f>
        <v/>
      </c>
      <c r="O280" s="48" t="str">
        <f>IF(A280="","",ROUNDDOWN(M280/($U$3/8.64)*10000/$AJ$3,0))</f>
        <v/>
      </c>
      <c r="P280" s="49" t="str">
        <f>IF(A280="","",IF(O280&gt;Q280,"＞","＜"))</f>
        <v/>
      </c>
      <c r="Q280" s="48" t="str">
        <f>IF(A280="","",I280)</f>
        <v/>
      </c>
      <c r="R280" s="51" t="str">
        <f>IF(A280="","",IF(P280="＞","OK","NG"))</f>
        <v/>
      </c>
      <c r="S280" s="86"/>
      <c r="T280" s="87"/>
      <c r="U280" s="28" t="str">
        <f>IF(S280="","",IF(T280=1,"素焼土管",IF(T280=2,"合成樹脂管",IF(T280=3,"無孔管",""))))</f>
        <v/>
      </c>
      <c r="V280" s="29"/>
      <c r="W280" s="88"/>
      <c r="X280" s="89"/>
      <c r="Y280" s="90"/>
      <c r="Z280" s="41" t="str">
        <f>IF(S280="","",IF(AND(T281=3,I280=""),Z278+Y280,IF(AND(Z278="",I278=""),I280+Y280,IF(AND(T281=3,I280&gt;0,Z278&gt;0),I280+Z278+Y280,IF(Z278="",I278+I280+X280+Y280,IF(I280="",Z278+X280+Y280,Z278+I280+X280+Y280))))))</f>
        <v/>
      </c>
      <c r="AA280" s="45" t="str">
        <f>IF(AB280="",""," 1/")</f>
        <v/>
      </c>
      <c r="AB280" s="91"/>
      <c r="AC280" s="30" t="str">
        <f>IF(S280="","",IF(T280="","",IF(T280=1,0.013,0.012)))</f>
        <v/>
      </c>
      <c r="AD280" s="31" t="str">
        <f>IF(S280="","",IF(T280="","",(1/AC280*(W280/100/2)^(8/3)*(1/AB280*100)^(1/2)*1.65696)*100))</f>
        <v/>
      </c>
      <c r="AE280" s="31" t="str">
        <f>IF(S280="","",IF(T280="","",1/AC280*(W280/100/2)^(2/3)*(1/AB280)^(1/2)*0.70541))</f>
        <v/>
      </c>
      <c r="AF280" s="31" t="str">
        <f>IF(S280="","",IF(T280="","",ROUNDDOWN(AD280/($U$3/8.64),3)))</f>
        <v/>
      </c>
      <c r="AG280" s="32" t="str">
        <f>IF(S280="","",IF(T280="","",ROUNDDOWN(AF280*10000/$AJ$3,0)))</f>
        <v/>
      </c>
      <c r="AH280" s="33" t="str">
        <f t="shared" si="2385"/>
        <v/>
      </c>
      <c r="AI280" s="41" t="str">
        <f>IF(S280="","",Z280)</f>
        <v/>
      </c>
      <c r="AJ280" s="43" t="str">
        <f>IF(S280="","",AI280*$AJ$3/10000)</f>
        <v/>
      </c>
      <c r="AK280" s="33" t="str">
        <f>IF(S280="","",IF(T280="","",IF(AND(T280=1,AE280&gt;1),"NG",IF(AH280="＞","OK","NG"))))</f>
        <v/>
      </c>
    </row>
    <row r="281" spans="1:37" ht="15.75" customHeight="1" x14ac:dyDescent="0.15">
      <c r="A281" s="92"/>
      <c r="B281" s="93"/>
      <c r="C281" s="59"/>
      <c r="D281" s="61"/>
      <c r="E281" s="94"/>
      <c r="F281" s="95"/>
      <c r="G281" s="95"/>
      <c r="H281" s="96"/>
      <c r="I281" s="54"/>
      <c r="J281" s="46"/>
      <c r="K281" s="97"/>
      <c r="L281" s="57"/>
      <c r="M281" s="44"/>
      <c r="N281" s="44"/>
      <c r="O281" s="42"/>
      <c r="P281" s="50"/>
      <c r="Q281" s="42"/>
      <c r="R281" s="52"/>
      <c r="S281" s="98"/>
      <c r="T281" s="99">
        <v>2</v>
      </c>
      <c r="U281" s="34" t="str">
        <f>IF(S280="","",IF(T280=T281,"〃",IF(T281=1,"素焼土管",IF(T281=2,"合成樹脂管",IF(T281=3,"無孔管","")))))</f>
        <v/>
      </c>
      <c r="V281" s="35"/>
      <c r="W281" s="100"/>
      <c r="X281" s="101"/>
      <c r="Y281" s="95"/>
      <c r="Z281" s="42"/>
      <c r="AA281" s="46"/>
      <c r="AB281" s="97"/>
      <c r="AC281" s="36" t="str">
        <f>IF(S280="","",IF(T281=1,0.013,0.012))</f>
        <v/>
      </c>
      <c r="AD281" s="37" t="str">
        <f>IF(S280="","",(1/AC281*(W281/100/2)^(8/3)*(1/AB280*100)^(1/2)*1.65696)*100)</f>
        <v/>
      </c>
      <c r="AE281" s="37" t="str">
        <f>IF(S280="","",1/AC281*(W281/100/2)^(2/3)*(1/AB280)^(1/2)*0.70541)</f>
        <v/>
      </c>
      <c r="AF281" s="37" t="str">
        <f>IF(S280="","",ROUNDDOWN(AD281/($U$3/8.64),3))</f>
        <v/>
      </c>
      <c r="AG281" s="38" t="str">
        <f>IF(S280="","",ROUNDDOWN(AF281*10000/$AJ$3,0))</f>
        <v/>
      </c>
      <c r="AH281" s="39" t="str">
        <f t="shared" ref="AH281" si="2392">IF(S280="","",IF(AG281&gt;AI280,"＞",IF(AG281=AI280,"=","＜")))</f>
        <v/>
      </c>
      <c r="AI281" s="42"/>
      <c r="AJ281" s="44"/>
      <c r="AK281" s="39" t="str">
        <f>IF(S280="","",IF(AND(T281=1,AE281&gt;1),"NG",IF(AH281="＞","OK","NG")))</f>
        <v/>
      </c>
    </row>
    <row r="282" spans="1:37" ht="15.75" customHeight="1" x14ac:dyDescent="0.15">
      <c r="A282" s="80"/>
      <c r="B282" s="81">
        <v>2</v>
      </c>
      <c r="C282" s="58" t="str">
        <f>IF(A282="","",IF(B282=1,"素　焼土　管",IF(B282=2,"合　成樹脂管",IF(B282=3,"無孔管",""))))</f>
        <v/>
      </c>
      <c r="D282" s="60"/>
      <c r="E282" s="82"/>
      <c r="F282" s="83"/>
      <c r="G282" s="83"/>
      <c r="H282" s="84"/>
      <c r="I282" s="53" t="str">
        <f>IF(A282="","",F282-G282+H282)</f>
        <v/>
      </c>
      <c r="J282" s="55" t="str">
        <f>IF(A282="",""," 1/")</f>
        <v/>
      </c>
      <c r="K282" s="85"/>
      <c r="L282" s="56" t="str">
        <f>IF(A282="","",IF(B282=1,0.013,0.012))</f>
        <v/>
      </c>
      <c r="M282" s="47" t="str">
        <f>IF(A282="","",(1/L282*(E282/100/2)^(8/3)*(1/K282*100)^(1/2)*1.65696)*100)</f>
        <v/>
      </c>
      <c r="N282" s="47" t="str">
        <f>IF(A282="","",1/L282*(E282/100/2)^(2/3)*(1/K282)^(1/2)*0.70541)</f>
        <v/>
      </c>
      <c r="O282" s="48" t="str">
        <f>IF(A282="","",ROUNDDOWN(M282/($U$3/8.64)*10000/$AJ$3,0))</f>
        <v/>
      </c>
      <c r="P282" s="49" t="str">
        <f>IF(A282="","",IF(O282&gt;Q282,"＞","＜"))</f>
        <v/>
      </c>
      <c r="Q282" s="48" t="str">
        <f>IF(A282="","",I282)</f>
        <v/>
      </c>
      <c r="R282" s="51" t="str">
        <f>IF(A282="","",IF(P282="＞","OK","NG"))</f>
        <v/>
      </c>
      <c r="S282" s="86"/>
      <c r="T282" s="87"/>
      <c r="U282" s="28" t="str">
        <f>IF(S282="","",IF(T282=1,"素焼土管",IF(T282=2,"合成樹脂管",IF(T282=3,"無孔管",""))))</f>
        <v/>
      </c>
      <c r="V282" s="29"/>
      <c r="W282" s="88"/>
      <c r="X282" s="89"/>
      <c r="Y282" s="90"/>
      <c r="Z282" s="41" t="str">
        <f>IF(S282="","",IF(AND(T283=3,I282=""),Z280+Y282,IF(AND(Z280="",I280=""),I282+Y282,IF(AND(T283=3,I282&gt;0,Z280&gt;0),I282+Z280+Y282,IF(Z280="",I280+I282+X282+Y282,IF(I282="",Z280+X282+Y282,Z280+I282+X282+Y282))))))</f>
        <v/>
      </c>
      <c r="AA282" s="45" t="str">
        <f>IF(AB282="",""," 1/")</f>
        <v/>
      </c>
      <c r="AB282" s="91"/>
      <c r="AC282" s="30" t="str">
        <f>IF(S282="","",IF(T282="","",IF(T282=1,0.013,0.012)))</f>
        <v/>
      </c>
      <c r="AD282" s="31" t="str">
        <f>IF(S282="","",IF(T282="","",(1/AC282*(W282/100/2)^(8/3)*(1/AB282*100)^(1/2)*1.65696)*100))</f>
        <v/>
      </c>
      <c r="AE282" s="31" t="str">
        <f>IF(S282="","",IF(T282="","",1/AC282*(W282/100/2)^(2/3)*(1/AB282)^(1/2)*0.70541))</f>
        <v/>
      </c>
      <c r="AF282" s="31" t="str">
        <f>IF(S282="","",IF(T282="","",ROUNDDOWN(AD282/($U$3/8.64),3)))</f>
        <v/>
      </c>
      <c r="AG282" s="32" t="str">
        <f>IF(S282="","",IF(T282="","",ROUNDDOWN(AF282*10000/$AJ$3,0)))</f>
        <v/>
      </c>
      <c r="AH282" s="33" t="str">
        <f t="shared" si="2385"/>
        <v/>
      </c>
      <c r="AI282" s="41" t="str">
        <f>IF(S282="","",Z282)</f>
        <v/>
      </c>
      <c r="AJ282" s="43" t="str">
        <f>IF(S282="","",AI282*$AJ$3/10000)</f>
        <v/>
      </c>
      <c r="AK282" s="33" t="str">
        <f>IF(S282="","",IF(T282="","",IF(AND(T282=1,AE282&gt;1),"NG",IF(AH282="＞","OK","NG"))))</f>
        <v/>
      </c>
    </row>
    <row r="283" spans="1:37" ht="15.75" customHeight="1" x14ac:dyDescent="0.15">
      <c r="A283" s="92"/>
      <c r="B283" s="93"/>
      <c r="C283" s="59"/>
      <c r="D283" s="61"/>
      <c r="E283" s="94"/>
      <c r="F283" s="95"/>
      <c r="G283" s="95"/>
      <c r="H283" s="96"/>
      <c r="I283" s="54"/>
      <c r="J283" s="46"/>
      <c r="K283" s="97"/>
      <c r="L283" s="57"/>
      <c r="M283" s="44"/>
      <c r="N283" s="44"/>
      <c r="O283" s="42"/>
      <c r="P283" s="50"/>
      <c r="Q283" s="42"/>
      <c r="R283" s="52"/>
      <c r="S283" s="98"/>
      <c r="T283" s="99">
        <v>2</v>
      </c>
      <c r="U283" s="34" t="str">
        <f>IF(S282="","",IF(T282=T283,"〃",IF(T283=1,"素焼土管",IF(T283=2,"合成樹脂管",IF(T283=3,"無孔管","")))))</f>
        <v/>
      </c>
      <c r="V283" s="35"/>
      <c r="W283" s="100"/>
      <c r="X283" s="101"/>
      <c r="Y283" s="95"/>
      <c r="Z283" s="42"/>
      <c r="AA283" s="46"/>
      <c r="AB283" s="97"/>
      <c r="AC283" s="36" t="str">
        <f>IF(S282="","",IF(T283=1,0.013,0.012))</f>
        <v/>
      </c>
      <c r="AD283" s="37" t="str">
        <f>IF(S282="","",(1/AC283*(W283/100/2)^(8/3)*(1/AB282*100)^(1/2)*1.65696)*100)</f>
        <v/>
      </c>
      <c r="AE283" s="37" t="str">
        <f>IF(S282="","",1/AC283*(W283/100/2)^(2/3)*(1/AB282)^(1/2)*0.70541)</f>
        <v/>
      </c>
      <c r="AF283" s="37" t="str">
        <f>IF(S282="","",ROUNDDOWN(AD283/($U$3/8.64),3))</f>
        <v/>
      </c>
      <c r="AG283" s="38" t="str">
        <f>IF(S282="","",ROUNDDOWN(AF283*10000/$AJ$3,0))</f>
        <v/>
      </c>
      <c r="AH283" s="39" t="str">
        <f t="shared" ref="AH283" si="2393">IF(S282="","",IF(AG283&gt;AI282,"＞",IF(AG283=AI282,"=","＜")))</f>
        <v/>
      </c>
      <c r="AI283" s="42"/>
      <c r="AJ283" s="44"/>
      <c r="AK283" s="39" t="str">
        <f>IF(S282="","",IF(AND(T283=1,AE283&gt;1),"NG",IF(AH283="＞","OK","NG")))</f>
        <v/>
      </c>
    </row>
    <row r="284" spans="1:37" ht="15.75" customHeight="1" x14ac:dyDescent="0.15">
      <c r="A284" s="80"/>
      <c r="B284" s="81">
        <v>2</v>
      </c>
      <c r="C284" s="58" t="str">
        <f>IF(A284="","",IF(B284=1,"素　焼土　管",IF(B284=2,"合　成樹脂管",IF(B284=3,"無孔管",""))))</f>
        <v/>
      </c>
      <c r="D284" s="60"/>
      <c r="E284" s="82"/>
      <c r="F284" s="83"/>
      <c r="G284" s="83"/>
      <c r="H284" s="84"/>
      <c r="I284" s="53" t="str">
        <f>IF(A284="","",F284-G284+H284)</f>
        <v/>
      </c>
      <c r="J284" s="55" t="str">
        <f>IF(A284="",""," 1/")</f>
        <v/>
      </c>
      <c r="K284" s="85"/>
      <c r="L284" s="56" t="str">
        <f>IF(A284="","",IF(B284=1,0.013,0.012))</f>
        <v/>
      </c>
      <c r="M284" s="47" t="str">
        <f>IF(A284="","",(1/L284*(E284/100/2)^(8/3)*(1/K284*100)^(1/2)*1.65696)*100)</f>
        <v/>
      </c>
      <c r="N284" s="47" t="str">
        <f>IF(A284="","",1/L284*(E284/100/2)^(2/3)*(1/K284)^(1/2)*0.70541)</f>
        <v/>
      </c>
      <c r="O284" s="48" t="str">
        <f>IF(A284="","",ROUNDDOWN(M284/($U$3/8.64)*10000/$AJ$3,0))</f>
        <v/>
      </c>
      <c r="P284" s="49" t="str">
        <f>IF(A284="","",IF(O284&gt;Q284,"＞","＜"))</f>
        <v/>
      </c>
      <c r="Q284" s="48" t="str">
        <f>IF(A284="","",I284)</f>
        <v/>
      </c>
      <c r="R284" s="51" t="str">
        <f>IF(A284="","",IF(P284="＞","OK","NG"))</f>
        <v/>
      </c>
      <c r="S284" s="86"/>
      <c r="T284" s="87"/>
      <c r="U284" s="28" t="str">
        <f>IF(S284="","",IF(T284=1,"素焼土管",IF(T284=2,"合成樹脂管",IF(T284=3,"無孔管",""))))</f>
        <v/>
      </c>
      <c r="V284" s="29"/>
      <c r="W284" s="88"/>
      <c r="X284" s="89"/>
      <c r="Y284" s="90"/>
      <c r="Z284" s="41" t="str">
        <f>IF(S284="","",IF(AND(T285=3,I284=""),Z282+Y284,IF(AND(Z282="",I282=""),I284+Y284,IF(AND(T285=3,I284&gt;0,Z282&gt;0),I284+Z282+Y284,IF(Z282="",I282+I284+X284+Y284,IF(I284="",Z282+X284+Y284,Z282+I284+X284+Y284))))))</f>
        <v/>
      </c>
      <c r="AA284" s="45" t="str">
        <f>IF(AB284="",""," 1/")</f>
        <v/>
      </c>
      <c r="AB284" s="91"/>
      <c r="AC284" s="30" t="str">
        <f>IF(S284="","",IF(T284="","",IF(T284=1,0.013,0.012)))</f>
        <v/>
      </c>
      <c r="AD284" s="31" t="str">
        <f>IF(S284="","",IF(T284="","",(1/AC284*(W284/100/2)^(8/3)*(1/AB284*100)^(1/2)*1.65696)*100))</f>
        <v/>
      </c>
      <c r="AE284" s="31" t="str">
        <f>IF(S284="","",IF(T284="","",1/AC284*(W284/100/2)^(2/3)*(1/AB284)^(1/2)*0.70541))</f>
        <v/>
      </c>
      <c r="AF284" s="31" t="str">
        <f>IF(S284="","",IF(T284="","",ROUNDDOWN(AD284/($U$3/8.64),3)))</f>
        <v/>
      </c>
      <c r="AG284" s="32" t="str">
        <f>IF(S284="","",IF(T284="","",ROUNDDOWN(AF284*10000/$AJ$3,0)))</f>
        <v/>
      </c>
      <c r="AH284" s="33" t="str">
        <f t="shared" si="2385"/>
        <v/>
      </c>
      <c r="AI284" s="41" t="str">
        <f>IF(S284="","",Z284)</f>
        <v/>
      </c>
      <c r="AJ284" s="43" t="str">
        <f>IF(S284="","",AI284*$AJ$3/10000)</f>
        <v/>
      </c>
      <c r="AK284" s="33" t="str">
        <f>IF(S284="","",IF(T284="","",IF(AND(T284=1,AE284&gt;1),"NG",IF(AH284="＞","OK","NG"))))</f>
        <v/>
      </c>
    </row>
    <row r="285" spans="1:37" ht="15.75" customHeight="1" x14ac:dyDescent="0.15">
      <c r="A285" s="92"/>
      <c r="B285" s="93"/>
      <c r="C285" s="59"/>
      <c r="D285" s="61"/>
      <c r="E285" s="94"/>
      <c r="F285" s="95"/>
      <c r="G285" s="95"/>
      <c r="H285" s="96"/>
      <c r="I285" s="54"/>
      <c r="J285" s="46"/>
      <c r="K285" s="97"/>
      <c r="L285" s="57"/>
      <c r="M285" s="44"/>
      <c r="N285" s="44"/>
      <c r="O285" s="42"/>
      <c r="P285" s="50"/>
      <c r="Q285" s="42"/>
      <c r="R285" s="52"/>
      <c r="S285" s="98"/>
      <c r="T285" s="99">
        <v>2</v>
      </c>
      <c r="U285" s="34" t="str">
        <f>IF(S284="","",IF(T284=T285,"〃",IF(T285=1,"素焼土管",IF(T285=2,"合成樹脂管",IF(T285=3,"無孔管","")))))</f>
        <v/>
      </c>
      <c r="V285" s="35"/>
      <c r="W285" s="100"/>
      <c r="X285" s="101"/>
      <c r="Y285" s="95"/>
      <c r="Z285" s="42"/>
      <c r="AA285" s="46"/>
      <c r="AB285" s="97"/>
      <c r="AC285" s="36" t="str">
        <f>IF(S284="","",IF(T285=1,0.013,0.012))</f>
        <v/>
      </c>
      <c r="AD285" s="37" t="str">
        <f>IF(S284="","",(1/AC285*(W285/100/2)^(8/3)*(1/AB284*100)^(1/2)*1.65696)*100)</f>
        <v/>
      </c>
      <c r="AE285" s="37" t="str">
        <f>IF(S284="","",1/AC285*(W285/100/2)^(2/3)*(1/AB284)^(1/2)*0.70541)</f>
        <v/>
      </c>
      <c r="AF285" s="37" t="str">
        <f>IF(S284="","",ROUNDDOWN(AD285/($U$3/8.64),3))</f>
        <v/>
      </c>
      <c r="AG285" s="38" t="str">
        <f>IF(S284="","",ROUNDDOWN(AF285*10000/$AJ$3,0))</f>
        <v/>
      </c>
      <c r="AH285" s="39" t="str">
        <f t="shared" ref="AH285" si="2394">IF(S284="","",IF(AG285&gt;AI284,"＞",IF(AG285=AI284,"=","＜")))</f>
        <v/>
      </c>
      <c r="AI285" s="42"/>
      <c r="AJ285" s="44"/>
      <c r="AK285" s="39" t="str">
        <f>IF(S284="","",IF(AND(T285=1,AE285&gt;1),"NG",IF(AH285="＞","OK","NG")))</f>
        <v/>
      </c>
    </row>
    <row r="286" spans="1:37" ht="15.75" customHeight="1" x14ac:dyDescent="0.15">
      <c r="A286" s="80"/>
      <c r="B286" s="81">
        <v>2</v>
      </c>
      <c r="C286" s="58" t="str">
        <f>IF(A286="","",IF(B286=1,"素　焼土　管",IF(B286=2,"合　成樹脂管",IF(B286=3,"無孔管",""))))</f>
        <v/>
      </c>
      <c r="D286" s="60"/>
      <c r="E286" s="82"/>
      <c r="F286" s="83"/>
      <c r="G286" s="83"/>
      <c r="H286" s="84"/>
      <c r="I286" s="53" t="str">
        <f>IF(A286="","",F286-G286+H286)</f>
        <v/>
      </c>
      <c r="J286" s="55" t="str">
        <f>IF(A286="",""," 1/")</f>
        <v/>
      </c>
      <c r="K286" s="85"/>
      <c r="L286" s="56" t="str">
        <f>IF(A286="","",IF(B286=1,0.013,0.012))</f>
        <v/>
      </c>
      <c r="M286" s="47" t="str">
        <f>IF(A286="","",(1/L286*(E286/100/2)^(8/3)*(1/K286*100)^(1/2)*1.65696)*100)</f>
        <v/>
      </c>
      <c r="N286" s="47" t="str">
        <f>IF(A286="","",1/L286*(E286/100/2)^(2/3)*(1/K286)^(1/2)*0.70541)</f>
        <v/>
      </c>
      <c r="O286" s="48" t="str">
        <f>IF(A286="","",ROUNDDOWN(M286/($U$3/8.64)*10000/$AJ$3,0))</f>
        <v/>
      </c>
      <c r="P286" s="49" t="str">
        <f>IF(A286="","",IF(O286&gt;Q286,"＞","＜"))</f>
        <v/>
      </c>
      <c r="Q286" s="48" t="str">
        <f>IF(A286="","",I286)</f>
        <v/>
      </c>
      <c r="R286" s="51" t="str">
        <f>IF(A286="","",IF(P286="＞","OK","NG"))</f>
        <v/>
      </c>
      <c r="S286" s="86"/>
      <c r="T286" s="87"/>
      <c r="U286" s="28" t="str">
        <f>IF(S286="","",IF(T286=1,"素焼土管",IF(T286=2,"合成樹脂管",IF(T286=3,"無孔管",""))))</f>
        <v/>
      </c>
      <c r="V286" s="29"/>
      <c r="W286" s="88"/>
      <c r="X286" s="89"/>
      <c r="Y286" s="90"/>
      <c r="Z286" s="41" t="str">
        <f>IF(S286="","",IF(AND(T287=3,I286=""),Z284+Y286,IF(AND(Z284="",I284=""),I286+Y286,IF(AND(T287=3,I286&gt;0,Z284&gt;0),I286+Z284+Y286,IF(Z284="",I284+I286+X286+Y286,IF(I286="",Z284+X286+Y286,Z284+I286+X286+Y286))))))</f>
        <v/>
      </c>
      <c r="AA286" s="45" t="str">
        <f>IF(AB286="",""," 1/")</f>
        <v/>
      </c>
      <c r="AB286" s="91"/>
      <c r="AC286" s="30" t="str">
        <f>IF(S286="","",IF(T286="","",IF(T286=1,0.013,0.012)))</f>
        <v/>
      </c>
      <c r="AD286" s="31" t="str">
        <f>IF(S286="","",IF(T286="","",(1/AC286*(W286/100/2)^(8/3)*(1/AB286*100)^(1/2)*1.65696)*100))</f>
        <v/>
      </c>
      <c r="AE286" s="31" t="str">
        <f>IF(S286="","",IF(T286="","",1/AC286*(W286/100/2)^(2/3)*(1/AB286)^(1/2)*0.70541))</f>
        <v/>
      </c>
      <c r="AF286" s="31" t="str">
        <f>IF(S286="","",IF(T286="","",ROUNDDOWN(AD286/($U$3/8.64),3)))</f>
        <v/>
      </c>
      <c r="AG286" s="32" t="str">
        <f>IF(S286="","",IF(T286="","",ROUNDDOWN(AF286*10000/$AJ$3,0)))</f>
        <v/>
      </c>
      <c r="AH286" s="33" t="str">
        <f t="shared" si="2385"/>
        <v/>
      </c>
      <c r="AI286" s="41" t="str">
        <f>IF(S286="","",Z286)</f>
        <v/>
      </c>
      <c r="AJ286" s="43" t="str">
        <f>IF(S286="","",AI286*$AJ$3/10000)</f>
        <v/>
      </c>
      <c r="AK286" s="33" t="str">
        <f>IF(S286="","",IF(T286="","",IF(AND(T286=1,AE286&gt;1),"NG",IF(AH286="＞","OK","NG"))))</f>
        <v/>
      </c>
    </row>
    <row r="287" spans="1:37" ht="15.75" customHeight="1" x14ac:dyDescent="0.15">
      <c r="A287" s="92"/>
      <c r="B287" s="93"/>
      <c r="C287" s="59"/>
      <c r="D287" s="61"/>
      <c r="E287" s="94"/>
      <c r="F287" s="95"/>
      <c r="G287" s="95"/>
      <c r="H287" s="96"/>
      <c r="I287" s="54"/>
      <c r="J287" s="46"/>
      <c r="K287" s="97"/>
      <c r="L287" s="57"/>
      <c r="M287" s="44"/>
      <c r="N287" s="44"/>
      <c r="O287" s="42"/>
      <c r="P287" s="50"/>
      <c r="Q287" s="42"/>
      <c r="R287" s="52"/>
      <c r="S287" s="98"/>
      <c r="T287" s="99">
        <v>2</v>
      </c>
      <c r="U287" s="34" t="str">
        <f>IF(S286="","",IF(T286=T287,"〃",IF(T287=1,"素焼土管",IF(T287=2,"合成樹脂管",IF(T287=3,"無孔管","")))))</f>
        <v/>
      </c>
      <c r="V287" s="35"/>
      <c r="W287" s="100"/>
      <c r="X287" s="101"/>
      <c r="Y287" s="95"/>
      <c r="Z287" s="42"/>
      <c r="AA287" s="46"/>
      <c r="AB287" s="97"/>
      <c r="AC287" s="36" t="str">
        <f>IF(S286="","",IF(T287=1,0.013,0.012))</f>
        <v/>
      </c>
      <c r="AD287" s="37" t="str">
        <f>IF(S286="","",(1/AC287*(W287/100/2)^(8/3)*(1/AB286*100)^(1/2)*1.65696)*100)</f>
        <v/>
      </c>
      <c r="AE287" s="37" t="str">
        <f>IF(S286="","",1/AC287*(W287/100/2)^(2/3)*(1/AB286)^(1/2)*0.70541)</f>
        <v/>
      </c>
      <c r="AF287" s="37" t="str">
        <f>IF(S286="","",ROUNDDOWN(AD287/($U$3/8.64),3))</f>
        <v/>
      </c>
      <c r="AG287" s="38" t="str">
        <f>IF(S286="","",ROUNDDOWN(AF287*10000/$AJ$3,0))</f>
        <v/>
      </c>
      <c r="AH287" s="39" t="str">
        <f t="shared" ref="AH287" si="2395">IF(S286="","",IF(AG287&gt;AI286,"＞",IF(AG287=AI286,"=","＜")))</f>
        <v/>
      </c>
      <c r="AI287" s="42"/>
      <c r="AJ287" s="44"/>
      <c r="AK287" s="39" t="str">
        <f>IF(S286="","",IF(AND(T287=1,AE287&gt;1),"NG",IF(AH287="＞","OK","NG")))</f>
        <v/>
      </c>
    </row>
    <row r="288" spans="1:37" ht="15.75" customHeight="1" x14ac:dyDescent="0.15">
      <c r="A288" s="80"/>
      <c r="B288" s="81">
        <v>2</v>
      </c>
      <c r="C288" s="58" t="str">
        <f>IF(A288="","",IF(B288=1,"素　焼土　管",IF(B288=2,"合　成樹脂管",IF(B288=3,"無孔管",""))))</f>
        <v/>
      </c>
      <c r="D288" s="60"/>
      <c r="E288" s="82"/>
      <c r="F288" s="83"/>
      <c r="G288" s="83"/>
      <c r="H288" s="84"/>
      <c r="I288" s="53" t="str">
        <f>IF(A288="","",F288-G288+H288)</f>
        <v/>
      </c>
      <c r="J288" s="55" t="str">
        <f>IF(A288="",""," 1/")</f>
        <v/>
      </c>
      <c r="K288" s="85"/>
      <c r="L288" s="56" t="str">
        <f>IF(A288="","",IF(B288=1,0.013,0.012))</f>
        <v/>
      </c>
      <c r="M288" s="47" t="str">
        <f>IF(A288="","",(1/L288*(E288/100/2)^(8/3)*(1/K288*100)^(1/2)*1.65696)*100)</f>
        <v/>
      </c>
      <c r="N288" s="47" t="str">
        <f>IF(A288="","",1/L288*(E288/100/2)^(2/3)*(1/K288)^(1/2)*0.70541)</f>
        <v/>
      </c>
      <c r="O288" s="48" t="str">
        <f>IF(A288="","",ROUNDDOWN(M288/($U$3/8.64)*10000/$AJ$3,0))</f>
        <v/>
      </c>
      <c r="P288" s="49" t="str">
        <f>IF(A288="","",IF(O288&gt;Q288,"＞","＜"))</f>
        <v/>
      </c>
      <c r="Q288" s="48" t="str">
        <f>IF(A288="","",I288)</f>
        <v/>
      </c>
      <c r="R288" s="51" t="str">
        <f>IF(A288="","",IF(P288="＞","OK","NG"))</f>
        <v/>
      </c>
      <c r="S288" s="86"/>
      <c r="T288" s="87"/>
      <c r="U288" s="28" t="str">
        <f>IF(S288="","",IF(T288=1,"素焼土管",IF(T288=2,"合成樹脂管",IF(T288=3,"無孔管",""))))</f>
        <v/>
      </c>
      <c r="V288" s="29"/>
      <c r="W288" s="88"/>
      <c r="X288" s="89"/>
      <c r="Y288" s="90"/>
      <c r="Z288" s="41" t="str">
        <f>IF(S288="","",IF(AND(T289=3,I288=""),Z286+Y288,IF(AND(Z286="",I286=""),I288+Y288,IF(AND(T289=3,I288&gt;0,Z286&gt;0),I288+Z286+Y288,IF(Z286="",I286+I288+X288+Y288,IF(I288="",Z286+X288+Y288,Z286+I288+X288+Y288))))))</f>
        <v/>
      </c>
      <c r="AA288" s="45" t="str">
        <f>IF(AB288="",""," 1/")</f>
        <v/>
      </c>
      <c r="AB288" s="91"/>
      <c r="AC288" s="30" t="str">
        <f>IF(S288="","",IF(T288="","",IF(T288=1,0.013,0.012)))</f>
        <v/>
      </c>
      <c r="AD288" s="31" t="str">
        <f>IF(S288="","",IF(T288="","",(1/AC288*(W288/100/2)^(8/3)*(1/AB288*100)^(1/2)*1.65696)*100))</f>
        <v/>
      </c>
      <c r="AE288" s="31" t="str">
        <f>IF(S288="","",IF(T288="","",1/AC288*(W288/100/2)^(2/3)*(1/AB288)^(1/2)*0.70541))</f>
        <v/>
      </c>
      <c r="AF288" s="31" t="str">
        <f>IF(S288="","",IF(T288="","",ROUNDDOWN(AD288/($U$3/8.64),3)))</f>
        <v/>
      </c>
      <c r="AG288" s="32" t="str">
        <f>IF(S288="","",IF(T288="","",ROUNDDOWN(AF288*10000/$AJ$3,0)))</f>
        <v/>
      </c>
      <c r="AH288" s="33" t="str">
        <f t="shared" si="2385"/>
        <v/>
      </c>
      <c r="AI288" s="41" t="str">
        <f>IF(S288="","",Z288)</f>
        <v/>
      </c>
      <c r="AJ288" s="43" t="str">
        <f>IF(S288="","",AI288*$AJ$3/10000)</f>
        <v/>
      </c>
      <c r="AK288" s="33" t="str">
        <f>IF(S288="","",IF(T288="","",IF(AND(T288=1,AE288&gt;1),"NG",IF(AH288="＞","OK","NG"))))</f>
        <v/>
      </c>
    </row>
    <row r="289" spans="1:37" ht="15.75" customHeight="1" x14ac:dyDescent="0.15">
      <c r="A289" s="92"/>
      <c r="B289" s="93"/>
      <c r="C289" s="59"/>
      <c r="D289" s="61"/>
      <c r="E289" s="94"/>
      <c r="F289" s="95"/>
      <c r="G289" s="95"/>
      <c r="H289" s="96"/>
      <c r="I289" s="54"/>
      <c r="J289" s="46"/>
      <c r="K289" s="97"/>
      <c r="L289" s="57"/>
      <c r="M289" s="44"/>
      <c r="N289" s="44"/>
      <c r="O289" s="42"/>
      <c r="P289" s="50"/>
      <c r="Q289" s="42"/>
      <c r="R289" s="52"/>
      <c r="S289" s="98"/>
      <c r="T289" s="99">
        <v>2</v>
      </c>
      <c r="U289" s="34" t="str">
        <f>IF(S288="","",IF(T288=T289,"〃",IF(T289=1,"素焼土管",IF(T289=2,"合成樹脂管",IF(T289=3,"無孔管","")))))</f>
        <v/>
      </c>
      <c r="V289" s="35"/>
      <c r="W289" s="100"/>
      <c r="X289" s="101"/>
      <c r="Y289" s="95"/>
      <c r="Z289" s="42"/>
      <c r="AA289" s="46"/>
      <c r="AB289" s="97"/>
      <c r="AC289" s="36" t="str">
        <f>IF(S288="","",IF(T289=1,0.013,0.012))</f>
        <v/>
      </c>
      <c r="AD289" s="37" t="str">
        <f>IF(S288="","",(1/AC289*(W289/100/2)^(8/3)*(1/AB288*100)^(1/2)*1.65696)*100)</f>
        <v/>
      </c>
      <c r="AE289" s="37" t="str">
        <f>IF(S288="","",1/AC289*(W289/100/2)^(2/3)*(1/AB288)^(1/2)*0.70541)</f>
        <v/>
      </c>
      <c r="AF289" s="37" t="str">
        <f>IF(S288="","",ROUNDDOWN(AD289/($U$3/8.64),3))</f>
        <v/>
      </c>
      <c r="AG289" s="38" t="str">
        <f>IF(S288="","",ROUNDDOWN(AF289*10000/$AJ$3,0))</f>
        <v/>
      </c>
      <c r="AH289" s="39" t="str">
        <f t="shared" ref="AH289" si="2396">IF(S288="","",IF(AG289&gt;AI288,"＞",IF(AG289=AI288,"=","＜")))</f>
        <v/>
      </c>
      <c r="AI289" s="42"/>
      <c r="AJ289" s="44"/>
      <c r="AK289" s="39" t="str">
        <f>IF(S288="","",IF(AND(T289=1,AE289&gt;1),"NG",IF(AH289="＞","OK","NG")))</f>
        <v/>
      </c>
    </row>
    <row r="290" spans="1:37" ht="15.75" customHeight="1" x14ac:dyDescent="0.15">
      <c r="A290" s="80"/>
      <c r="B290" s="81">
        <v>2</v>
      </c>
      <c r="C290" s="58" t="str">
        <f>IF(A290="","",IF(B290=1,"素　焼土　管",IF(B290=2,"合　成樹脂管",IF(B290=3,"無孔管",""))))</f>
        <v/>
      </c>
      <c r="D290" s="60"/>
      <c r="E290" s="82"/>
      <c r="F290" s="83"/>
      <c r="G290" s="83"/>
      <c r="H290" s="84"/>
      <c r="I290" s="53" t="str">
        <f>IF(A290="","",F290-G290+H290)</f>
        <v/>
      </c>
      <c r="J290" s="55" t="str">
        <f>IF(A290="",""," 1/")</f>
        <v/>
      </c>
      <c r="K290" s="85"/>
      <c r="L290" s="56" t="str">
        <f>IF(A290="","",IF(B290=1,0.013,0.012))</f>
        <v/>
      </c>
      <c r="M290" s="47" t="str">
        <f>IF(A290="","",(1/L290*(E290/100/2)^(8/3)*(1/K290*100)^(1/2)*1.65696)*100)</f>
        <v/>
      </c>
      <c r="N290" s="47" t="str">
        <f>IF(A290="","",1/L290*(E290/100/2)^(2/3)*(1/K290)^(1/2)*0.70541)</f>
        <v/>
      </c>
      <c r="O290" s="48" t="str">
        <f>IF(A290="","",ROUNDDOWN(M290/($U$3/8.64)*10000/$AJ$3,0))</f>
        <v/>
      </c>
      <c r="P290" s="49" t="str">
        <f>IF(A290="","",IF(O290&gt;Q290,"＞","＜"))</f>
        <v/>
      </c>
      <c r="Q290" s="48" t="str">
        <f>IF(A290="","",I290)</f>
        <v/>
      </c>
      <c r="R290" s="51" t="str">
        <f>IF(A290="","",IF(P290="＞","OK","NG"))</f>
        <v/>
      </c>
      <c r="S290" s="86"/>
      <c r="T290" s="87"/>
      <c r="U290" s="28" t="str">
        <f>IF(S290="","",IF(T290=1,"素焼土管",IF(T290=2,"合成樹脂管",IF(T290=3,"無孔管",""))))</f>
        <v/>
      </c>
      <c r="V290" s="29"/>
      <c r="W290" s="88"/>
      <c r="X290" s="89"/>
      <c r="Y290" s="90"/>
      <c r="Z290" s="41" t="str">
        <f>IF(S290="","",IF(AND(T291=3,I290=""),Z288+Y290,IF(AND(Z288="",I288=""),I290+Y290,IF(AND(T291=3,I290&gt;0,Z288&gt;0),I290+Z288+Y290,IF(Z288="",I288+I290+X290+Y290,IF(I290="",Z288+X290+Y290,Z288+I290+X290+Y290))))))</f>
        <v/>
      </c>
      <c r="AA290" s="45" t="str">
        <f>IF(AB290="",""," 1/")</f>
        <v/>
      </c>
      <c r="AB290" s="91"/>
      <c r="AC290" s="30" t="str">
        <f>IF(S290="","",IF(T290="","",IF(T290=1,0.013,0.012)))</f>
        <v/>
      </c>
      <c r="AD290" s="31" t="str">
        <f>IF(S290="","",IF(T290="","",(1/AC290*(W290/100/2)^(8/3)*(1/AB290*100)^(1/2)*1.65696)*100))</f>
        <v/>
      </c>
      <c r="AE290" s="31" t="str">
        <f>IF(S290="","",IF(T290="","",1/AC290*(W290/100/2)^(2/3)*(1/AB290)^(1/2)*0.70541))</f>
        <v/>
      </c>
      <c r="AF290" s="31" t="str">
        <f>IF(S290="","",IF(T290="","",ROUNDDOWN(AD290/($U$3/8.64),3)))</f>
        <v/>
      </c>
      <c r="AG290" s="32" t="str">
        <f>IF(S290="","",IF(T290="","",ROUNDDOWN(AF290*10000/$AJ$3,0)))</f>
        <v/>
      </c>
      <c r="AH290" s="33" t="str">
        <f t="shared" si="2385"/>
        <v/>
      </c>
      <c r="AI290" s="41" t="str">
        <f>IF(S290="","",Z290)</f>
        <v/>
      </c>
      <c r="AJ290" s="43" t="str">
        <f>IF(S290="","",AI290*$AJ$3/10000)</f>
        <v/>
      </c>
      <c r="AK290" s="33" t="str">
        <f>IF(S290="","",IF(T290="","",IF(AND(T290=1,AE290&gt;1),"NG",IF(AH290="＞","OK","NG"))))</f>
        <v/>
      </c>
    </row>
    <row r="291" spans="1:37" ht="15.75" customHeight="1" x14ac:dyDescent="0.15">
      <c r="A291" s="92"/>
      <c r="B291" s="93"/>
      <c r="C291" s="59"/>
      <c r="D291" s="61"/>
      <c r="E291" s="94"/>
      <c r="F291" s="95"/>
      <c r="G291" s="95"/>
      <c r="H291" s="96"/>
      <c r="I291" s="54"/>
      <c r="J291" s="46"/>
      <c r="K291" s="97"/>
      <c r="L291" s="57"/>
      <c r="M291" s="44"/>
      <c r="N291" s="44"/>
      <c r="O291" s="42"/>
      <c r="P291" s="50"/>
      <c r="Q291" s="42"/>
      <c r="R291" s="52"/>
      <c r="S291" s="98"/>
      <c r="T291" s="99">
        <v>2</v>
      </c>
      <c r="U291" s="34" t="str">
        <f>IF(S290="","",IF(T290=T291,"〃",IF(T291=1,"素焼土管",IF(T291=2,"合成樹脂管",IF(T291=3,"無孔管","")))))</f>
        <v/>
      </c>
      <c r="V291" s="35"/>
      <c r="W291" s="100"/>
      <c r="X291" s="101"/>
      <c r="Y291" s="95"/>
      <c r="Z291" s="42"/>
      <c r="AA291" s="46"/>
      <c r="AB291" s="97"/>
      <c r="AC291" s="36" t="str">
        <f>IF(S290="","",IF(T291=1,0.013,0.012))</f>
        <v/>
      </c>
      <c r="AD291" s="37" t="str">
        <f>IF(S290="","",(1/AC291*(W291/100/2)^(8/3)*(1/AB290*100)^(1/2)*1.65696)*100)</f>
        <v/>
      </c>
      <c r="AE291" s="37" t="str">
        <f>IF(S290="","",1/AC291*(W291/100/2)^(2/3)*(1/AB290)^(1/2)*0.70541)</f>
        <v/>
      </c>
      <c r="AF291" s="37" t="str">
        <f>IF(S290="","",ROUNDDOWN(AD291/($U$3/8.64),3))</f>
        <v/>
      </c>
      <c r="AG291" s="38" t="str">
        <f>IF(S290="","",ROUNDDOWN(AF291*10000/$AJ$3,0))</f>
        <v/>
      </c>
      <c r="AH291" s="39" t="str">
        <f t="shared" ref="AH291" si="2397">IF(S290="","",IF(AG291&gt;AI290,"＞",IF(AG291=AI290,"=","＜")))</f>
        <v/>
      </c>
      <c r="AI291" s="42"/>
      <c r="AJ291" s="44"/>
      <c r="AK291" s="39" t="str">
        <f>IF(S290="","",IF(AND(T291=1,AE291&gt;1),"NG",IF(AH291="＞","OK","NG")))</f>
        <v/>
      </c>
    </row>
    <row r="292" spans="1:37" ht="15.75" customHeight="1" x14ac:dyDescent="0.15">
      <c r="A292" s="80"/>
      <c r="B292" s="81">
        <v>2</v>
      </c>
      <c r="C292" s="58" t="str">
        <f>IF(A292="","",IF(B292=1,"素　焼土　管",IF(B292=2,"合　成樹脂管",IF(B292=3,"無孔管",""))))</f>
        <v/>
      </c>
      <c r="D292" s="60"/>
      <c r="E292" s="82"/>
      <c r="F292" s="83"/>
      <c r="G292" s="83"/>
      <c r="H292" s="84"/>
      <c r="I292" s="53" t="str">
        <f>IF(A292="","",F292-G292+H292)</f>
        <v/>
      </c>
      <c r="J292" s="55" t="str">
        <f>IF(A292="",""," 1/")</f>
        <v/>
      </c>
      <c r="K292" s="85"/>
      <c r="L292" s="56" t="str">
        <f>IF(A292="","",IF(B292=1,0.013,0.012))</f>
        <v/>
      </c>
      <c r="M292" s="47" t="str">
        <f>IF(A292="","",(1/L292*(E292/100/2)^(8/3)*(1/K292*100)^(1/2)*1.65696)*100)</f>
        <v/>
      </c>
      <c r="N292" s="47" t="str">
        <f>IF(A292="","",1/L292*(E292/100/2)^(2/3)*(1/K292)^(1/2)*0.70541)</f>
        <v/>
      </c>
      <c r="O292" s="48" t="str">
        <f>IF(A292="","",ROUNDDOWN(M292/($U$3/8.64)*10000/$AJ$3,0))</f>
        <v/>
      </c>
      <c r="P292" s="49" t="str">
        <f>IF(A292="","",IF(O292&gt;Q292,"＞","＜"))</f>
        <v/>
      </c>
      <c r="Q292" s="48" t="str">
        <f>IF(A292="","",I292)</f>
        <v/>
      </c>
      <c r="R292" s="51" t="str">
        <f>IF(A292="","",IF(P292="＞","OK","NG"))</f>
        <v/>
      </c>
      <c r="S292" s="86"/>
      <c r="T292" s="87"/>
      <c r="U292" s="28" t="str">
        <f>IF(S292="","",IF(T292=1,"素焼土管",IF(T292=2,"合成樹脂管",IF(T292=3,"無孔管",""))))</f>
        <v/>
      </c>
      <c r="V292" s="29"/>
      <c r="W292" s="88"/>
      <c r="X292" s="89"/>
      <c r="Y292" s="90"/>
      <c r="Z292" s="41" t="str">
        <f>IF(S292="","",IF(AND(T293=3,I292=""),Z290+Y292,IF(AND(Z290="",I290=""),I292+Y292,IF(AND(T293=3,I292&gt;0,Z290&gt;0),I292+Z290+Y292,IF(Z290="",I290+I292+X292+Y292,IF(I292="",Z290+X292+Y292,Z290+I292+X292+Y292))))))</f>
        <v/>
      </c>
      <c r="AA292" s="45" t="str">
        <f>IF(AB292="",""," 1/")</f>
        <v/>
      </c>
      <c r="AB292" s="91"/>
      <c r="AC292" s="30" t="str">
        <f>IF(S292="","",IF(T292="","",IF(T292=1,0.013,0.012)))</f>
        <v/>
      </c>
      <c r="AD292" s="31" t="str">
        <f>IF(S292="","",IF(T292="","",(1/AC292*(W292/100/2)^(8/3)*(1/AB292*100)^(1/2)*1.65696)*100))</f>
        <v/>
      </c>
      <c r="AE292" s="31" t="str">
        <f>IF(S292="","",IF(T292="","",1/AC292*(W292/100/2)^(2/3)*(1/AB292)^(1/2)*0.70541))</f>
        <v/>
      </c>
      <c r="AF292" s="31" t="str">
        <f>IF(S292="","",IF(T292="","",ROUNDDOWN(AD292/($U$3/8.64),3)))</f>
        <v/>
      </c>
      <c r="AG292" s="32" t="str">
        <f>IF(S292="","",IF(T292="","",ROUNDDOWN(AF292*10000/$AJ$3,0)))</f>
        <v/>
      </c>
      <c r="AH292" s="33" t="str">
        <f t="shared" si="2385"/>
        <v/>
      </c>
      <c r="AI292" s="41" t="str">
        <f>IF(S292="","",Z292)</f>
        <v/>
      </c>
      <c r="AJ292" s="43" t="str">
        <f>IF(S292="","",AI292*$AJ$3/10000)</f>
        <v/>
      </c>
      <c r="AK292" s="33" t="str">
        <f>IF(S292="","",IF(T292="","",IF(AND(T292=1,AE292&gt;1),"NG",IF(AH292="＞","OK","NG"))))</f>
        <v/>
      </c>
    </row>
    <row r="293" spans="1:37" ht="15.75" customHeight="1" x14ac:dyDescent="0.15">
      <c r="A293" s="92"/>
      <c r="B293" s="93"/>
      <c r="C293" s="59"/>
      <c r="D293" s="61"/>
      <c r="E293" s="94"/>
      <c r="F293" s="95"/>
      <c r="G293" s="95"/>
      <c r="H293" s="96"/>
      <c r="I293" s="54"/>
      <c r="J293" s="46"/>
      <c r="K293" s="97"/>
      <c r="L293" s="57"/>
      <c r="M293" s="44"/>
      <c r="N293" s="44"/>
      <c r="O293" s="42"/>
      <c r="P293" s="50"/>
      <c r="Q293" s="42"/>
      <c r="R293" s="52"/>
      <c r="S293" s="98"/>
      <c r="T293" s="99">
        <v>2</v>
      </c>
      <c r="U293" s="34" t="str">
        <f>IF(S292="","",IF(T292=T293,"〃",IF(T293=1,"素焼土管",IF(T293=2,"合成樹脂管",IF(T293=3,"無孔管","")))))</f>
        <v/>
      </c>
      <c r="V293" s="35"/>
      <c r="W293" s="100"/>
      <c r="X293" s="101"/>
      <c r="Y293" s="95"/>
      <c r="Z293" s="42"/>
      <c r="AA293" s="46"/>
      <c r="AB293" s="97"/>
      <c r="AC293" s="36" t="str">
        <f>IF(S292="","",IF(T293=1,0.013,0.012))</f>
        <v/>
      </c>
      <c r="AD293" s="37" t="str">
        <f>IF(S292="","",(1/AC293*(W293/100/2)^(8/3)*(1/AB292*100)^(1/2)*1.65696)*100)</f>
        <v/>
      </c>
      <c r="AE293" s="37" t="str">
        <f>IF(S292="","",1/AC293*(W293/100/2)^(2/3)*(1/AB292)^(1/2)*0.70541)</f>
        <v/>
      </c>
      <c r="AF293" s="37" t="str">
        <f>IF(S292="","",ROUNDDOWN(AD293/($U$3/8.64),3))</f>
        <v/>
      </c>
      <c r="AG293" s="38" t="str">
        <f>IF(S292="","",ROUNDDOWN(AF293*10000/$AJ$3,0))</f>
        <v/>
      </c>
      <c r="AH293" s="39" t="str">
        <f t="shared" ref="AH293" si="2398">IF(S292="","",IF(AG293&gt;AI292,"＞",IF(AG293=AI292,"=","＜")))</f>
        <v/>
      </c>
      <c r="AI293" s="42"/>
      <c r="AJ293" s="44"/>
      <c r="AK293" s="39" t="str">
        <f>IF(S292="","",IF(AND(T293=1,AE293&gt;1),"NG",IF(AH293="＞","OK","NG")))</f>
        <v/>
      </c>
    </row>
    <row r="294" spans="1:37" ht="15.75" customHeight="1" x14ac:dyDescent="0.15">
      <c r="A294" s="80"/>
      <c r="B294" s="81">
        <v>2</v>
      </c>
      <c r="C294" s="58" t="str">
        <f>IF(A294="","",IF(B294=1,"素　焼土　管",IF(B294=2,"合　成樹脂管",IF(B294=3,"無孔管",""))))</f>
        <v/>
      </c>
      <c r="D294" s="60"/>
      <c r="E294" s="82"/>
      <c r="F294" s="83"/>
      <c r="G294" s="83"/>
      <c r="H294" s="84"/>
      <c r="I294" s="53" t="str">
        <f>IF(A294="","",F294-G294+H294)</f>
        <v/>
      </c>
      <c r="J294" s="55" t="str">
        <f>IF(A294="",""," 1/")</f>
        <v/>
      </c>
      <c r="K294" s="85"/>
      <c r="L294" s="56" t="str">
        <f>IF(A294="","",IF(B294=1,0.013,0.012))</f>
        <v/>
      </c>
      <c r="M294" s="47" t="str">
        <f>IF(A294="","",(1/L294*(E294/100/2)^(8/3)*(1/K294*100)^(1/2)*1.65696)*100)</f>
        <v/>
      </c>
      <c r="N294" s="47" t="str">
        <f>IF(A294="","",1/L294*(E294/100/2)^(2/3)*(1/K294)^(1/2)*0.70541)</f>
        <v/>
      </c>
      <c r="O294" s="48" t="str">
        <f>IF(A294="","",ROUNDDOWN(M294/($U$3/8.64)*10000/$AJ$3,0))</f>
        <v/>
      </c>
      <c r="P294" s="49" t="str">
        <f>IF(A294="","",IF(O294&gt;Q294,"＞","＜"))</f>
        <v/>
      </c>
      <c r="Q294" s="48" t="str">
        <f>IF(A294="","",I294)</f>
        <v/>
      </c>
      <c r="R294" s="51" t="str">
        <f>IF(A294="","",IF(P294="＞","OK","NG"))</f>
        <v/>
      </c>
      <c r="S294" s="86"/>
      <c r="T294" s="87"/>
      <c r="U294" s="28" t="str">
        <f>IF(S294="","",IF(T294=1,"素焼土管",IF(T294=2,"合成樹脂管",IF(T294=3,"無孔管",""))))</f>
        <v/>
      </c>
      <c r="V294" s="29"/>
      <c r="W294" s="88"/>
      <c r="X294" s="89"/>
      <c r="Y294" s="90"/>
      <c r="Z294" s="41" t="str">
        <f>IF(S294="","",IF(AND(T295=3,I294=""),Z292+Y294,IF(AND(Z292="",I292=""),I294+Y294,IF(AND(T295=3,I294&gt;0,Z292&gt;0),I294+Z292+Y294,IF(Z292="",I292+I294+X294+Y294,IF(I294="",Z292+X294+Y294,Z292+I294+X294+Y294))))))</f>
        <v/>
      </c>
      <c r="AA294" s="45" t="str">
        <f>IF(AB294="",""," 1/")</f>
        <v/>
      </c>
      <c r="AB294" s="91"/>
      <c r="AC294" s="30" t="str">
        <f>IF(S294="","",IF(T294="","",IF(T294=1,0.013,0.012)))</f>
        <v/>
      </c>
      <c r="AD294" s="31" t="str">
        <f>IF(S294="","",IF(T294="","",(1/AC294*(W294/100/2)^(8/3)*(1/AB294*100)^(1/2)*1.65696)*100))</f>
        <v/>
      </c>
      <c r="AE294" s="31" t="str">
        <f>IF(S294="","",IF(T294="","",1/AC294*(W294/100/2)^(2/3)*(1/AB294)^(1/2)*0.70541))</f>
        <v/>
      </c>
      <c r="AF294" s="31" t="str">
        <f>IF(S294="","",IF(T294="","",ROUNDDOWN(AD294/($U$3/8.64),3)))</f>
        <v/>
      </c>
      <c r="AG294" s="32" t="str">
        <f>IF(S294="","",IF(T294="","",ROUNDDOWN(AF294*10000/$AJ$3,0)))</f>
        <v/>
      </c>
      <c r="AH294" s="33" t="str">
        <f t="shared" si="2385"/>
        <v/>
      </c>
      <c r="AI294" s="41" t="str">
        <f>IF(S294="","",Z294)</f>
        <v/>
      </c>
      <c r="AJ294" s="43" t="str">
        <f>IF(S294="","",AI294*$AJ$3/10000)</f>
        <v/>
      </c>
      <c r="AK294" s="33" t="str">
        <f>IF(S294="","",IF(T294="","",IF(AND(T294=1,AE294&gt;1),"NG",IF(AH294="＞","OK","NG"))))</f>
        <v/>
      </c>
    </row>
    <row r="295" spans="1:37" ht="15.75" customHeight="1" x14ac:dyDescent="0.15">
      <c r="A295" s="92"/>
      <c r="B295" s="93"/>
      <c r="C295" s="59"/>
      <c r="D295" s="61"/>
      <c r="E295" s="94"/>
      <c r="F295" s="95"/>
      <c r="G295" s="95"/>
      <c r="H295" s="96"/>
      <c r="I295" s="54"/>
      <c r="J295" s="46"/>
      <c r="K295" s="97"/>
      <c r="L295" s="57"/>
      <c r="M295" s="44"/>
      <c r="N295" s="44"/>
      <c r="O295" s="42"/>
      <c r="P295" s="50"/>
      <c r="Q295" s="42"/>
      <c r="R295" s="52"/>
      <c r="S295" s="98"/>
      <c r="T295" s="99">
        <v>2</v>
      </c>
      <c r="U295" s="34" t="str">
        <f>IF(S294="","",IF(T294=T295,"〃",IF(T295=1,"素焼土管",IF(T295=2,"合成樹脂管",IF(T295=3,"無孔管","")))))</f>
        <v/>
      </c>
      <c r="V295" s="35"/>
      <c r="W295" s="100"/>
      <c r="X295" s="101"/>
      <c r="Y295" s="95"/>
      <c r="Z295" s="42"/>
      <c r="AA295" s="46"/>
      <c r="AB295" s="97"/>
      <c r="AC295" s="36" t="str">
        <f>IF(S294="","",IF(T295=1,0.013,0.012))</f>
        <v/>
      </c>
      <c r="AD295" s="37" t="str">
        <f>IF(S294="","",(1/AC295*(W295/100/2)^(8/3)*(1/AB294*100)^(1/2)*1.65696)*100)</f>
        <v/>
      </c>
      <c r="AE295" s="37" t="str">
        <f>IF(S294="","",1/AC295*(W295/100/2)^(2/3)*(1/AB294)^(1/2)*0.70541)</f>
        <v/>
      </c>
      <c r="AF295" s="37" t="str">
        <f>IF(S294="","",ROUNDDOWN(AD295/($U$3/8.64),3))</f>
        <v/>
      </c>
      <c r="AG295" s="38" t="str">
        <f>IF(S294="","",ROUNDDOWN(AF295*10000/$AJ$3,0))</f>
        <v/>
      </c>
      <c r="AH295" s="39" t="str">
        <f t="shared" ref="AH295" si="2399">IF(S294="","",IF(AG295&gt;AI294,"＞",IF(AG295=AI294,"=","＜")))</f>
        <v/>
      </c>
      <c r="AI295" s="42"/>
      <c r="AJ295" s="44"/>
      <c r="AK295" s="39" t="str">
        <f>IF(S294="","",IF(AND(T295=1,AE295&gt;1),"NG",IF(AH295="＞","OK","NG")))</f>
        <v/>
      </c>
    </row>
    <row r="296" spans="1:37" ht="15.75" customHeight="1" x14ac:dyDescent="0.15">
      <c r="A296" s="80"/>
      <c r="B296" s="81">
        <v>2</v>
      </c>
      <c r="C296" s="58" t="str">
        <f>IF(A296="","",IF(B296=1,"素　焼土　管",IF(B296=2,"合　成樹脂管",IF(B296=3,"無孔管",""))))</f>
        <v/>
      </c>
      <c r="D296" s="60"/>
      <c r="E296" s="82"/>
      <c r="F296" s="83"/>
      <c r="G296" s="83"/>
      <c r="H296" s="84"/>
      <c r="I296" s="53" t="str">
        <f>IF(A296="","",F296-G296+H296)</f>
        <v/>
      </c>
      <c r="J296" s="55" t="str">
        <f>IF(A296="",""," 1/")</f>
        <v/>
      </c>
      <c r="K296" s="85"/>
      <c r="L296" s="56" t="str">
        <f>IF(A296="","",IF(B296=1,0.013,0.012))</f>
        <v/>
      </c>
      <c r="M296" s="47" t="str">
        <f>IF(A296="","",(1/L296*(E296/100/2)^(8/3)*(1/K296*100)^(1/2)*1.65696)*100)</f>
        <v/>
      </c>
      <c r="N296" s="47" t="str">
        <f>IF(A296="","",1/L296*(E296/100/2)^(2/3)*(1/K296)^(1/2)*0.70541)</f>
        <v/>
      </c>
      <c r="O296" s="48" t="str">
        <f>IF(A296="","",ROUNDDOWN(M296/($U$3/8.64)*10000/$AJ$3,0))</f>
        <v/>
      </c>
      <c r="P296" s="49" t="str">
        <f>IF(A296="","",IF(O296&gt;Q296,"＞","＜"))</f>
        <v/>
      </c>
      <c r="Q296" s="48" t="str">
        <f>IF(A296="","",I296)</f>
        <v/>
      </c>
      <c r="R296" s="51" t="str">
        <f>IF(A296="","",IF(P296="＞","OK","NG"))</f>
        <v/>
      </c>
      <c r="S296" s="86"/>
      <c r="T296" s="87"/>
      <c r="U296" s="28" t="str">
        <f>IF(S296="","",IF(T296=1,"素焼土管",IF(T296=2,"合成樹脂管",IF(T296=3,"無孔管",""))))</f>
        <v/>
      </c>
      <c r="V296" s="29"/>
      <c r="W296" s="88"/>
      <c r="X296" s="89"/>
      <c r="Y296" s="90"/>
      <c r="Z296" s="41" t="str">
        <f>IF(S296="","",IF(AND(T297=3,I296=""),Z294+Y296,IF(AND(Z294="",I294=""),I296+Y296,IF(AND(T297=3,I296&gt;0,Z294&gt;0),I296+Z294+Y296,IF(Z294="",I294+I296+X296+Y296,IF(I296="",Z294+X296+Y296,Z294+I296+X296+Y296))))))</f>
        <v/>
      </c>
      <c r="AA296" s="45" t="str">
        <f>IF(AB296="",""," 1/")</f>
        <v/>
      </c>
      <c r="AB296" s="91"/>
      <c r="AC296" s="30" t="str">
        <f>IF(S296="","",IF(T296="","",IF(T296=1,0.013,0.012)))</f>
        <v/>
      </c>
      <c r="AD296" s="31" t="str">
        <f>IF(S296="","",IF(T296="","",(1/AC296*(W296/100/2)^(8/3)*(1/AB296*100)^(1/2)*1.65696)*100))</f>
        <v/>
      </c>
      <c r="AE296" s="31" t="str">
        <f>IF(S296="","",IF(T296="","",1/AC296*(W296/100/2)^(2/3)*(1/AB296)^(1/2)*0.70541))</f>
        <v/>
      </c>
      <c r="AF296" s="31" t="str">
        <f>IF(S296="","",IF(T296="","",ROUNDDOWN(AD296/($U$3/8.64),3)))</f>
        <v/>
      </c>
      <c r="AG296" s="32" t="str">
        <f>IF(S296="","",IF(T296="","",ROUNDDOWN(AF296*10000/$AJ$3,0)))</f>
        <v/>
      </c>
      <c r="AH296" s="33" t="str">
        <f t="shared" si="2385"/>
        <v/>
      </c>
      <c r="AI296" s="41" t="str">
        <f>IF(S296="","",Z296)</f>
        <v/>
      </c>
      <c r="AJ296" s="43" t="str">
        <f>IF(S296="","",AI296*$AJ$3/10000)</f>
        <v/>
      </c>
      <c r="AK296" s="33" t="str">
        <f>IF(S296="","",IF(T296="","",IF(AND(T296=1,AE296&gt;1),"NG",IF(AH296="＞","OK","NG"))))</f>
        <v/>
      </c>
    </row>
    <row r="297" spans="1:37" ht="15.75" customHeight="1" x14ac:dyDescent="0.15">
      <c r="A297" s="92"/>
      <c r="B297" s="93"/>
      <c r="C297" s="59"/>
      <c r="D297" s="61"/>
      <c r="E297" s="94"/>
      <c r="F297" s="95"/>
      <c r="G297" s="95"/>
      <c r="H297" s="96"/>
      <c r="I297" s="54"/>
      <c r="J297" s="46"/>
      <c r="K297" s="97"/>
      <c r="L297" s="57"/>
      <c r="M297" s="44"/>
      <c r="N297" s="44"/>
      <c r="O297" s="42"/>
      <c r="P297" s="50"/>
      <c r="Q297" s="42"/>
      <c r="R297" s="52"/>
      <c r="S297" s="98"/>
      <c r="T297" s="99">
        <v>2</v>
      </c>
      <c r="U297" s="34" t="str">
        <f>IF(S296="","",IF(T296=T297,"〃",IF(T297=1,"素焼土管",IF(T297=2,"合成樹脂管",IF(T297=3,"無孔管","")))))</f>
        <v/>
      </c>
      <c r="V297" s="35"/>
      <c r="W297" s="100"/>
      <c r="X297" s="101"/>
      <c r="Y297" s="95"/>
      <c r="Z297" s="42"/>
      <c r="AA297" s="46"/>
      <c r="AB297" s="97"/>
      <c r="AC297" s="36" t="str">
        <f>IF(S296="","",IF(T297=1,0.013,0.012))</f>
        <v/>
      </c>
      <c r="AD297" s="37" t="str">
        <f>IF(S296="","",(1/AC297*(W297/100/2)^(8/3)*(1/AB296*100)^(1/2)*1.65696)*100)</f>
        <v/>
      </c>
      <c r="AE297" s="37" t="str">
        <f>IF(S296="","",1/AC297*(W297/100/2)^(2/3)*(1/AB296)^(1/2)*0.70541)</f>
        <v/>
      </c>
      <c r="AF297" s="37" t="str">
        <f>IF(S296="","",ROUNDDOWN(AD297/($U$3/8.64),3))</f>
        <v/>
      </c>
      <c r="AG297" s="38" t="str">
        <f>IF(S296="","",ROUNDDOWN(AF297*10000/$AJ$3,0))</f>
        <v/>
      </c>
      <c r="AH297" s="39" t="str">
        <f t="shared" ref="AH297" si="2400">IF(S296="","",IF(AG297&gt;AI296,"＞",IF(AG297=AI296,"=","＜")))</f>
        <v/>
      </c>
      <c r="AI297" s="42"/>
      <c r="AJ297" s="44"/>
      <c r="AK297" s="39" t="str">
        <f>IF(S296="","",IF(AND(T297=1,AE297&gt;1),"NG",IF(AH297="＞","OK","NG")))</f>
        <v/>
      </c>
    </row>
    <row r="298" spans="1:37" ht="15.75" customHeight="1" x14ac:dyDescent="0.15">
      <c r="A298" s="80"/>
      <c r="B298" s="81">
        <v>2</v>
      </c>
      <c r="C298" s="58" t="str">
        <f>IF(A298="","",IF(B298=1,"素　焼土　管",IF(B298=2,"合　成樹脂管",IF(B298=3,"無孔管",""))))</f>
        <v/>
      </c>
      <c r="D298" s="60"/>
      <c r="E298" s="82"/>
      <c r="F298" s="83"/>
      <c r="G298" s="83"/>
      <c r="H298" s="84"/>
      <c r="I298" s="53" t="str">
        <f>IF(A298="","",F298-G298+H298)</f>
        <v/>
      </c>
      <c r="J298" s="55" t="str">
        <f>IF(A298="",""," 1/")</f>
        <v/>
      </c>
      <c r="K298" s="85"/>
      <c r="L298" s="56" t="str">
        <f>IF(A298="","",IF(B298=1,0.013,0.012))</f>
        <v/>
      </c>
      <c r="M298" s="47" t="str">
        <f>IF(A298="","",(1/L298*(E298/100/2)^(8/3)*(1/K298*100)^(1/2)*1.65696)*100)</f>
        <v/>
      </c>
      <c r="N298" s="47" t="str">
        <f>IF(A298="","",1/L298*(E298/100/2)^(2/3)*(1/K298)^(1/2)*0.70541)</f>
        <v/>
      </c>
      <c r="O298" s="48" t="str">
        <f>IF(A298="","",ROUNDDOWN(M298/($U$3/8.64)*10000/$AJ$3,0))</f>
        <v/>
      </c>
      <c r="P298" s="49" t="str">
        <f>IF(A298="","",IF(O298&gt;Q298,"＞","＜"))</f>
        <v/>
      </c>
      <c r="Q298" s="48" t="str">
        <f>IF(A298="","",I298)</f>
        <v/>
      </c>
      <c r="R298" s="51" t="str">
        <f>IF(A298="","",IF(P298="＞","OK","NG"))</f>
        <v/>
      </c>
      <c r="S298" s="86"/>
      <c r="T298" s="87"/>
      <c r="U298" s="28" t="str">
        <f>IF(S298="","",IF(T298=1,"素焼土管",IF(T298=2,"合成樹脂管",IF(T298=3,"無孔管",""))))</f>
        <v/>
      </c>
      <c r="V298" s="29"/>
      <c r="W298" s="88"/>
      <c r="X298" s="89"/>
      <c r="Y298" s="90"/>
      <c r="Z298" s="41" t="str">
        <f>IF(S298="","",IF(AND(T299=3,I298=""),Z296+Y298,IF(AND(Z296="",I296=""),I298+Y298,IF(AND(T299=3,I298&gt;0,Z296&gt;0),I298+Z296+Y298,IF(Z296="",I296+I298+X298+Y298,IF(I298="",Z296+X298+Y298,Z296+I298+X298+Y298))))))</f>
        <v/>
      </c>
      <c r="AA298" s="45" t="str">
        <f>IF(AB298="",""," 1/")</f>
        <v/>
      </c>
      <c r="AB298" s="91"/>
      <c r="AC298" s="30" t="str">
        <f>IF(S298="","",IF(T298="","",IF(T298=1,0.013,0.012)))</f>
        <v/>
      </c>
      <c r="AD298" s="31" t="str">
        <f>IF(S298="","",IF(T298="","",(1/AC298*(W298/100/2)^(8/3)*(1/AB298*100)^(1/2)*1.65696)*100))</f>
        <v/>
      </c>
      <c r="AE298" s="31" t="str">
        <f>IF(S298="","",IF(T298="","",1/AC298*(W298/100/2)^(2/3)*(1/AB298)^(1/2)*0.70541))</f>
        <v/>
      </c>
      <c r="AF298" s="31" t="str">
        <f>IF(S298="","",IF(T298="","",ROUNDDOWN(AD298/($U$3/8.64),3)))</f>
        <v/>
      </c>
      <c r="AG298" s="32" t="str">
        <f>IF(S298="","",IF(T298="","",ROUNDDOWN(AF298*10000/$AJ$3,0)))</f>
        <v/>
      </c>
      <c r="AH298" s="33" t="str">
        <f t="shared" si="2385"/>
        <v/>
      </c>
      <c r="AI298" s="41" t="str">
        <f>IF(S298="","",Z298)</f>
        <v/>
      </c>
      <c r="AJ298" s="43" t="str">
        <f>IF(S298="","",AI298*$AJ$3/10000)</f>
        <v/>
      </c>
      <c r="AK298" s="33" t="str">
        <f>IF(S298="","",IF(T298="","",IF(AND(T298=1,AE298&gt;1),"NG",IF(AH298="＞","OK","NG"))))</f>
        <v/>
      </c>
    </row>
    <row r="299" spans="1:37" ht="15.75" customHeight="1" x14ac:dyDescent="0.15">
      <c r="A299" s="92"/>
      <c r="B299" s="93"/>
      <c r="C299" s="59"/>
      <c r="D299" s="61"/>
      <c r="E299" s="94"/>
      <c r="F299" s="95"/>
      <c r="G299" s="95"/>
      <c r="H299" s="96"/>
      <c r="I299" s="54"/>
      <c r="J299" s="46"/>
      <c r="K299" s="97"/>
      <c r="L299" s="57"/>
      <c r="M299" s="44"/>
      <c r="N299" s="44"/>
      <c r="O299" s="42"/>
      <c r="P299" s="50"/>
      <c r="Q299" s="42"/>
      <c r="R299" s="52"/>
      <c r="S299" s="98"/>
      <c r="T299" s="99">
        <v>2</v>
      </c>
      <c r="U299" s="34" t="str">
        <f>IF(S298="","",IF(T298=T299,"〃",IF(T299=1,"素焼土管",IF(T299=2,"合成樹脂管",IF(T299=3,"無孔管","")))))</f>
        <v/>
      </c>
      <c r="V299" s="35"/>
      <c r="W299" s="100"/>
      <c r="X299" s="101"/>
      <c r="Y299" s="95"/>
      <c r="Z299" s="42"/>
      <c r="AA299" s="46"/>
      <c r="AB299" s="97"/>
      <c r="AC299" s="36" t="str">
        <f>IF(S298="","",IF(T299=1,0.013,0.012))</f>
        <v/>
      </c>
      <c r="AD299" s="37" t="str">
        <f>IF(S298="","",(1/AC299*(W299/100/2)^(8/3)*(1/AB298*100)^(1/2)*1.65696)*100)</f>
        <v/>
      </c>
      <c r="AE299" s="37" t="str">
        <f>IF(S298="","",1/AC299*(W299/100/2)^(2/3)*(1/AB298)^(1/2)*0.70541)</f>
        <v/>
      </c>
      <c r="AF299" s="37" t="str">
        <f>IF(S298="","",ROUNDDOWN(AD299/($U$3/8.64),3))</f>
        <v/>
      </c>
      <c r="AG299" s="38" t="str">
        <f>IF(S298="","",ROUNDDOWN(AF299*10000/$AJ$3,0))</f>
        <v/>
      </c>
      <c r="AH299" s="39" t="str">
        <f t="shared" ref="AH299" si="2401">IF(S298="","",IF(AG299&gt;AI298,"＞",IF(AG299=AI298,"=","＜")))</f>
        <v/>
      </c>
      <c r="AI299" s="42"/>
      <c r="AJ299" s="44"/>
      <c r="AK299" s="39" t="str">
        <f>IF(S298="","",IF(AND(T299=1,AE299&gt;1),"NG",IF(AH299="＞","OK","NG")))</f>
        <v/>
      </c>
    </row>
    <row r="300" spans="1:37" ht="15.75" customHeight="1" x14ac:dyDescent="0.15">
      <c r="A300" s="80"/>
      <c r="B300" s="81">
        <v>2</v>
      </c>
      <c r="C300" s="58" t="str">
        <f>IF(A300="","",IF(B300=1,"素　焼土　管",IF(B300=2,"合　成樹脂管",IF(B300=3,"無孔管",""))))</f>
        <v/>
      </c>
      <c r="D300" s="60"/>
      <c r="E300" s="82"/>
      <c r="F300" s="83"/>
      <c r="G300" s="83"/>
      <c r="H300" s="84"/>
      <c r="I300" s="53" t="str">
        <f>IF(A300="","",F300-G300+H300)</f>
        <v/>
      </c>
      <c r="J300" s="55" t="str">
        <f>IF(A300="",""," 1/")</f>
        <v/>
      </c>
      <c r="K300" s="85"/>
      <c r="L300" s="56" t="str">
        <f>IF(A300="","",IF(B300=1,0.013,0.012))</f>
        <v/>
      </c>
      <c r="M300" s="47" t="str">
        <f>IF(A300="","",(1/L300*(E300/100/2)^(8/3)*(1/K300*100)^(1/2)*1.65696)*100)</f>
        <v/>
      </c>
      <c r="N300" s="47" t="str">
        <f>IF(A300="","",1/L300*(E300/100/2)^(2/3)*(1/K300)^(1/2)*0.70541)</f>
        <v/>
      </c>
      <c r="O300" s="48" t="str">
        <f>IF(A300="","",ROUNDDOWN(M300/($U$3/8.64)*10000/$AJ$3,0))</f>
        <v/>
      </c>
      <c r="P300" s="49" t="str">
        <f>IF(A300="","",IF(O300&gt;Q300,"＞","＜"))</f>
        <v/>
      </c>
      <c r="Q300" s="48" t="str">
        <f>IF(A300="","",I300)</f>
        <v/>
      </c>
      <c r="R300" s="51" t="str">
        <f>IF(A300="","",IF(P300="＞","OK","NG"))</f>
        <v/>
      </c>
      <c r="S300" s="86"/>
      <c r="T300" s="87"/>
      <c r="U300" s="28" t="str">
        <f>IF(S300="","",IF(T300=1,"素焼土管",IF(T300=2,"合成樹脂管",IF(T300=3,"無孔管",""))))</f>
        <v/>
      </c>
      <c r="V300" s="29"/>
      <c r="W300" s="88"/>
      <c r="X300" s="89"/>
      <c r="Y300" s="90"/>
      <c r="Z300" s="41" t="str">
        <f>IF(S300="","",IF(AND(T301=3,I300=""),Z298+Y300,IF(AND(Z298="",I298=""),I300+Y300,IF(AND(T301=3,I300&gt;0,Z298&gt;0),I300+Z298+Y300,IF(Z298="",I298+I300+X300+Y300,IF(I300="",Z298+X300+Y300,Z298+I300+X300+Y300))))))</f>
        <v/>
      </c>
      <c r="AA300" s="45" t="str">
        <f>IF(AB300="",""," 1/")</f>
        <v/>
      </c>
      <c r="AB300" s="91"/>
      <c r="AC300" s="30" t="str">
        <f>IF(S300="","",IF(T300="","",IF(T300=1,0.013,0.012)))</f>
        <v/>
      </c>
      <c r="AD300" s="31" t="str">
        <f>IF(S300="","",IF(T300="","",(1/AC300*(W300/100/2)^(8/3)*(1/AB300*100)^(1/2)*1.65696)*100))</f>
        <v/>
      </c>
      <c r="AE300" s="31" t="str">
        <f>IF(S300="","",IF(T300="","",1/AC300*(W300/100/2)^(2/3)*(1/AB300)^(1/2)*0.70541))</f>
        <v/>
      </c>
      <c r="AF300" s="31" t="str">
        <f>IF(S300="","",IF(T300="","",ROUNDDOWN(AD300/($U$3/8.64),3)))</f>
        <v/>
      </c>
      <c r="AG300" s="32" t="str">
        <f>IF(S300="","",IF(T300="","",ROUNDDOWN(AF300*10000/$AJ$3,0)))</f>
        <v/>
      </c>
      <c r="AH300" s="33" t="str">
        <f t="shared" si="2385"/>
        <v/>
      </c>
      <c r="AI300" s="41" t="str">
        <f>IF(S300="","",Z300)</f>
        <v/>
      </c>
      <c r="AJ300" s="43" t="str">
        <f>IF(S300="","",AI300*$AJ$3/10000)</f>
        <v/>
      </c>
      <c r="AK300" s="33" t="str">
        <f>IF(S300="","",IF(T300="","",IF(AND(T300=1,AE300&gt;1),"NG",IF(AH300="＞","OK","NG"))))</f>
        <v/>
      </c>
    </row>
    <row r="301" spans="1:37" ht="15.75" customHeight="1" x14ac:dyDescent="0.15">
      <c r="A301" s="92"/>
      <c r="B301" s="93"/>
      <c r="C301" s="59"/>
      <c r="D301" s="61"/>
      <c r="E301" s="94"/>
      <c r="F301" s="95"/>
      <c r="G301" s="95"/>
      <c r="H301" s="96"/>
      <c r="I301" s="54"/>
      <c r="J301" s="46"/>
      <c r="K301" s="97"/>
      <c r="L301" s="57"/>
      <c r="M301" s="44"/>
      <c r="N301" s="44"/>
      <c r="O301" s="42"/>
      <c r="P301" s="50"/>
      <c r="Q301" s="42"/>
      <c r="R301" s="52"/>
      <c r="S301" s="98"/>
      <c r="T301" s="99">
        <v>2</v>
      </c>
      <c r="U301" s="34" t="str">
        <f>IF(S300="","",IF(T300=T301,"〃",IF(T301=1,"素焼土管",IF(T301=2,"合成樹脂管",IF(T301=3,"無孔管","")))))</f>
        <v/>
      </c>
      <c r="V301" s="35"/>
      <c r="W301" s="100"/>
      <c r="X301" s="101"/>
      <c r="Y301" s="95"/>
      <c r="Z301" s="42"/>
      <c r="AA301" s="46"/>
      <c r="AB301" s="97"/>
      <c r="AC301" s="36" t="str">
        <f>IF(S300="","",IF(T301=1,0.013,0.012))</f>
        <v/>
      </c>
      <c r="AD301" s="37" t="str">
        <f>IF(S300="","",(1/AC301*(W301/100/2)^(8/3)*(1/AB300*100)^(1/2)*1.65696)*100)</f>
        <v/>
      </c>
      <c r="AE301" s="37" t="str">
        <f>IF(S300="","",1/AC301*(W301/100/2)^(2/3)*(1/AB300)^(1/2)*0.70541)</f>
        <v/>
      </c>
      <c r="AF301" s="37" t="str">
        <f>IF(S300="","",ROUNDDOWN(AD301/($U$3/8.64),3))</f>
        <v/>
      </c>
      <c r="AG301" s="38" t="str">
        <f>IF(S300="","",ROUNDDOWN(AF301*10000/$AJ$3,0))</f>
        <v/>
      </c>
      <c r="AH301" s="39" t="str">
        <f t="shared" ref="AH301" si="2402">IF(S300="","",IF(AG301&gt;AI300,"＞",IF(AG301=AI300,"=","＜")))</f>
        <v/>
      </c>
      <c r="AI301" s="42"/>
      <c r="AJ301" s="44"/>
      <c r="AK301" s="39" t="str">
        <f>IF(S300="","",IF(AND(T301=1,AE301&gt;1),"NG",IF(AH301="＞","OK","NG")))</f>
        <v/>
      </c>
    </row>
    <row r="302" spans="1:37" ht="15.75" customHeight="1" x14ac:dyDescent="0.15">
      <c r="A302" s="80"/>
      <c r="B302" s="81">
        <v>2</v>
      </c>
      <c r="C302" s="58" t="str">
        <f>IF(A302="","",IF(B302=1,"素　焼土　管",IF(B302=2,"合　成樹脂管",IF(B302=3,"無孔管",""))))</f>
        <v/>
      </c>
      <c r="D302" s="60"/>
      <c r="E302" s="82"/>
      <c r="F302" s="83"/>
      <c r="G302" s="83"/>
      <c r="H302" s="84"/>
      <c r="I302" s="53" t="str">
        <f>IF(A302="","",F302-G302+H302)</f>
        <v/>
      </c>
      <c r="J302" s="55" t="str">
        <f>IF(A302="",""," 1/")</f>
        <v/>
      </c>
      <c r="K302" s="85"/>
      <c r="L302" s="56" t="str">
        <f>IF(A302="","",IF(B302=1,0.013,0.012))</f>
        <v/>
      </c>
      <c r="M302" s="47" t="str">
        <f>IF(A302="","",(1/L302*(E302/100/2)^(8/3)*(1/K302*100)^(1/2)*1.65696)*100)</f>
        <v/>
      </c>
      <c r="N302" s="47" t="str">
        <f>IF(A302="","",1/L302*(E302/100/2)^(2/3)*(1/K302)^(1/2)*0.70541)</f>
        <v/>
      </c>
      <c r="O302" s="48" t="str">
        <f>IF(A302="","",ROUNDDOWN(M302/($U$3/8.64)*10000/$AJ$3,0))</f>
        <v/>
      </c>
      <c r="P302" s="49" t="str">
        <f>IF(A302="","",IF(O302&gt;Q302,"＞","＜"))</f>
        <v/>
      </c>
      <c r="Q302" s="48" t="str">
        <f>IF(A302="","",I302)</f>
        <v/>
      </c>
      <c r="R302" s="51" t="str">
        <f>IF(A302="","",IF(P302="＞","OK","NG"))</f>
        <v/>
      </c>
      <c r="S302" s="86"/>
      <c r="T302" s="87"/>
      <c r="U302" s="28" t="str">
        <f>IF(S302="","",IF(T302=1,"素焼土管",IF(T302=2,"合成樹脂管",IF(T302=3,"無孔管",""))))</f>
        <v/>
      </c>
      <c r="V302" s="29"/>
      <c r="W302" s="88"/>
      <c r="X302" s="89"/>
      <c r="Y302" s="90"/>
      <c r="Z302" s="41" t="str">
        <f>IF(S302="","",IF(AND(T303=3,I302=""),Z300+Y302,IF(AND(Z300="",I300=""),I302+Y302,IF(AND(T303=3,I302&gt;0,Z300&gt;0),I302+Z300+Y302,IF(Z300="",I300+I302+X302+Y302,IF(I302="",Z300+X302+Y302,Z300+I302+X302+Y302))))))</f>
        <v/>
      </c>
      <c r="AA302" s="45" t="str">
        <f>IF(AB302="",""," 1/")</f>
        <v/>
      </c>
      <c r="AB302" s="91"/>
      <c r="AC302" s="30" t="str">
        <f>IF(S302="","",IF(T302="","",IF(T302=1,0.013,0.012)))</f>
        <v/>
      </c>
      <c r="AD302" s="31" t="str">
        <f>IF(S302="","",IF(T302="","",(1/AC302*(W302/100/2)^(8/3)*(1/AB302*100)^(1/2)*1.65696)*100))</f>
        <v/>
      </c>
      <c r="AE302" s="31" t="str">
        <f>IF(S302="","",IF(T302="","",1/AC302*(W302/100/2)^(2/3)*(1/AB302)^(1/2)*0.70541))</f>
        <v/>
      </c>
      <c r="AF302" s="31" t="str">
        <f>IF(S302="","",IF(T302="","",ROUNDDOWN(AD302/($U$3/8.64),3)))</f>
        <v/>
      </c>
      <c r="AG302" s="32" t="str">
        <f>IF(S302="","",IF(T302="","",ROUNDDOWN(AF302*10000/$AJ$3,0)))</f>
        <v/>
      </c>
      <c r="AH302" s="33" t="str">
        <f t="shared" si="2385"/>
        <v/>
      </c>
      <c r="AI302" s="41" t="str">
        <f>IF(S302="","",Z302)</f>
        <v/>
      </c>
      <c r="AJ302" s="43" t="str">
        <f>IF(S302="","",AI302*$AJ$3/10000)</f>
        <v/>
      </c>
      <c r="AK302" s="33" t="str">
        <f>IF(S302="","",IF(T302="","",IF(AND(T302=1,AE302&gt;1),"NG",IF(AH302="＞","OK","NG"))))</f>
        <v/>
      </c>
    </row>
    <row r="303" spans="1:37" ht="15.75" customHeight="1" x14ac:dyDescent="0.15">
      <c r="A303" s="92"/>
      <c r="B303" s="93"/>
      <c r="C303" s="59"/>
      <c r="D303" s="61"/>
      <c r="E303" s="94"/>
      <c r="F303" s="95"/>
      <c r="G303" s="95"/>
      <c r="H303" s="96"/>
      <c r="I303" s="54"/>
      <c r="J303" s="46"/>
      <c r="K303" s="97"/>
      <c r="L303" s="57"/>
      <c r="M303" s="44"/>
      <c r="N303" s="44"/>
      <c r="O303" s="42"/>
      <c r="P303" s="50"/>
      <c r="Q303" s="42"/>
      <c r="R303" s="52"/>
      <c r="S303" s="98"/>
      <c r="T303" s="99">
        <v>2</v>
      </c>
      <c r="U303" s="34" t="str">
        <f>IF(S302="","",IF(T302=T303,"〃",IF(T303=1,"素焼土管",IF(T303=2,"合成樹脂管",IF(T303=3,"無孔管","")))))</f>
        <v/>
      </c>
      <c r="V303" s="35"/>
      <c r="W303" s="100"/>
      <c r="X303" s="101"/>
      <c r="Y303" s="95"/>
      <c r="Z303" s="42"/>
      <c r="AA303" s="46"/>
      <c r="AB303" s="97"/>
      <c r="AC303" s="36" t="str">
        <f>IF(S302="","",IF(T303=1,0.013,0.012))</f>
        <v/>
      </c>
      <c r="AD303" s="37" t="str">
        <f>IF(S302="","",(1/AC303*(W303/100/2)^(8/3)*(1/AB302*100)^(1/2)*1.65696)*100)</f>
        <v/>
      </c>
      <c r="AE303" s="37" t="str">
        <f>IF(S302="","",1/AC303*(W303/100/2)^(2/3)*(1/AB302)^(1/2)*0.70541)</f>
        <v/>
      </c>
      <c r="AF303" s="37" t="str">
        <f>IF(S302="","",ROUNDDOWN(AD303/($U$3/8.64),3))</f>
        <v/>
      </c>
      <c r="AG303" s="38" t="str">
        <f>IF(S302="","",ROUNDDOWN(AF303*10000/$AJ$3,0))</f>
        <v/>
      </c>
      <c r="AH303" s="39" t="str">
        <f t="shared" ref="AH303" si="2403">IF(S302="","",IF(AG303&gt;AI302,"＞",IF(AG303=AI302,"=","＜")))</f>
        <v/>
      </c>
      <c r="AI303" s="42"/>
      <c r="AJ303" s="44"/>
      <c r="AK303" s="39" t="str">
        <f>IF(S302="","",IF(AND(T303=1,AE303&gt;1),"NG",IF(AH303="＞","OK","NG")))</f>
        <v/>
      </c>
    </row>
    <row r="304" spans="1:37" ht="15.75" customHeight="1" x14ac:dyDescent="0.15">
      <c r="A304" s="80"/>
      <c r="B304" s="81">
        <v>2</v>
      </c>
      <c r="C304" s="58" t="str">
        <f>IF(A304="","",IF(B304=1,"素　焼土　管",IF(B304=2,"合　成樹脂管",IF(B304=3,"無孔管",""))))</f>
        <v/>
      </c>
      <c r="D304" s="60"/>
      <c r="E304" s="82"/>
      <c r="F304" s="83"/>
      <c r="G304" s="83"/>
      <c r="H304" s="84"/>
      <c r="I304" s="53" t="str">
        <f>IF(A304="","",F304-G304+H304)</f>
        <v/>
      </c>
      <c r="J304" s="55" t="str">
        <f>IF(A304="",""," 1/")</f>
        <v/>
      </c>
      <c r="K304" s="85"/>
      <c r="L304" s="56" t="str">
        <f>IF(A304="","",IF(B304=1,0.013,0.012))</f>
        <v/>
      </c>
      <c r="M304" s="47" t="str">
        <f>IF(A304="","",(1/L304*(E304/100/2)^(8/3)*(1/K304*100)^(1/2)*1.65696)*100)</f>
        <v/>
      </c>
      <c r="N304" s="47" t="str">
        <f>IF(A304="","",1/L304*(E304/100/2)^(2/3)*(1/K304)^(1/2)*0.70541)</f>
        <v/>
      </c>
      <c r="O304" s="48" t="str">
        <f>IF(A304="","",ROUNDDOWN(M304/($U$3/8.64)*10000/$AJ$3,0))</f>
        <v/>
      </c>
      <c r="P304" s="49" t="str">
        <f>IF(A304="","",IF(O304&gt;Q304,"＞","＜"))</f>
        <v/>
      </c>
      <c r="Q304" s="48" t="str">
        <f>IF(A304="","",I304)</f>
        <v/>
      </c>
      <c r="R304" s="51" t="str">
        <f>IF(A304="","",IF(P304="＞","OK","NG"))</f>
        <v/>
      </c>
      <c r="S304" s="86"/>
      <c r="T304" s="87"/>
      <c r="U304" s="28" t="str">
        <f>IF(S304="","",IF(T304=1,"素焼土管",IF(T304=2,"合成樹脂管",IF(T304=3,"無孔管",""))))</f>
        <v/>
      </c>
      <c r="V304" s="29"/>
      <c r="W304" s="88"/>
      <c r="X304" s="89"/>
      <c r="Y304" s="90"/>
      <c r="Z304" s="41" t="str">
        <f>IF(S304="","",IF(AND(T305=3,I304=""),Z302+Y304,IF(AND(Z302="",I302=""),I304+Y304,IF(AND(T305=3,I304&gt;0,Z302&gt;0),I304+Z302+Y304,IF(Z302="",I302+I304+X304+Y304,IF(I304="",Z302+X304+Y304,Z302+I304+X304+Y304))))))</f>
        <v/>
      </c>
      <c r="AA304" s="45" t="str">
        <f>IF(AB304="",""," 1/")</f>
        <v/>
      </c>
      <c r="AB304" s="91"/>
      <c r="AC304" s="30" t="str">
        <f>IF(S304="","",IF(T304="","",IF(T304=1,0.013,0.012)))</f>
        <v/>
      </c>
      <c r="AD304" s="31" t="str">
        <f>IF(S304="","",IF(T304="","",(1/AC304*(W304/100/2)^(8/3)*(1/AB304*100)^(1/2)*1.65696)*100))</f>
        <v/>
      </c>
      <c r="AE304" s="31" t="str">
        <f>IF(S304="","",IF(T304="","",1/AC304*(W304/100/2)^(2/3)*(1/AB304)^(1/2)*0.70541))</f>
        <v/>
      </c>
      <c r="AF304" s="31" t="str">
        <f>IF(S304="","",IF(T304="","",ROUNDDOWN(AD304/($U$3/8.64),3)))</f>
        <v/>
      </c>
      <c r="AG304" s="32" t="str">
        <f>IF(S304="","",IF(T304="","",ROUNDDOWN(AF304*10000/$AJ$3,0)))</f>
        <v/>
      </c>
      <c r="AH304" s="33" t="str">
        <f t="shared" si="2385"/>
        <v/>
      </c>
      <c r="AI304" s="41" t="str">
        <f>IF(S304="","",Z304)</f>
        <v/>
      </c>
      <c r="AJ304" s="43" t="str">
        <f>IF(S304="","",AI304*$AJ$3/10000)</f>
        <v/>
      </c>
      <c r="AK304" s="33" t="str">
        <f>IF(S304="","",IF(T304="","",IF(AND(T304=1,AE304&gt;1),"NG",IF(AH304="＞","OK","NG"))))</f>
        <v/>
      </c>
    </row>
    <row r="305" spans="1:37" ht="15.75" customHeight="1" x14ac:dyDescent="0.15">
      <c r="A305" s="92"/>
      <c r="B305" s="93"/>
      <c r="C305" s="59"/>
      <c r="D305" s="61"/>
      <c r="E305" s="94"/>
      <c r="F305" s="95"/>
      <c r="G305" s="95"/>
      <c r="H305" s="96"/>
      <c r="I305" s="54"/>
      <c r="J305" s="46"/>
      <c r="K305" s="97"/>
      <c r="L305" s="57"/>
      <c r="M305" s="44"/>
      <c r="N305" s="44"/>
      <c r="O305" s="42"/>
      <c r="P305" s="50"/>
      <c r="Q305" s="42"/>
      <c r="R305" s="52"/>
      <c r="S305" s="98"/>
      <c r="T305" s="99">
        <v>2</v>
      </c>
      <c r="U305" s="34" t="str">
        <f>IF(S304="","",IF(T304=T305,"〃",IF(T305=1,"素焼土管",IF(T305=2,"合成樹脂管",IF(T305=3,"無孔管","")))))</f>
        <v/>
      </c>
      <c r="V305" s="35"/>
      <c r="W305" s="100"/>
      <c r="X305" s="101"/>
      <c r="Y305" s="95"/>
      <c r="Z305" s="42"/>
      <c r="AA305" s="46"/>
      <c r="AB305" s="97"/>
      <c r="AC305" s="36" t="str">
        <f>IF(S304="","",IF(T305=1,0.013,0.012))</f>
        <v/>
      </c>
      <c r="AD305" s="37" t="str">
        <f>IF(S304="","",(1/AC305*(W305/100/2)^(8/3)*(1/AB304*100)^(1/2)*1.65696)*100)</f>
        <v/>
      </c>
      <c r="AE305" s="37" t="str">
        <f>IF(S304="","",1/AC305*(W305/100/2)^(2/3)*(1/AB304)^(1/2)*0.70541)</f>
        <v/>
      </c>
      <c r="AF305" s="37" t="str">
        <f>IF(S304="","",ROUNDDOWN(AD305/($U$3/8.64),3))</f>
        <v/>
      </c>
      <c r="AG305" s="38" t="str">
        <f>IF(S304="","",ROUNDDOWN(AF305*10000/$AJ$3,0))</f>
        <v/>
      </c>
      <c r="AH305" s="39" t="str">
        <f t="shared" ref="AH305" si="2404">IF(S304="","",IF(AG305&gt;AI304,"＞",IF(AG305=AI304,"=","＜")))</f>
        <v/>
      </c>
      <c r="AI305" s="42"/>
      <c r="AJ305" s="44"/>
      <c r="AK305" s="39" t="str">
        <f>IF(S304="","",IF(AND(T305=1,AE305&gt;1),"NG",IF(AH305="＞","OK","NG")))</f>
        <v/>
      </c>
    </row>
    <row r="306" spans="1:37" ht="15.75" customHeight="1" x14ac:dyDescent="0.15">
      <c r="A306" s="80"/>
      <c r="B306" s="81">
        <v>2</v>
      </c>
      <c r="C306" s="58" t="str">
        <f>IF(A306="","",IF(B306=1,"素　焼土　管",IF(B306=2,"合　成樹脂管",IF(B306=3,"無孔管",""))))</f>
        <v/>
      </c>
      <c r="D306" s="60"/>
      <c r="E306" s="82"/>
      <c r="F306" s="83"/>
      <c r="G306" s="83"/>
      <c r="H306" s="84"/>
      <c r="I306" s="53" t="str">
        <f>IF(A306="","",F306-G306+H306)</f>
        <v/>
      </c>
      <c r="J306" s="55" t="str">
        <f>IF(A306="",""," 1/")</f>
        <v/>
      </c>
      <c r="K306" s="85"/>
      <c r="L306" s="56" t="str">
        <f>IF(A306="","",IF(B306=1,0.013,0.012))</f>
        <v/>
      </c>
      <c r="M306" s="47" t="str">
        <f>IF(A306="","",(1/L306*(E306/100/2)^(8/3)*(1/K306*100)^(1/2)*1.65696)*100)</f>
        <v/>
      </c>
      <c r="N306" s="47" t="str">
        <f>IF(A306="","",1/L306*(E306/100/2)^(2/3)*(1/K306)^(1/2)*0.70541)</f>
        <v/>
      </c>
      <c r="O306" s="48" t="str">
        <f>IF(A306="","",ROUNDDOWN(M306/($U$3/8.64)*10000/$AJ$3,0))</f>
        <v/>
      </c>
      <c r="P306" s="49" t="str">
        <f>IF(A306="","",IF(O306&gt;Q306,"＞","＜"))</f>
        <v/>
      </c>
      <c r="Q306" s="48" t="str">
        <f>IF(A306="","",I306)</f>
        <v/>
      </c>
      <c r="R306" s="51" t="str">
        <f>IF(A306="","",IF(P306="＞","OK","NG"))</f>
        <v/>
      </c>
      <c r="S306" s="86"/>
      <c r="T306" s="87"/>
      <c r="U306" s="28" t="str">
        <f>IF(S306="","",IF(T306=1,"素焼土管",IF(T306=2,"合成樹脂管",IF(T306=3,"無孔管",""))))</f>
        <v/>
      </c>
      <c r="V306" s="29"/>
      <c r="W306" s="88"/>
      <c r="X306" s="89"/>
      <c r="Y306" s="90"/>
      <c r="Z306" s="41" t="str">
        <f>IF(S306="","",IF(AND(T307=3,I306=""),Z304+Y306,IF(AND(Z304="",I304=""),I306+Y306,IF(AND(T307=3,I306&gt;0,Z304&gt;0),I306+Z304+Y306,IF(Z304="",I304+I306+X306+Y306,IF(I306="",Z304+X306+Y306,Z304+I306+X306+Y306))))))</f>
        <v/>
      </c>
      <c r="AA306" s="45" t="str">
        <f>IF(AB306="",""," 1/")</f>
        <v/>
      </c>
      <c r="AB306" s="91"/>
      <c r="AC306" s="30" t="str">
        <f>IF(S306="","",IF(T306="","",IF(T306=1,0.013,0.012)))</f>
        <v/>
      </c>
      <c r="AD306" s="31" t="str">
        <f>IF(S306="","",IF(T306="","",(1/AC306*(W306/100/2)^(8/3)*(1/AB306*100)^(1/2)*1.65696)*100))</f>
        <v/>
      </c>
      <c r="AE306" s="31" t="str">
        <f>IF(S306="","",IF(T306="","",1/AC306*(W306/100/2)^(2/3)*(1/AB306)^(1/2)*0.70541))</f>
        <v/>
      </c>
      <c r="AF306" s="31" t="str">
        <f>IF(S306="","",IF(T306="","",ROUNDDOWN(AD306/($U$3/8.64),3)))</f>
        <v/>
      </c>
      <c r="AG306" s="32" t="str">
        <f>IF(S306="","",IF(T306="","",ROUNDDOWN(AF306*10000/$AJ$3,0)))</f>
        <v/>
      </c>
      <c r="AH306" s="33" t="str">
        <f t="shared" si="2385"/>
        <v/>
      </c>
      <c r="AI306" s="41" t="str">
        <f>IF(S306="","",Z306)</f>
        <v/>
      </c>
      <c r="AJ306" s="43" t="str">
        <f>IF(S306="","",AI306*$AJ$3/10000)</f>
        <v/>
      </c>
      <c r="AK306" s="33" t="str">
        <f>IF(S306="","",IF(T306="","",IF(AND(T306=1,AE306&gt;1),"NG",IF(AH306="＞","OK","NG"))))</f>
        <v/>
      </c>
    </row>
    <row r="307" spans="1:37" ht="15.75" customHeight="1" x14ac:dyDescent="0.15">
      <c r="A307" s="92"/>
      <c r="B307" s="93"/>
      <c r="C307" s="59"/>
      <c r="D307" s="61"/>
      <c r="E307" s="94"/>
      <c r="F307" s="95"/>
      <c r="G307" s="95"/>
      <c r="H307" s="96"/>
      <c r="I307" s="54"/>
      <c r="J307" s="46"/>
      <c r="K307" s="97"/>
      <c r="L307" s="57"/>
      <c r="M307" s="44"/>
      <c r="N307" s="44"/>
      <c r="O307" s="42"/>
      <c r="P307" s="50"/>
      <c r="Q307" s="42"/>
      <c r="R307" s="52"/>
      <c r="S307" s="98"/>
      <c r="T307" s="99">
        <v>2</v>
      </c>
      <c r="U307" s="34" t="str">
        <f>IF(S306="","",IF(T306=T307,"〃",IF(T307=1,"素焼土管",IF(T307=2,"合成樹脂管",IF(T307=3,"無孔管","")))))</f>
        <v/>
      </c>
      <c r="V307" s="35"/>
      <c r="W307" s="100"/>
      <c r="X307" s="101"/>
      <c r="Y307" s="95"/>
      <c r="Z307" s="42"/>
      <c r="AA307" s="46"/>
      <c r="AB307" s="97"/>
      <c r="AC307" s="36" t="str">
        <f>IF(S306="","",IF(T307=1,0.013,0.012))</f>
        <v/>
      </c>
      <c r="AD307" s="37" t="str">
        <f>IF(S306="","",(1/AC307*(W307/100/2)^(8/3)*(1/AB306*100)^(1/2)*1.65696)*100)</f>
        <v/>
      </c>
      <c r="AE307" s="37" t="str">
        <f>IF(S306="","",1/AC307*(W307/100/2)^(2/3)*(1/AB306)^(1/2)*0.70541)</f>
        <v/>
      </c>
      <c r="AF307" s="37" t="str">
        <f>IF(S306="","",ROUNDDOWN(AD307/($U$3/8.64),3))</f>
        <v/>
      </c>
      <c r="AG307" s="38" t="str">
        <f>IF(S306="","",ROUNDDOWN(AF307*10000/$AJ$3,0))</f>
        <v/>
      </c>
      <c r="AH307" s="39" t="str">
        <f t="shared" ref="AH307" si="2405">IF(S306="","",IF(AG307&gt;AI306,"＞",IF(AG307=AI306,"=","＜")))</f>
        <v/>
      </c>
      <c r="AI307" s="42"/>
      <c r="AJ307" s="44"/>
      <c r="AK307" s="39" t="str">
        <f>IF(S306="","",IF(AND(T307=1,AE307&gt;1),"NG",IF(AH307="＞","OK","NG")))</f>
        <v/>
      </c>
    </row>
    <row r="308" spans="1:37" ht="15.75" customHeight="1" x14ac:dyDescent="0.15">
      <c r="A308" s="80"/>
      <c r="B308" s="81">
        <v>2</v>
      </c>
      <c r="C308" s="58" t="str">
        <f>IF(A308="","",IF(B308=1,"素　焼土　管",IF(B308=2,"合　成樹脂管",IF(B308=3,"無孔管",""))))</f>
        <v/>
      </c>
      <c r="D308" s="60"/>
      <c r="E308" s="82"/>
      <c r="F308" s="83"/>
      <c r="G308" s="83"/>
      <c r="H308" s="84"/>
      <c r="I308" s="53" t="str">
        <f>IF(A308="","",F308-G308+H308)</f>
        <v/>
      </c>
      <c r="J308" s="55" t="str">
        <f>IF(A308="",""," 1/")</f>
        <v/>
      </c>
      <c r="K308" s="85"/>
      <c r="L308" s="56" t="str">
        <f>IF(A308="","",IF(B308=1,0.013,0.012))</f>
        <v/>
      </c>
      <c r="M308" s="47" t="str">
        <f>IF(A308="","",(1/L308*(E308/100/2)^(8/3)*(1/K308*100)^(1/2)*1.65696)*100)</f>
        <v/>
      </c>
      <c r="N308" s="47" t="str">
        <f>IF(A308="","",1/L308*(E308/100/2)^(2/3)*(1/K308)^(1/2)*0.70541)</f>
        <v/>
      </c>
      <c r="O308" s="48" t="str">
        <f>IF(A308="","",ROUNDDOWN(M308/($U$3/8.64)*10000/$AJ$3,0))</f>
        <v/>
      </c>
      <c r="P308" s="49" t="str">
        <f>IF(A308="","",IF(O308&gt;Q308,"＞","＜"))</f>
        <v/>
      </c>
      <c r="Q308" s="48" t="str">
        <f>IF(A308="","",I308)</f>
        <v/>
      </c>
      <c r="R308" s="51" t="str">
        <f>IF(A308="","",IF(P308="＞","OK","NG"))</f>
        <v/>
      </c>
      <c r="S308" s="86"/>
      <c r="T308" s="87"/>
      <c r="U308" s="28" t="str">
        <f>IF(S308="","",IF(T308=1,"素焼土管",IF(T308=2,"合成樹脂管",IF(T308=3,"無孔管",""))))</f>
        <v/>
      </c>
      <c r="V308" s="29"/>
      <c r="W308" s="88"/>
      <c r="X308" s="89"/>
      <c r="Y308" s="90"/>
      <c r="Z308" s="41" t="str">
        <f>IF(S308="","",IF(AND(T309=3,I308=""),Z306+Y308,IF(AND(Z306="",I306=""),I308+Y308,IF(AND(T309=3,I308&gt;0,Z306&gt;0),I308+Z306+Y308,IF(Z306="",I306+I308+X308+Y308,IF(I308="",Z306+X308+Y308,Z306+I308+X308+Y308))))))</f>
        <v/>
      </c>
      <c r="AA308" s="45" t="str">
        <f>IF(AB308="",""," 1/")</f>
        <v/>
      </c>
      <c r="AB308" s="91"/>
      <c r="AC308" s="30" t="str">
        <f>IF(S308="","",IF(T308="","",IF(T308=1,0.013,0.012)))</f>
        <v/>
      </c>
      <c r="AD308" s="31" t="str">
        <f>IF(S308="","",IF(T308="","",(1/AC308*(W308/100/2)^(8/3)*(1/AB308*100)^(1/2)*1.65696)*100))</f>
        <v/>
      </c>
      <c r="AE308" s="31" t="str">
        <f>IF(S308="","",IF(T308="","",1/AC308*(W308/100/2)^(2/3)*(1/AB308)^(1/2)*0.70541))</f>
        <v/>
      </c>
      <c r="AF308" s="31" t="str">
        <f>IF(S308="","",IF(T308="","",ROUNDDOWN(AD308/($U$3/8.64),3)))</f>
        <v/>
      </c>
      <c r="AG308" s="32" t="str">
        <f>IF(S308="","",IF(T308="","",ROUNDDOWN(AF308*10000/$AJ$3,0)))</f>
        <v/>
      </c>
      <c r="AH308" s="33" t="str">
        <f t="shared" si="2385"/>
        <v/>
      </c>
      <c r="AI308" s="41" t="str">
        <f>IF(S308="","",Z308)</f>
        <v/>
      </c>
      <c r="AJ308" s="43" t="str">
        <f>IF(S308="","",AI308*$AJ$3/10000)</f>
        <v/>
      </c>
      <c r="AK308" s="33" t="str">
        <f>IF(S308="","",IF(T308="","",IF(AND(T308=1,AE308&gt;1),"NG",IF(AH308="＞","OK","NG"))))</f>
        <v/>
      </c>
    </row>
    <row r="309" spans="1:37" ht="15.75" customHeight="1" x14ac:dyDescent="0.15">
      <c r="A309" s="92"/>
      <c r="B309" s="93"/>
      <c r="C309" s="59"/>
      <c r="D309" s="61"/>
      <c r="E309" s="94"/>
      <c r="F309" s="95"/>
      <c r="G309" s="95"/>
      <c r="H309" s="96"/>
      <c r="I309" s="54"/>
      <c r="J309" s="46"/>
      <c r="K309" s="97"/>
      <c r="L309" s="57"/>
      <c r="M309" s="44"/>
      <c r="N309" s="44"/>
      <c r="O309" s="42"/>
      <c r="P309" s="50"/>
      <c r="Q309" s="42"/>
      <c r="R309" s="52"/>
      <c r="S309" s="98"/>
      <c r="T309" s="99">
        <v>2</v>
      </c>
      <c r="U309" s="34" t="str">
        <f>IF(S308="","",IF(T308=T309,"〃",IF(T309=1,"素焼土管",IF(T309=2,"合成樹脂管",IF(T309=3,"無孔管","")))))</f>
        <v/>
      </c>
      <c r="V309" s="35"/>
      <c r="W309" s="100"/>
      <c r="X309" s="101"/>
      <c r="Y309" s="95"/>
      <c r="Z309" s="42"/>
      <c r="AA309" s="46"/>
      <c r="AB309" s="97"/>
      <c r="AC309" s="36" t="str">
        <f>IF(S308="","",IF(T309=1,0.013,0.012))</f>
        <v/>
      </c>
      <c r="AD309" s="37" t="str">
        <f>IF(S308="","",(1/AC309*(W309/100/2)^(8/3)*(1/AB308*100)^(1/2)*1.65696)*100)</f>
        <v/>
      </c>
      <c r="AE309" s="37" t="str">
        <f>IF(S308="","",1/AC309*(W309/100/2)^(2/3)*(1/AB308)^(1/2)*0.70541)</f>
        <v/>
      </c>
      <c r="AF309" s="37" t="str">
        <f>IF(S308="","",ROUNDDOWN(AD309/($U$3/8.64),3))</f>
        <v/>
      </c>
      <c r="AG309" s="38" t="str">
        <f>IF(S308="","",ROUNDDOWN(AF309*10000/$AJ$3,0))</f>
        <v/>
      </c>
      <c r="AH309" s="39" t="str">
        <f t="shared" ref="AH309" si="2406">IF(S308="","",IF(AG309&gt;AI308,"＞",IF(AG309=AI308,"=","＜")))</f>
        <v/>
      </c>
      <c r="AI309" s="42"/>
      <c r="AJ309" s="44"/>
      <c r="AK309" s="39" t="str">
        <f>IF(S308="","",IF(AND(T309=1,AE309&gt;1),"NG",IF(AH309="＞","OK","NG")))</f>
        <v/>
      </c>
    </row>
    <row r="310" spans="1:37" ht="15.75" customHeight="1" x14ac:dyDescent="0.15">
      <c r="A310" s="80"/>
      <c r="B310" s="81">
        <v>2</v>
      </c>
      <c r="C310" s="58" t="str">
        <f>IF(A310="","",IF(B310=1,"素　焼土　管",IF(B310=2,"合　成樹脂管",IF(B310=3,"無孔管",""))))</f>
        <v/>
      </c>
      <c r="D310" s="60"/>
      <c r="E310" s="82"/>
      <c r="F310" s="83"/>
      <c r="G310" s="83"/>
      <c r="H310" s="84"/>
      <c r="I310" s="53" t="str">
        <f>IF(A310="","",F310-G310+H310)</f>
        <v/>
      </c>
      <c r="J310" s="55" t="str">
        <f>IF(A310="",""," 1/")</f>
        <v/>
      </c>
      <c r="K310" s="85"/>
      <c r="L310" s="56" t="str">
        <f>IF(A310="","",IF(B310=1,0.013,0.012))</f>
        <v/>
      </c>
      <c r="M310" s="47" t="str">
        <f>IF(A310="","",(1/L310*(E310/100/2)^(8/3)*(1/K310*100)^(1/2)*1.65696)*100)</f>
        <v/>
      </c>
      <c r="N310" s="47" t="str">
        <f>IF(A310="","",1/L310*(E310/100/2)^(2/3)*(1/K310)^(1/2)*0.70541)</f>
        <v/>
      </c>
      <c r="O310" s="48" t="str">
        <f>IF(A310="","",ROUNDDOWN(M310/($U$3/8.64)*10000/$AJ$3,0))</f>
        <v/>
      </c>
      <c r="P310" s="49" t="str">
        <f>IF(A310="","",IF(O310&gt;Q310,"＞","＜"))</f>
        <v/>
      </c>
      <c r="Q310" s="48" t="str">
        <f>IF(A310="","",I310)</f>
        <v/>
      </c>
      <c r="R310" s="51" t="str">
        <f>IF(A310="","",IF(P310="＞","OK","NG"))</f>
        <v/>
      </c>
      <c r="S310" s="86"/>
      <c r="T310" s="87"/>
      <c r="U310" s="28" t="str">
        <f>IF(S310="","",IF(T310=1,"素焼土管",IF(T310=2,"合成樹脂管",IF(T310=3,"無孔管",""))))</f>
        <v/>
      </c>
      <c r="V310" s="29"/>
      <c r="W310" s="88"/>
      <c r="X310" s="89"/>
      <c r="Y310" s="90"/>
      <c r="Z310" s="41" t="str">
        <f>IF(S310="","",IF(AND(T311=3,I310=""),Z308+Y310,IF(AND(Z308="",I308=""),I310+Y310,IF(AND(T311=3,I310&gt;0,Z308&gt;0),I310+Z308+Y310,IF(Z308="",I308+I310+X310+Y310,IF(I310="",Z308+X310+Y310,Z308+I310+X310+Y310))))))</f>
        <v/>
      </c>
      <c r="AA310" s="45" t="str">
        <f>IF(AB310="",""," 1/")</f>
        <v/>
      </c>
      <c r="AB310" s="91"/>
      <c r="AC310" s="30" t="str">
        <f>IF(S310="","",IF(T310="","",IF(T310=1,0.013,0.012)))</f>
        <v/>
      </c>
      <c r="AD310" s="31" t="str">
        <f>IF(S310="","",IF(T310="","",(1/AC310*(W310/100/2)^(8/3)*(1/AB310*100)^(1/2)*1.65696)*100))</f>
        <v/>
      </c>
      <c r="AE310" s="31" t="str">
        <f>IF(S310="","",IF(T310="","",1/AC310*(W310/100/2)^(2/3)*(1/AB310)^(1/2)*0.70541))</f>
        <v/>
      </c>
      <c r="AF310" s="31" t="str">
        <f>IF(S310="","",IF(T310="","",ROUNDDOWN(AD310/($U$3/8.64),3)))</f>
        <v/>
      </c>
      <c r="AG310" s="32" t="str">
        <f>IF(S310="","",IF(T310="","",ROUNDDOWN(AF310*10000/$AJ$3,0)))</f>
        <v/>
      </c>
      <c r="AH310" s="33" t="str">
        <f t="shared" si="2385"/>
        <v/>
      </c>
      <c r="AI310" s="41" t="str">
        <f>IF(S310="","",Z310)</f>
        <v/>
      </c>
      <c r="AJ310" s="43" t="str">
        <f>IF(S310="","",AI310*$AJ$3/10000)</f>
        <v/>
      </c>
      <c r="AK310" s="33" t="str">
        <f>IF(S310="","",IF(T310="","",IF(AND(T310=1,AE310&gt;1),"NG",IF(AH310="＞","OK","NG"))))</f>
        <v/>
      </c>
    </row>
    <row r="311" spans="1:37" ht="15.75" customHeight="1" x14ac:dyDescent="0.15">
      <c r="A311" s="92"/>
      <c r="B311" s="93"/>
      <c r="C311" s="59"/>
      <c r="D311" s="61"/>
      <c r="E311" s="94"/>
      <c r="F311" s="95"/>
      <c r="G311" s="95"/>
      <c r="H311" s="96"/>
      <c r="I311" s="54"/>
      <c r="J311" s="46"/>
      <c r="K311" s="97"/>
      <c r="L311" s="57"/>
      <c r="M311" s="44"/>
      <c r="N311" s="44"/>
      <c r="O311" s="42"/>
      <c r="P311" s="50"/>
      <c r="Q311" s="42"/>
      <c r="R311" s="52"/>
      <c r="S311" s="98"/>
      <c r="T311" s="99">
        <v>2</v>
      </c>
      <c r="U311" s="34" t="str">
        <f>IF(S310="","",IF(T310=T311,"〃",IF(T311=1,"素焼土管",IF(T311=2,"合成樹脂管",IF(T311=3,"無孔管","")))))</f>
        <v/>
      </c>
      <c r="V311" s="35"/>
      <c r="W311" s="100"/>
      <c r="X311" s="101"/>
      <c r="Y311" s="95"/>
      <c r="Z311" s="42"/>
      <c r="AA311" s="46"/>
      <c r="AB311" s="97"/>
      <c r="AC311" s="36" t="str">
        <f>IF(S310="","",IF(T311=1,0.013,0.012))</f>
        <v/>
      </c>
      <c r="AD311" s="37" t="str">
        <f>IF(S310="","",(1/AC311*(W311/100/2)^(8/3)*(1/AB310*100)^(1/2)*1.65696)*100)</f>
        <v/>
      </c>
      <c r="AE311" s="37" t="str">
        <f>IF(S310="","",1/AC311*(W311/100/2)^(2/3)*(1/AB310)^(1/2)*0.70541)</f>
        <v/>
      </c>
      <c r="AF311" s="37" t="str">
        <f>IF(S310="","",ROUNDDOWN(AD311/($U$3/8.64),3))</f>
        <v/>
      </c>
      <c r="AG311" s="38" t="str">
        <f>IF(S310="","",ROUNDDOWN(AF311*10000/$AJ$3,0))</f>
        <v/>
      </c>
      <c r="AH311" s="39" t="str">
        <f t="shared" ref="AH311" si="2407">IF(S310="","",IF(AG311&gt;AI310,"＞",IF(AG311=AI310,"=","＜")))</f>
        <v/>
      </c>
      <c r="AI311" s="42"/>
      <c r="AJ311" s="44"/>
      <c r="AK311" s="39" t="str">
        <f>IF(S310="","",IF(AND(T311=1,AE311&gt;1),"NG",IF(AH311="＞","OK","NG")))</f>
        <v/>
      </c>
    </row>
    <row r="312" spans="1:37" ht="15.75" customHeight="1" x14ac:dyDescent="0.15">
      <c r="A312" s="80"/>
      <c r="B312" s="81">
        <v>2</v>
      </c>
      <c r="C312" s="58" t="str">
        <f>IF(A312="","",IF(B312=1,"素　焼土　管",IF(B312=2,"合　成樹脂管",IF(B312=3,"無孔管",""))))</f>
        <v/>
      </c>
      <c r="D312" s="60"/>
      <c r="E312" s="82"/>
      <c r="F312" s="83"/>
      <c r="G312" s="83"/>
      <c r="H312" s="84"/>
      <c r="I312" s="53" t="str">
        <f>IF(A312="","",F312-G312+H312)</f>
        <v/>
      </c>
      <c r="J312" s="55" t="str">
        <f>IF(A312="",""," 1/")</f>
        <v/>
      </c>
      <c r="K312" s="85"/>
      <c r="L312" s="56" t="str">
        <f>IF(A312="","",IF(B312=1,0.013,0.012))</f>
        <v/>
      </c>
      <c r="M312" s="47" t="str">
        <f>IF(A312="","",(1/L312*(E312/100/2)^(8/3)*(1/K312*100)^(1/2)*1.65696)*100)</f>
        <v/>
      </c>
      <c r="N312" s="47" t="str">
        <f>IF(A312="","",1/L312*(E312/100/2)^(2/3)*(1/K312)^(1/2)*0.70541)</f>
        <v/>
      </c>
      <c r="O312" s="48" t="str">
        <f>IF(A312="","",ROUNDDOWN(M312/($U$3/8.64)*10000/$AJ$3,0))</f>
        <v/>
      </c>
      <c r="P312" s="49" t="str">
        <f>IF(A312="","",IF(O312&gt;Q312,"＞","＜"))</f>
        <v/>
      </c>
      <c r="Q312" s="48" t="str">
        <f>IF(A312="","",I312)</f>
        <v/>
      </c>
      <c r="R312" s="51" t="str">
        <f>IF(A312="","",IF(P312="＞","OK","NG"))</f>
        <v/>
      </c>
      <c r="S312" s="86"/>
      <c r="T312" s="87"/>
      <c r="U312" s="28" t="str">
        <f>IF(S312="","",IF(T312=1,"素焼土管",IF(T312=2,"合成樹脂管",IF(T312=3,"無孔管",""))))</f>
        <v/>
      </c>
      <c r="V312" s="29"/>
      <c r="W312" s="88"/>
      <c r="X312" s="89"/>
      <c r="Y312" s="90"/>
      <c r="Z312" s="41" t="str">
        <f>IF(S312="","",IF(AND(T313=3,I312=""),Z310+Y312,IF(AND(Z310="",I310=""),I312+Y312,IF(AND(T313=3,I312&gt;0,Z310&gt;0),I312+Z310+Y312,IF(Z310="",I310+I312+X312+Y312,IF(I312="",Z310+X312+Y312,Z310+I312+X312+Y312))))))</f>
        <v/>
      </c>
      <c r="AA312" s="45" t="str">
        <f>IF(AB312="",""," 1/")</f>
        <v/>
      </c>
      <c r="AB312" s="91"/>
      <c r="AC312" s="30" t="str">
        <f>IF(S312="","",IF(T312="","",IF(T312=1,0.013,0.012)))</f>
        <v/>
      </c>
      <c r="AD312" s="31" t="str">
        <f>IF(S312="","",IF(T312="","",(1/AC312*(W312/100/2)^(8/3)*(1/AB312*100)^(1/2)*1.65696)*100))</f>
        <v/>
      </c>
      <c r="AE312" s="31" t="str">
        <f>IF(S312="","",IF(T312="","",1/AC312*(W312/100/2)^(2/3)*(1/AB312)^(1/2)*0.70541))</f>
        <v/>
      </c>
      <c r="AF312" s="31" t="str">
        <f>IF(S312="","",IF(T312="","",ROUNDDOWN(AD312/($U$3/8.64),3)))</f>
        <v/>
      </c>
      <c r="AG312" s="32" t="str">
        <f>IF(S312="","",IF(T312="","",ROUNDDOWN(AF312*10000/$AJ$3,0)))</f>
        <v/>
      </c>
      <c r="AH312" s="33" t="str">
        <f t="shared" si="2385"/>
        <v/>
      </c>
      <c r="AI312" s="41" t="str">
        <f>IF(S312="","",Z312)</f>
        <v/>
      </c>
      <c r="AJ312" s="43" t="str">
        <f>IF(S312="","",AI312*$AJ$3/10000)</f>
        <v/>
      </c>
      <c r="AK312" s="33" t="str">
        <f>IF(S312="","",IF(T312="","",IF(AND(T312=1,AE312&gt;1),"NG",IF(AH312="＞","OK","NG"))))</f>
        <v/>
      </c>
    </row>
    <row r="313" spans="1:37" ht="15.75" customHeight="1" x14ac:dyDescent="0.15">
      <c r="A313" s="92"/>
      <c r="B313" s="93"/>
      <c r="C313" s="59"/>
      <c r="D313" s="61"/>
      <c r="E313" s="94"/>
      <c r="F313" s="95"/>
      <c r="G313" s="95"/>
      <c r="H313" s="96"/>
      <c r="I313" s="54"/>
      <c r="J313" s="46"/>
      <c r="K313" s="97"/>
      <c r="L313" s="57"/>
      <c r="M313" s="44"/>
      <c r="N313" s="44"/>
      <c r="O313" s="42"/>
      <c r="P313" s="50"/>
      <c r="Q313" s="42"/>
      <c r="R313" s="52"/>
      <c r="S313" s="98"/>
      <c r="T313" s="99">
        <v>2</v>
      </c>
      <c r="U313" s="34" t="str">
        <f>IF(S312="","",IF(T312=T313,"〃",IF(T313=1,"素焼土管",IF(T313=2,"合成樹脂管",IF(T313=3,"無孔管","")))))</f>
        <v/>
      </c>
      <c r="V313" s="35"/>
      <c r="W313" s="100"/>
      <c r="X313" s="101"/>
      <c r="Y313" s="95"/>
      <c r="Z313" s="42"/>
      <c r="AA313" s="46"/>
      <c r="AB313" s="97"/>
      <c r="AC313" s="36" t="str">
        <f>IF(S312="","",IF(T313=1,0.013,0.012))</f>
        <v/>
      </c>
      <c r="AD313" s="37" t="str">
        <f>IF(S312="","",(1/AC313*(W313/100/2)^(8/3)*(1/AB312*100)^(1/2)*1.65696)*100)</f>
        <v/>
      </c>
      <c r="AE313" s="37" t="str">
        <f>IF(S312="","",1/AC313*(W313/100/2)^(2/3)*(1/AB312)^(1/2)*0.70541)</f>
        <v/>
      </c>
      <c r="AF313" s="37" t="str">
        <f>IF(S312="","",ROUNDDOWN(AD313/($U$3/8.64),3))</f>
        <v/>
      </c>
      <c r="AG313" s="38" t="str">
        <f>IF(S312="","",ROUNDDOWN(AF313*10000/$AJ$3,0))</f>
        <v/>
      </c>
      <c r="AH313" s="39" t="str">
        <f t="shared" ref="AH313" si="2408">IF(S312="","",IF(AG313&gt;AI312,"＞",IF(AG313=AI312,"=","＜")))</f>
        <v/>
      </c>
      <c r="AI313" s="42"/>
      <c r="AJ313" s="44"/>
      <c r="AK313" s="39" t="str">
        <f>IF(S312="","",IF(AND(T313=1,AE313&gt;1),"NG",IF(AH313="＞","OK","NG")))</f>
        <v/>
      </c>
    </row>
    <row r="314" spans="1:37" ht="15.75" customHeight="1" x14ac:dyDescent="0.15">
      <c r="A314" s="80"/>
      <c r="B314" s="81">
        <v>2</v>
      </c>
      <c r="C314" s="58" t="str">
        <f>IF(A314="","",IF(B314=1,"素　焼土　管",IF(B314=2,"合　成樹脂管",IF(B314=3,"無孔管",""))))</f>
        <v/>
      </c>
      <c r="D314" s="60"/>
      <c r="E314" s="82"/>
      <c r="F314" s="83"/>
      <c r="G314" s="83"/>
      <c r="H314" s="84"/>
      <c r="I314" s="53" t="str">
        <f>IF(A314="","",F314-G314+H314)</f>
        <v/>
      </c>
      <c r="J314" s="55" t="str">
        <f>IF(A314="",""," 1/")</f>
        <v/>
      </c>
      <c r="K314" s="85"/>
      <c r="L314" s="56" t="str">
        <f>IF(A314="","",IF(B314=1,0.013,0.012))</f>
        <v/>
      </c>
      <c r="M314" s="47" t="str">
        <f>IF(A314="","",(1/L314*(E314/100/2)^(8/3)*(1/K314*100)^(1/2)*1.65696)*100)</f>
        <v/>
      </c>
      <c r="N314" s="47" t="str">
        <f>IF(A314="","",1/L314*(E314/100/2)^(2/3)*(1/K314)^(1/2)*0.70541)</f>
        <v/>
      </c>
      <c r="O314" s="48" t="str">
        <f>IF(A314="","",ROUNDDOWN(M314/($U$3/8.64)*10000/$AJ$3,0))</f>
        <v/>
      </c>
      <c r="P314" s="49" t="str">
        <f>IF(A314="","",IF(O314&gt;Q314,"＞","＜"))</f>
        <v/>
      </c>
      <c r="Q314" s="48" t="str">
        <f>IF(A314="","",I314)</f>
        <v/>
      </c>
      <c r="R314" s="51" t="str">
        <f>IF(A314="","",IF(P314="＞","OK","NG"))</f>
        <v/>
      </c>
      <c r="S314" s="86"/>
      <c r="T314" s="87"/>
      <c r="U314" s="28" t="str">
        <f>IF(S314="","",IF(T314=1,"素焼土管",IF(T314=2,"合成樹脂管",IF(T314=3,"無孔管",""))))</f>
        <v/>
      </c>
      <c r="V314" s="29"/>
      <c r="W314" s="88"/>
      <c r="X314" s="89"/>
      <c r="Y314" s="90"/>
      <c r="Z314" s="41" t="str">
        <f>IF(S314="","",IF(AND(T315=3,I314=""),Z312+Y314,IF(AND(Z312="",I312=""),I314+Y314,IF(AND(T315=3,I314&gt;0,Z312&gt;0),I314+Z312+Y314,IF(Z312="",I312+I314+X314+Y314,IF(I314="",Z312+X314+Y314,Z312+I314+X314+Y314))))))</f>
        <v/>
      </c>
      <c r="AA314" s="45" t="str">
        <f>IF(AB314="",""," 1/")</f>
        <v/>
      </c>
      <c r="AB314" s="91"/>
      <c r="AC314" s="30" t="str">
        <f>IF(S314="","",IF(T314="","",IF(T314=1,0.013,0.012)))</f>
        <v/>
      </c>
      <c r="AD314" s="31" t="str">
        <f>IF(S314="","",IF(T314="","",(1/AC314*(W314/100/2)^(8/3)*(1/AB314*100)^(1/2)*1.65696)*100))</f>
        <v/>
      </c>
      <c r="AE314" s="31" t="str">
        <f>IF(S314="","",IF(T314="","",1/AC314*(W314/100/2)^(2/3)*(1/AB314)^(1/2)*0.70541))</f>
        <v/>
      </c>
      <c r="AF314" s="31" t="str">
        <f>IF(S314="","",IF(T314="","",ROUNDDOWN(AD314/($U$3/8.64),3)))</f>
        <v/>
      </c>
      <c r="AG314" s="32" t="str">
        <f>IF(S314="","",IF(T314="","",ROUNDDOWN(AF314*10000/$AJ$3,0)))</f>
        <v/>
      </c>
      <c r="AH314" s="33" t="str">
        <f t="shared" si="2385"/>
        <v/>
      </c>
      <c r="AI314" s="41" t="str">
        <f>IF(S314="","",Z314)</f>
        <v/>
      </c>
      <c r="AJ314" s="43" t="str">
        <f>IF(S314="","",AI314*$AJ$3/10000)</f>
        <v/>
      </c>
      <c r="AK314" s="33" t="str">
        <f>IF(S314="","",IF(T314="","",IF(AND(T314=1,AE314&gt;1),"NG",IF(AH314="＞","OK","NG"))))</f>
        <v/>
      </c>
    </row>
    <row r="315" spans="1:37" ht="15.75" customHeight="1" x14ac:dyDescent="0.15">
      <c r="A315" s="92"/>
      <c r="B315" s="93"/>
      <c r="C315" s="59"/>
      <c r="D315" s="61"/>
      <c r="E315" s="94"/>
      <c r="F315" s="95"/>
      <c r="G315" s="95"/>
      <c r="H315" s="96"/>
      <c r="I315" s="54"/>
      <c r="J315" s="46"/>
      <c r="K315" s="97"/>
      <c r="L315" s="57"/>
      <c r="M315" s="44"/>
      <c r="N315" s="44"/>
      <c r="O315" s="42"/>
      <c r="P315" s="50"/>
      <c r="Q315" s="42"/>
      <c r="R315" s="52"/>
      <c r="S315" s="98"/>
      <c r="T315" s="99">
        <v>2</v>
      </c>
      <c r="U315" s="34" t="str">
        <f>IF(S314="","",IF(T314=T315,"〃",IF(T315=1,"素焼土管",IF(T315=2,"合成樹脂管",IF(T315=3,"無孔管","")))))</f>
        <v/>
      </c>
      <c r="V315" s="35"/>
      <c r="W315" s="100"/>
      <c r="X315" s="101"/>
      <c r="Y315" s="95"/>
      <c r="Z315" s="42"/>
      <c r="AA315" s="46"/>
      <c r="AB315" s="97"/>
      <c r="AC315" s="36" t="str">
        <f>IF(S314="","",IF(T315=1,0.013,0.012))</f>
        <v/>
      </c>
      <c r="AD315" s="37" t="str">
        <f>IF(S314="","",(1/AC315*(W315/100/2)^(8/3)*(1/AB314*100)^(1/2)*1.65696)*100)</f>
        <v/>
      </c>
      <c r="AE315" s="37" t="str">
        <f>IF(S314="","",1/AC315*(W315/100/2)^(2/3)*(1/AB314)^(1/2)*0.70541)</f>
        <v/>
      </c>
      <c r="AF315" s="37" t="str">
        <f>IF(S314="","",ROUNDDOWN(AD315/($U$3/8.64),3))</f>
        <v/>
      </c>
      <c r="AG315" s="38" t="str">
        <f>IF(S314="","",ROUNDDOWN(AF315*10000/$AJ$3,0))</f>
        <v/>
      </c>
      <c r="AH315" s="39" t="str">
        <f t="shared" ref="AH315" si="2409">IF(S314="","",IF(AG315&gt;AI314,"＞",IF(AG315=AI314,"=","＜")))</f>
        <v/>
      </c>
      <c r="AI315" s="42"/>
      <c r="AJ315" s="44"/>
      <c r="AK315" s="39" t="str">
        <f>IF(S314="","",IF(AND(T315=1,AE315&gt;1),"NG",IF(AH315="＞","OK","NG")))</f>
        <v/>
      </c>
    </row>
    <row r="316" spans="1:37" ht="15.75" customHeight="1" x14ac:dyDescent="0.15">
      <c r="A316" s="80"/>
      <c r="B316" s="81">
        <v>2</v>
      </c>
      <c r="C316" s="58" t="str">
        <f>IF(A316="","",IF(B316=1,"素　焼土　管",IF(B316=2,"合　成樹脂管",IF(B316=3,"無孔管",""))))</f>
        <v/>
      </c>
      <c r="D316" s="60"/>
      <c r="E316" s="82"/>
      <c r="F316" s="83"/>
      <c r="G316" s="83"/>
      <c r="H316" s="84"/>
      <c r="I316" s="53" t="str">
        <f>IF(A316="","",F316-G316+H316)</f>
        <v/>
      </c>
      <c r="J316" s="55" t="str">
        <f>IF(A316="",""," 1/")</f>
        <v/>
      </c>
      <c r="K316" s="85"/>
      <c r="L316" s="56" t="str">
        <f>IF(A316="","",IF(B316=1,0.013,0.012))</f>
        <v/>
      </c>
      <c r="M316" s="47" t="str">
        <f>IF(A316="","",(1/L316*(E316/100/2)^(8/3)*(1/K316*100)^(1/2)*1.65696)*100)</f>
        <v/>
      </c>
      <c r="N316" s="47" t="str">
        <f>IF(A316="","",1/L316*(E316/100/2)^(2/3)*(1/K316)^(1/2)*0.70541)</f>
        <v/>
      </c>
      <c r="O316" s="48" t="str">
        <f>IF(A316="","",ROUNDDOWN(M316/($U$3/8.64)*10000/$AJ$3,0))</f>
        <v/>
      </c>
      <c r="P316" s="49" t="str">
        <f>IF(A316="","",IF(O316&gt;Q316,"＞","＜"))</f>
        <v/>
      </c>
      <c r="Q316" s="48" t="str">
        <f>IF(A316="","",I316)</f>
        <v/>
      </c>
      <c r="R316" s="51" t="str">
        <f>IF(A316="","",IF(P316="＞","OK","NG"))</f>
        <v/>
      </c>
      <c r="S316" s="86"/>
      <c r="T316" s="87"/>
      <c r="U316" s="28" t="str">
        <f>IF(S316="","",IF(T316=1,"素焼土管",IF(T316=2,"合成樹脂管",IF(T316=3,"無孔管",""))))</f>
        <v/>
      </c>
      <c r="V316" s="29"/>
      <c r="W316" s="88"/>
      <c r="X316" s="89"/>
      <c r="Y316" s="90"/>
      <c r="Z316" s="41" t="str">
        <f>IF(S316="","",IF(AND(T317=3,I316=""),Z314+Y316,IF(AND(Z314="",I314=""),I316+Y316,IF(AND(T317=3,I316&gt;0,Z314&gt;0),I316+Z314+Y316,IF(Z314="",I314+I316+X316+Y316,IF(I316="",Z314+X316+Y316,Z314+I316+X316+Y316))))))</f>
        <v/>
      </c>
      <c r="AA316" s="45" t="str">
        <f>IF(AB316="",""," 1/")</f>
        <v/>
      </c>
      <c r="AB316" s="91"/>
      <c r="AC316" s="30" t="str">
        <f>IF(S316="","",IF(T316="","",IF(T316=1,0.013,0.012)))</f>
        <v/>
      </c>
      <c r="AD316" s="31" t="str">
        <f>IF(S316="","",IF(T316="","",(1/AC316*(W316/100/2)^(8/3)*(1/AB316*100)^(1/2)*1.65696)*100))</f>
        <v/>
      </c>
      <c r="AE316" s="31" t="str">
        <f>IF(S316="","",IF(T316="","",1/AC316*(W316/100/2)^(2/3)*(1/AB316)^(1/2)*0.70541))</f>
        <v/>
      </c>
      <c r="AF316" s="31" t="str">
        <f>IF(S316="","",IF(T316="","",ROUNDDOWN(AD316/($U$3/8.64),3)))</f>
        <v/>
      </c>
      <c r="AG316" s="32" t="str">
        <f>IF(S316="","",IF(T316="","",ROUNDDOWN(AF316*10000/$AJ$3,0)))</f>
        <v/>
      </c>
      <c r="AH316" s="33" t="str">
        <f t="shared" si="2385"/>
        <v/>
      </c>
      <c r="AI316" s="41" t="str">
        <f>IF(S316="","",Z316)</f>
        <v/>
      </c>
      <c r="AJ316" s="43" t="str">
        <f>IF(S316="","",AI316*$AJ$3/10000)</f>
        <v/>
      </c>
      <c r="AK316" s="33" t="str">
        <f>IF(S316="","",IF(T316="","",IF(AND(T316=1,AE316&gt;1),"NG",IF(AH316="＞","OK","NG"))))</f>
        <v/>
      </c>
    </row>
    <row r="317" spans="1:37" ht="15.75" customHeight="1" x14ac:dyDescent="0.15">
      <c r="A317" s="92"/>
      <c r="B317" s="93"/>
      <c r="C317" s="59"/>
      <c r="D317" s="61"/>
      <c r="E317" s="94"/>
      <c r="F317" s="95"/>
      <c r="G317" s="95"/>
      <c r="H317" s="96"/>
      <c r="I317" s="54"/>
      <c r="J317" s="46"/>
      <c r="K317" s="97"/>
      <c r="L317" s="57"/>
      <c r="M317" s="44"/>
      <c r="N317" s="44"/>
      <c r="O317" s="42"/>
      <c r="P317" s="50"/>
      <c r="Q317" s="42"/>
      <c r="R317" s="52"/>
      <c r="S317" s="98"/>
      <c r="T317" s="99">
        <v>2</v>
      </c>
      <c r="U317" s="34" t="str">
        <f>IF(S316="","",IF(T316=T317,"〃",IF(T317=1,"素焼土管",IF(T317=2,"合成樹脂管",IF(T317=3,"無孔管","")))))</f>
        <v/>
      </c>
      <c r="V317" s="35"/>
      <c r="W317" s="100"/>
      <c r="X317" s="101"/>
      <c r="Y317" s="95"/>
      <c r="Z317" s="42"/>
      <c r="AA317" s="46"/>
      <c r="AB317" s="97"/>
      <c r="AC317" s="36" t="str">
        <f>IF(S316="","",IF(T317=1,0.013,0.012))</f>
        <v/>
      </c>
      <c r="AD317" s="37" t="str">
        <f>IF(S316="","",(1/AC317*(W317/100/2)^(8/3)*(1/AB316*100)^(1/2)*1.65696)*100)</f>
        <v/>
      </c>
      <c r="AE317" s="37" t="str">
        <f>IF(S316="","",1/AC317*(W317/100/2)^(2/3)*(1/AB316)^(1/2)*0.70541)</f>
        <v/>
      </c>
      <c r="AF317" s="37" t="str">
        <f>IF(S316="","",ROUNDDOWN(AD317/($U$3/8.64),3))</f>
        <v/>
      </c>
      <c r="AG317" s="38" t="str">
        <f>IF(S316="","",ROUNDDOWN(AF317*10000/$AJ$3,0))</f>
        <v/>
      </c>
      <c r="AH317" s="39" t="str">
        <f t="shared" ref="AH317" si="2410">IF(S316="","",IF(AG317&gt;AI316,"＞",IF(AG317=AI316,"=","＜")))</f>
        <v/>
      </c>
      <c r="AI317" s="42"/>
      <c r="AJ317" s="44"/>
      <c r="AK317" s="39" t="str">
        <f>IF(S316="","",IF(AND(T317=1,AE317&gt;1),"NG",IF(AH317="＞","OK","NG")))</f>
        <v/>
      </c>
    </row>
    <row r="318" spans="1:37" ht="15.75" customHeight="1" x14ac:dyDescent="0.15">
      <c r="A318" s="80"/>
      <c r="B318" s="81">
        <v>2</v>
      </c>
      <c r="C318" s="58" t="str">
        <f>IF(A318="","",IF(B318=1,"素　焼土　管",IF(B318=2,"合　成樹脂管",IF(B318=3,"無孔管",""))))</f>
        <v/>
      </c>
      <c r="D318" s="60"/>
      <c r="E318" s="82"/>
      <c r="F318" s="83"/>
      <c r="G318" s="83"/>
      <c r="H318" s="84"/>
      <c r="I318" s="53" t="str">
        <f>IF(A318="","",F318-G318+H318)</f>
        <v/>
      </c>
      <c r="J318" s="55" t="str">
        <f>IF(A318="",""," 1/")</f>
        <v/>
      </c>
      <c r="K318" s="85"/>
      <c r="L318" s="56" t="str">
        <f>IF(A318="","",IF(B318=1,0.013,0.012))</f>
        <v/>
      </c>
      <c r="M318" s="47" t="str">
        <f>IF(A318="","",(1/L318*(E318/100/2)^(8/3)*(1/K318*100)^(1/2)*1.65696)*100)</f>
        <v/>
      </c>
      <c r="N318" s="47" t="str">
        <f>IF(A318="","",1/L318*(E318/100/2)^(2/3)*(1/K318)^(1/2)*0.70541)</f>
        <v/>
      </c>
      <c r="O318" s="48" t="str">
        <f>IF(A318="","",ROUNDDOWN(M318/($U$3/8.64)*10000/$AJ$3,0))</f>
        <v/>
      </c>
      <c r="P318" s="49" t="str">
        <f>IF(A318="","",IF(O318&gt;Q318,"＞","＜"))</f>
        <v/>
      </c>
      <c r="Q318" s="48" t="str">
        <f>IF(A318="","",I318)</f>
        <v/>
      </c>
      <c r="R318" s="51" t="str">
        <f>IF(A318="","",IF(P318="＞","OK","NG"))</f>
        <v/>
      </c>
      <c r="S318" s="86"/>
      <c r="T318" s="87"/>
      <c r="U318" s="28" t="str">
        <f>IF(S318="","",IF(T318=1,"素焼土管",IF(T318=2,"合成樹脂管",IF(T318=3,"無孔管",""))))</f>
        <v/>
      </c>
      <c r="V318" s="29"/>
      <c r="W318" s="88"/>
      <c r="X318" s="89"/>
      <c r="Y318" s="90"/>
      <c r="Z318" s="41" t="str">
        <f>IF(S318="","",IF(AND(T319=3,I318=""),Z316+Y318,IF(AND(Z316="",I316=""),I318+Y318,IF(AND(T319=3,I318&gt;0,Z316&gt;0),I318+Z316+Y318,IF(Z316="",I316+I318+X318+Y318,IF(I318="",Z316+X318+Y318,Z316+I318+X318+Y318))))))</f>
        <v/>
      </c>
      <c r="AA318" s="45" t="str">
        <f>IF(AB318="",""," 1/")</f>
        <v/>
      </c>
      <c r="AB318" s="91"/>
      <c r="AC318" s="30" t="str">
        <f>IF(S318="","",IF(T318="","",IF(T318=1,0.013,0.012)))</f>
        <v/>
      </c>
      <c r="AD318" s="31" t="str">
        <f>IF(S318="","",IF(T318="","",(1/AC318*(W318/100/2)^(8/3)*(1/AB318*100)^(1/2)*1.65696)*100))</f>
        <v/>
      </c>
      <c r="AE318" s="31" t="str">
        <f>IF(S318="","",IF(T318="","",1/AC318*(W318/100/2)^(2/3)*(1/AB318)^(1/2)*0.70541))</f>
        <v/>
      </c>
      <c r="AF318" s="31" t="str">
        <f>IF(S318="","",IF(T318="","",ROUNDDOWN(AD318/($U$3/8.64),3)))</f>
        <v/>
      </c>
      <c r="AG318" s="32" t="str">
        <f>IF(S318="","",IF(T318="","",ROUNDDOWN(AF318*10000/$AJ$3,0)))</f>
        <v/>
      </c>
      <c r="AH318" s="33" t="str">
        <f t="shared" si="2385"/>
        <v/>
      </c>
      <c r="AI318" s="41" t="str">
        <f>IF(S318="","",Z318)</f>
        <v/>
      </c>
      <c r="AJ318" s="43" t="str">
        <f>IF(S318="","",AI318*$AJ$3/10000)</f>
        <v/>
      </c>
      <c r="AK318" s="33" t="str">
        <f>IF(S318="","",IF(T318="","",IF(AND(T318=1,AE318&gt;1),"NG",IF(AH318="＞","OK","NG"))))</f>
        <v/>
      </c>
    </row>
    <row r="319" spans="1:37" ht="15.75" customHeight="1" x14ac:dyDescent="0.15">
      <c r="A319" s="92"/>
      <c r="B319" s="93"/>
      <c r="C319" s="59"/>
      <c r="D319" s="61"/>
      <c r="E319" s="94"/>
      <c r="F319" s="95"/>
      <c r="G319" s="95"/>
      <c r="H319" s="96"/>
      <c r="I319" s="54"/>
      <c r="J319" s="46"/>
      <c r="K319" s="97"/>
      <c r="L319" s="57"/>
      <c r="M319" s="44"/>
      <c r="N319" s="44"/>
      <c r="O319" s="42"/>
      <c r="P319" s="50"/>
      <c r="Q319" s="42"/>
      <c r="R319" s="52"/>
      <c r="S319" s="98"/>
      <c r="T319" s="99">
        <v>2</v>
      </c>
      <c r="U319" s="34" t="str">
        <f>IF(S318="","",IF(T318=T319,"〃",IF(T319=1,"素焼土管",IF(T319=2,"合成樹脂管",IF(T319=3,"無孔管","")))))</f>
        <v/>
      </c>
      <c r="V319" s="35"/>
      <c r="W319" s="100"/>
      <c r="X319" s="101"/>
      <c r="Y319" s="95"/>
      <c r="Z319" s="42"/>
      <c r="AA319" s="46"/>
      <c r="AB319" s="97"/>
      <c r="AC319" s="36" t="str">
        <f>IF(S318="","",IF(T319=1,0.013,0.012))</f>
        <v/>
      </c>
      <c r="AD319" s="37" t="str">
        <f>IF(S318="","",(1/AC319*(W319/100/2)^(8/3)*(1/AB318*100)^(1/2)*1.65696)*100)</f>
        <v/>
      </c>
      <c r="AE319" s="37" t="str">
        <f>IF(S318="","",1/AC319*(W319/100/2)^(2/3)*(1/AB318)^(1/2)*0.70541)</f>
        <v/>
      </c>
      <c r="AF319" s="37" t="str">
        <f>IF(S318="","",ROUNDDOWN(AD319/($U$3/8.64),3))</f>
        <v/>
      </c>
      <c r="AG319" s="38" t="str">
        <f>IF(S318="","",ROUNDDOWN(AF319*10000/$AJ$3,0))</f>
        <v/>
      </c>
      <c r="AH319" s="39" t="str">
        <f t="shared" ref="AH319" si="2411">IF(S318="","",IF(AG319&gt;AI318,"＞",IF(AG319=AI318,"=","＜")))</f>
        <v/>
      </c>
      <c r="AI319" s="42"/>
      <c r="AJ319" s="44"/>
      <c r="AK319" s="39" t="str">
        <f>IF(S318="","",IF(AND(T319=1,AE319&gt;1),"NG",IF(AH319="＞","OK","NG")))</f>
        <v/>
      </c>
    </row>
    <row r="320" spans="1:37" ht="15.75" customHeight="1" x14ac:dyDescent="0.15">
      <c r="A320" s="80"/>
      <c r="B320" s="81">
        <v>2</v>
      </c>
      <c r="C320" s="58" t="str">
        <f>IF(A320="","",IF(B320=1,"素　焼土　管",IF(B320=2,"合　成樹脂管",IF(B320=3,"無孔管",""))))</f>
        <v/>
      </c>
      <c r="D320" s="60"/>
      <c r="E320" s="82"/>
      <c r="F320" s="83"/>
      <c r="G320" s="83"/>
      <c r="H320" s="84"/>
      <c r="I320" s="53" t="str">
        <f>IF(A320="","",F320-G320+H320)</f>
        <v/>
      </c>
      <c r="J320" s="55" t="str">
        <f>IF(A320="",""," 1/")</f>
        <v/>
      </c>
      <c r="K320" s="85"/>
      <c r="L320" s="56" t="str">
        <f>IF(A320="","",IF(B320=1,0.013,0.012))</f>
        <v/>
      </c>
      <c r="M320" s="47" t="str">
        <f>IF(A320="","",(1/L320*(E320/100/2)^(8/3)*(1/K320*100)^(1/2)*1.65696)*100)</f>
        <v/>
      </c>
      <c r="N320" s="47" t="str">
        <f>IF(A320="","",1/L320*(E320/100/2)^(2/3)*(1/K320)^(1/2)*0.70541)</f>
        <v/>
      </c>
      <c r="O320" s="48" t="str">
        <f>IF(A320="","",ROUNDDOWN(M320/($U$3/8.64)*10000/$AJ$3,0))</f>
        <v/>
      </c>
      <c r="P320" s="49" t="str">
        <f>IF(A320="","",IF(O320&gt;Q320,"＞","＜"))</f>
        <v/>
      </c>
      <c r="Q320" s="48" t="str">
        <f>IF(A320="","",I320)</f>
        <v/>
      </c>
      <c r="R320" s="51" t="str">
        <f>IF(A320="","",IF(P320="＞","OK","NG"))</f>
        <v/>
      </c>
      <c r="S320" s="86"/>
      <c r="T320" s="87"/>
      <c r="U320" s="28" t="str">
        <f>IF(S320="","",IF(T320=1,"素焼土管",IF(T320=2,"合成樹脂管",IF(T320=3,"無孔管",""))))</f>
        <v/>
      </c>
      <c r="V320" s="29"/>
      <c r="W320" s="88"/>
      <c r="X320" s="89"/>
      <c r="Y320" s="90"/>
      <c r="Z320" s="41" t="str">
        <f>IF(S320="","",IF(AND(T321=3,I320=""),Z318+Y320,IF(AND(Z318="",I318=""),I320+Y320,IF(AND(T321=3,I320&gt;0,Z318&gt;0),I320+Z318+Y320,IF(Z318="",I318+I320+X320+Y320,IF(I320="",Z318+X320+Y320,Z318+I320+X320+Y320))))))</f>
        <v/>
      </c>
      <c r="AA320" s="45" t="str">
        <f>IF(AB320="",""," 1/")</f>
        <v/>
      </c>
      <c r="AB320" s="91"/>
      <c r="AC320" s="30" t="str">
        <f>IF(S320="","",IF(T320="","",IF(T320=1,0.013,0.012)))</f>
        <v/>
      </c>
      <c r="AD320" s="31" t="str">
        <f>IF(S320="","",IF(T320="","",(1/AC320*(W320/100/2)^(8/3)*(1/AB320*100)^(1/2)*1.65696)*100))</f>
        <v/>
      </c>
      <c r="AE320" s="31" t="str">
        <f>IF(S320="","",IF(T320="","",1/AC320*(W320/100/2)^(2/3)*(1/AB320)^(1/2)*0.70541))</f>
        <v/>
      </c>
      <c r="AF320" s="31" t="str">
        <f>IF(S320="","",IF(T320="","",ROUNDDOWN(AD320/($U$3/8.64),3)))</f>
        <v/>
      </c>
      <c r="AG320" s="32" t="str">
        <f>IF(S320="","",IF(T320="","",ROUNDDOWN(AF320*10000/$AJ$3,0)))</f>
        <v/>
      </c>
      <c r="AH320" s="33" t="str">
        <f t="shared" si="2385"/>
        <v/>
      </c>
      <c r="AI320" s="41" t="str">
        <f>IF(S320="","",Z320)</f>
        <v/>
      </c>
      <c r="AJ320" s="43" t="str">
        <f>IF(S320="","",AI320*$AJ$3/10000)</f>
        <v/>
      </c>
      <c r="AK320" s="33" t="str">
        <f>IF(S320="","",IF(T320="","",IF(AND(T320=1,AE320&gt;1),"NG",IF(AH320="＞","OK","NG"))))</f>
        <v/>
      </c>
    </row>
    <row r="321" spans="1:37" ht="15.75" customHeight="1" x14ac:dyDescent="0.15">
      <c r="A321" s="92"/>
      <c r="B321" s="93"/>
      <c r="C321" s="59"/>
      <c r="D321" s="61"/>
      <c r="E321" s="94"/>
      <c r="F321" s="95"/>
      <c r="G321" s="95"/>
      <c r="H321" s="96"/>
      <c r="I321" s="54"/>
      <c r="J321" s="46"/>
      <c r="K321" s="97"/>
      <c r="L321" s="57"/>
      <c r="M321" s="44"/>
      <c r="N321" s="44"/>
      <c r="O321" s="42"/>
      <c r="P321" s="50"/>
      <c r="Q321" s="42"/>
      <c r="R321" s="52"/>
      <c r="S321" s="98"/>
      <c r="T321" s="99">
        <v>2</v>
      </c>
      <c r="U321" s="34" t="str">
        <f>IF(S320="","",IF(T320=T321,"〃",IF(T321=1,"素焼土管",IF(T321=2,"合成樹脂管",IF(T321=3,"無孔管","")))))</f>
        <v/>
      </c>
      <c r="V321" s="35"/>
      <c r="W321" s="100"/>
      <c r="X321" s="101"/>
      <c r="Y321" s="95"/>
      <c r="Z321" s="42"/>
      <c r="AA321" s="46"/>
      <c r="AB321" s="97"/>
      <c r="AC321" s="36" t="str">
        <f>IF(S320="","",IF(T321=1,0.013,0.012))</f>
        <v/>
      </c>
      <c r="AD321" s="37" t="str">
        <f>IF(S320="","",(1/AC321*(W321/100/2)^(8/3)*(1/AB320*100)^(1/2)*1.65696)*100)</f>
        <v/>
      </c>
      <c r="AE321" s="37" t="str">
        <f>IF(S320="","",1/AC321*(W321/100/2)^(2/3)*(1/AB320)^(1/2)*0.70541)</f>
        <v/>
      </c>
      <c r="AF321" s="37" t="str">
        <f>IF(S320="","",ROUNDDOWN(AD321/($U$3/8.64),3))</f>
        <v/>
      </c>
      <c r="AG321" s="38" t="str">
        <f>IF(S320="","",ROUNDDOWN(AF321*10000/$AJ$3,0))</f>
        <v/>
      </c>
      <c r="AH321" s="39" t="str">
        <f t="shared" ref="AH321" si="2412">IF(S320="","",IF(AG321&gt;AI320,"＞",IF(AG321=AI320,"=","＜")))</f>
        <v/>
      </c>
      <c r="AI321" s="42"/>
      <c r="AJ321" s="44"/>
      <c r="AK321" s="39" t="str">
        <f>IF(S320="","",IF(AND(T321=1,AE321&gt;1),"NG",IF(AH321="＞","OK","NG")))</f>
        <v/>
      </c>
    </row>
    <row r="322" spans="1:37" ht="15.75" customHeight="1" x14ac:dyDescent="0.15">
      <c r="A322" s="80"/>
      <c r="B322" s="81">
        <v>2</v>
      </c>
      <c r="C322" s="58" t="str">
        <f>IF(A322="","",IF(B322=1,"素　焼土　管",IF(B322=2,"合　成樹脂管",IF(B322=3,"無孔管",""))))</f>
        <v/>
      </c>
      <c r="D322" s="60"/>
      <c r="E322" s="82"/>
      <c r="F322" s="83"/>
      <c r="G322" s="83"/>
      <c r="H322" s="84"/>
      <c r="I322" s="53" t="str">
        <f>IF(A322="","",F322-G322+H322)</f>
        <v/>
      </c>
      <c r="J322" s="55" t="str">
        <f>IF(A322="",""," 1/")</f>
        <v/>
      </c>
      <c r="K322" s="85"/>
      <c r="L322" s="56" t="str">
        <f>IF(A322="","",IF(B322=1,0.013,0.012))</f>
        <v/>
      </c>
      <c r="M322" s="47" t="str">
        <f>IF(A322="","",(1/L322*(E322/100/2)^(8/3)*(1/K322*100)^(1/2)*1.65696)*100)</f>
        <v/>
      </c>
      <c r="N322" s="47" t="str">
        <f>IF(A322="","",1/L322*(E322/100/2)^(2/3)*(1/K322)^(1/2)*0.70541)</f>
        <v/>
      </c>
      <c r="O322" s="48" t="str">
        <f>IF(A322="","",ROUNDDOWN(M322/($U$3/8.64)*10000/$AJ$3,0))</f>
        <v/>
      </c>
      <c r="P322" s="49" t="str">
        <f>IF(A322="","",IF(O322&gt;Q322,"＞","＜"))</f>
        <v/>
      </c>
      <c r="Q322" s="48" t="str">
        <f>IF(A322="","",I322)</f>
        <v/>
      </c>
      <c r="R322" s="51" t="str">
        <f>IF(A322="","",IF(P322="＞","OK","NG"))</f>
        <v/>
      </c>
      <c r="S322" s="86"/>
      <c r="T322" s="87"/>
      <c r="U322" s="28" t="str">
        <f>IF(S322="","",IF(T322=1,"素焼土管",IF(T322=2,"合成樹脂管",IF(T322=3,"無孔管",""))))</f>
        <v/>
      </c>
      <c r="V322" s="29"/>
      <c r="W322" s="88"/>
      <c r="X322" s="89"/>
      <c r="Y322" s="90"/>
      <c r="Z322" s="41" t="str">
        <f>IF(S322="","",IF(AND(T323=3,I322=""),Z320+Y322,IF(AND(Z320="",I320=""),I322+Y322,IF(AND(T323=3,I322&gt;0,Z320&gt;0),I322+Z320+Y322,IF(Z320="",I320+I322+X322+Y322,IF(I322="",Z320+X322+Y322,Z320+I322+X322+Y322))))))</f>
        <v/>
      </c>
      <c r="AA322" s="45" t="str">
        <f>IF(AB322="",""," 1/")</f>
        <v/>
      </c>
      <c r="AB322" s="91"/>
      <c r="AC322" s="30" t="str">
        <f>IF(S322="","",IF(T322="","",IF(T322=1,0.013,0.012)))</f>
        <v/>
      </c>
      <c r="AD322" s="31" t="str">
        <f>IF(S322="","",IF(T322="","",(1/AC322*(W322/100/2)^(8/3)*(1/AB322*100)^(1/2)*1.65696)*100))</f>
        <v/>
      </c>
      <c r="AE322" s="31" t="str">
        <f>IF(S322="","",IF(T322="","",1/AC322*(W322/100/2)^(2/3)*(1/AB322)^(1/2)*0.70541))</f>
        <v/>
      </c>
      <c r="AF322" s="31" t="str">
        <f>IF(S322="","",IF(T322="","",ROUNDDOWN(AD322/($U$3/8.64),3)))</f>
        <v/>
      </c>
      <c r="AG322" s="32" t="str">
        <f>IF(S322="","",IF(T322="","",ROUNDDOWN(AF322*10000/$AJ$3,0)))</f>
        <v/>
      </c>
      <c r="AH322" s="33" t="str">
        <f t="shared" si="2385"/>
        <v/>
      </c>
      <c r="AI322" s="41" t="str">
        <f>IF(S322="","",Z322)</f>
        <v/>
      </c>
      <c r="AJ322" s="43" t="str">
        <f>IF(S322="","",AI322*$AJ$3/10000)</f>
        <v/>
      </c>
      <c r="AK322" s="33" t="str">
        <f>IF(S322="","",IF(T322="","",IF(AND(T322=1,AE322&gt;1),"NG",IF(AH322="＞","OK","NG"))))</f>
        <v/>
      </c>
    </row>
    <row r="323" spans="1:37" ht="15.75" customHeight="1" x14ac:dyDescent="0.15">
      <c r="A323" s="92"/>
      <c r="B323" s="93"/>
      <c r="C323" s="59"/>
      <c r="D323" s="61"/>
      <c r="E323" s="94"/>
      <c r="F323" s="95"/>
      <c r="G323" s="95"/>
      <c r="H323" s="96"/>
      <c r="I323" s="54"/>
      <c r="J323" s="46"/>
      <c r="K323" s="97"/>
      <c r="L323" s="57"/>
      <c r="M323" s="44"/>
      <c r="N323" s="44"/>
      <c r="O323" s="42"/>
      <c r="P323" s="50"/>
      <c r="Q323" s="42"/>
      <c r="R323" s="52"/>
      <c r="S323" s="98"/>
      <c r="T323" s="99">
        <v>2</v>
      </c>
      <c r="U323" s="34" t="str">
        <f>IF(S322="","",IF(T322=T323,"〃",IF(T323=1,"素焼土管",IF(T323=2,"合成樹脂管",IF(T323=3,"無孔管","")))))</f>
        <v/>
      </c>
      <c r="V323" s="35"/>
      <c r="W323" s="100"/>
      <c r="X323" s="101"/>
      <c r="Y323" s="95"/>
      <c r="Z323" s="42"/>
      <c r="AA323" s="46"/>
      <c r="AB323" s="97"/>
      <c r="AC323" s="36" t="str">
        <f>IF(S322="","",IF(T323=1,0.013,0.012))</f>
        <v/>
      </c>
      <c r="AD323" s="37" t="str">
        <f>IF(S322="","",(1/AC323*(W323/100/2)^(8/3)*(1/AB322*100)^(1/2)*1.65696)*100)</f>
        <v/>
      </c>
      <c r="AE323" s="37" t="str">
        <f>IF(S322="","",1/AC323*(W323/100/2)^(2/3)*(1/AB322)^(1/2)*0.70541)</f>
        <v/>
      </c>
      <c r="AF323" s="37" t="str">
        <f>IF(S322="","",ROUNDDOWN(AD323/($U$3/8.64),3))</f>
        <v/>
      </c>
      <c r="AG323" s="38" t="str">
        <f>IF(S322="","",ROUNDDOWN(AF323*10000/$AJ$3,0))</f>
        <v/>
      </c>
      <c r="AH323" s="39" t="str">
        <f t="shared" ref="AH323" si="2413">IF(S322="","",IF(AG323&gt;AI322,"＞",IF(AG323=AI322,"=","＜")))</f>
        <v/>
      </c>
      <c r="AI323" s="42"/>
      <c r="AJ323" s="44"/>
      <c r="AK323" s="39" t="str">
        <f>IF(S322="","",IF(AND(T323=1,AE323&gt;1),"NG",IF(AH323="＞","OK","NG")))</f>
        <v/>
      </c>
    </row>
    <row r="324" spans="1:37" ht="15.75" customHeight="1" x14ac:dyDescent="0.15">
      <c r="A324" s="80"/>
      <c r="B324" s="81">
        <v>2</v>
      </c>
      <c r="C324" s="58" t="str">
        <f>IF(A324="","",IF(B324=1,"素　焼土　管",IF(B324=2,"合　成樹脂管",IF(B324=3,"無孔管",""))))</f>
        <v/>
      </c>
      <c r="D324" s="60"/>
      <c r="E324" s="82"/>
      <c r="F324" s="83"/>
      <c r="G324" s="83"/>
      <c r="H324" s="84"/>
      <c r="I324" s="53" t="str">
        <f>IF(A324="","",F324-G324+H324)</f>
        <v/>
      </c>
      <c r="J324" s="55" t="str">
        <f>IF(A324="",""," 1/")</f>
        <v/>
      </c>
      <c r="K324" s="85"/>
      <c r="L324" s="56" t="str">
        <f>IF(A324="","",IF(B324=1,0.013,0.012))</f>
        <v/>
      </c>
      <c r="M324" s="47" t="str">
        <f>IF(A324="","",(1/L324*(E324/100/2)^(8/3)*(1/K324*100)^(1/2)*1.65696)*100)</f>
        <v/>
      </c>
      <c r="N324" s="47" t="str">
        <f>IF(A324="","",1/L324*(E324/100/2)^(2/3)*(1/K324)^(1/2)*0.70541)</f>
        <v/>
      </c>
      <c r="O324" s="48" t="str">
        <f>IF(A324="","",ROUNDDOWN(M324/($U$3/8.64)*10000/$AJ$3,0))</f>
        <v/>
      </c>
      <c r="P324" s="49" t="str">
        <f>IF(A324="","",IF(O324&gt;Q324,"＞","＜"))</f>
        <v/>
      </c>
      <c r="Q324" s="48" t="str">
        <f>IF(A324="","",I324)</f>
        <v/>
      </c>
      <c r="R324" s="51" t="str">
        <f>IF(A324="","",IF(P324="＞","OK","NG"))</f>
        <v/>
      </c>
      <c r="S324" s="86"/>
      <c r="T324" s="87"/>
      <c r="U324" s="28" t="str">
        <f>IF(S324="","",IF(T324=1,"素焼土管",IF(T324=2,"合成樹脂管",IF(T324=3,"無孔管",""))))</f>
        <v/>
      </c>
      <c r="V324" s="29"/>
      <c r="W324" s="88"/>
      <c r="X324" s="89"/>
      <c r="Y324" s="90"/>
      <c r="Z324" s="41" t="str">
        <f>IF(S324="","",IF(AND(T325=3,I324=""),Z322+Y324,IF(AND(Z322="",I322=""),I324+Y324,IF(AND(T325=3,I324&gt;0,Z322&gt;0),I324+Z322+Y324,IF(Z322="",I322+I324+X324+Y324,IF(I324="",Z322+X324+Y324,Z322+I324+X324+Y324))))))</f>
        <v/>
      </c>
      <c r="AA324" s="45" t="str">
        <f>IF(AB324="",""," 1/")</f>
        <v/>
      </c>
      <c r="AB324" s="91"/>
      <c r="AC324" s="30" t="str">
        <f>IF(S324="","",IF(T324="","",IF(T324=1,0.013,0.012)))</f>
        <v/>
      </c>
      <c r="AD324" s="31" t="str">
        <f>IF(S324="","",IF(T324="","",(1/AC324*(W324/100/2)^(8/3)*(1/AB324*100)^(1/2)*1.65696)*100))</f>
        <v/>
      </c>
      <c r="AE324" s="31" t="str">
        <f>IF(S324="","",IF(T324="","",1/AC324*(W324/100/2)^(2/3)*(1/AB324)^(1/2)*0.70541))</f>
        <v/>
      </c>
      <c r="AF324" s="31" t="str">
        <f>IF(S324="","",IF(T324="","",ROUNDDOWN(AD324/($U$3/8.64),3)))</f>
        <v/>
      </c>
      <c r="AG324" s="32" t="str">
        <f>IF(S324="","",IF(T324="","",ROUNDDOWN(AF324*10000/$AJ$3,0)))</f>
        <v/>
      </c>
      <c r="AH324" s="33" t="str">
        <f t="shared" si="2385"/>
        <v/>
      </c>
      <c r="AI324" s="41" t="str">
        <f>IF(S324="","",Z324)</f>
        <v/>
      </c>
      <c r="AJ324" s="43" t="str">
        <f>IF(S324="","",AI324*$AJ$3/10000)</f>
        <v/>
      </c>
      <c r="AK324" s="33" t="str">
        <f>IF(S324="","",IF(T324="","",IF(AND(T324=1,AE324&gt;1),"NG",IF(AH324="＞","OK","NG"))))</f>
        <v/>
      </c>
    </row>
    <row r="325" spans="1:37" ht="15.75" customHeight="1" x14ac:dyDescent="0.15">
      <c r="A325" s="92"/>
      <c r="B325" s="93"/>
      <c r="C325" s="59"/>
      <c r="D325" s="61"/>
      <c r="E325" s="94"/>
      <c r="F325" s="95"/>
      <c r="G325" s="95"/>
      <c r="H325" s="96"/>
      <c r="I325" s="54"/>
      <c r="J325" s="46"/>
      <c r="K325" s="97"/>
      <c r="L325" s="57"/>
      <c r="M325" s="44"/>
      <c r="N325" s="44"/>
      <c r="O325" s="42"/>
      <c r="P325" s="50"/>
      <c r="Q325" s="42"/>
      <c r="R325" s="52"/>
      <c r="S325" s="98"/>
      <c r="T325" s="99">
        <v>2</v>
      </c>
      <c r="U325" s="34" t="str">
        <f>IF(S324="","",IF(T324=T325,"〃",IF(T325=1,"素焼土管",IF(T325=2,"合成樹脂管",IF(T325=3,"無孔管","")))))</f>
        <v/>
      </c>
      <c r="V325" s="35"/>
      <c r="W325" s="100"/>
      <c r="X325" s="101"/>
      <c r="Y325" s="95"/>
      <c r="Z325" s="42"/>
      <c r="AA325" s="46"/>
      <c r="AB325" s="97"/>
      <c r="AC325" s="36" t="str">
        <f>IF(S324="","",IF(T325=1,0.013,0.012))</f>
        <v/>
      </c>
      <c r="AD325" s="37" t="str">
        <f>IF(S324="","",(1/AC325*(W325/100/2)^(8/3)*(1/AB324*100)^(1/2)*1.65696)*100)</f>
        <v/>
      </c>
      <c r="AE325" s="37" t="str">
        <f>IF(S324="","",1/AC325*(W325/100/2)^(2/3)*(1/AB324)^(1/2)*0.70541)</f>
        <v/>
      </c>
      <c r="AF325" s="37" t="str">
        <f>IF(S324="","",ROUNDDOWN(AD325/($U$3/8.64),3))</f>
        <v/>
      </c>
      <c r="AG325" s="38" t="str">
        <f>IF(S324="","",ROUNDDOWN(AF325*10000/$AJ$3,0))</f>
        <v/>
      </c>
      <c r="AH325" s="39" t="str">
        <f t="shared" ref="AH325" si="2414">IF(S324="","",IF(AG325&gt;AI324,"＞",IF(AG325=AI324,"=","＜")))</f>
        <v/>
      </c>
      <c r="AI325" s="42"/>
      <c r="AJ325" s="44"/>
      <c r="AK325" s="39" t="str">
        <f>IF(S324="","",IF(AND(T325=1,AE325&gt;1),"NG",IF(AH325="＞","OK","NG")))</f>
        <v/>
      </c>
    </row>
    <row r="326" spans="1:37" ht="15.75" customHeight="1" x14ac:dyDescent="0.15">
      <c r="A326" s="80"/>
      <c r="B326" s="81">
        <v>2</v>
      </c>
      <c r="C326" s="58" t="str">
        <f>IF(A326="","",IF(B326=1,"素　焼土　管",IF(B326=2,"合　成樹脂管",IF(B326=3,"無孔管",""))))</f>
        <v/>
      </c>
      <c r="D326" s="60"/>
      <c r="E326" s="82"/>
      <c r="F326" s="83"/>
      <c r="G326" s="83"/>
      <c r="H326" s="84"/>
      <c r="I326" s="53" t="str">
        <f>IF(A326="","",F326-G326+H326)</f>
        <v/>
      </c>
      <c r="J326" s="55" t="str">
        <f>IF(A326="",""," 1/")</f>
        <v/>
      </c>
      <c r="K326" s="85"/>
      <c r="L326" s="56" t="str">
        <f>IF(A326="","",IF(B326=1,0.013,0.012))</f>
        <v/>
      </c>
      <c r="M326" s="47" t="str">
        <f>IF(A326="","",(1/L326*(E326/100/2)^(8/3)*(1/K326*100)^(1/2)*1.65696)*100)</f>
        <v/>
      </c>
      <c r="N326" s="47" t="str">
        <f>IF(A326="","",1/L326*(E326/100/2)^(2/3)*(1/K326)^(1/2)*0.70541)</f>
        <v/>
      </c>
      <c r="O326" s="48" t="str">
        <f>IF(A326="","",ROUNDDOWN(M326/($U$3/8.64)*10000/$AJ$3,0))</f>
        <v/>
      </c>
      <c r="P326" s="49" t="str">
        <f>IF(A326="","",IF(O326&gt;Q326,"＞","＜"))</f>
        <v/>
      </c>
      <c r="Q326" s="48" t="str">
        <f>IF(A326="","",I326)</f>
        <v/>
      </c>
      <c r="R326" s="51" t="str">
        <f>IF(A326="","",IF(P326="＞","OK","NG"))</f>
        <v/>
      </c>
      <c r="S326" s="86"/>
      <c r="T326" s="87"/>
      <c r="U326" s="28" t="str">
        <f>IF(S326="","",IF(T326=1,"素焼土管",IF(T326=2,"合成樹脂管",IF(T326=3,"無孔管",""))))</f>
        <v/>
      </c>
      <c r="V326" s="29"/>
      <c r="W326" s="88"/>
      <c r="X326" s="89"/>
      <c r="Y326" s="90"/>
      <c r="Z326" s="41" t="str">
        <f>IF(S326="","",IF(AND(T327=3,I326=""),Z324+Y326,IF(AND(Z324="",I324=""),I326+Y326,IF(AND(T327=3,I326&gt;0,Z324&gt;0),I326+Z324+Y326,IF(Z324="",I324+I326+X326+Y326,IF(I326="",Z324+X326+Y326,Z324+I326+X326+Y326))))))</f>
        <v/>
      </c>
      <c r="AA326" s="45" t="str">
        <f>IF(AB326="",""," 1/")</f>
        <v/>
      </c>
      <c r="AB326" s="91"/>
      <c r="AC326" s="30" t="str">
        <f>IF(S326="","",IF(T326="","",IF(T326=1,0.013,0.012)))</f>
        <v/>
      </c>
      <c r="AD326" s="31" t="str">
        <f>IF(S326="","",IF(T326="","",(1/AC326*(W326/100/2)^(8/3)*(1/AB326*100)^(1/2)*1.65696)*100))</f>
        <v/>
      </c>
      <c r="AE326" s="31" t="str">
        <f>IF(S326="","",IF(T326="","",1/AC326*(W326/100/2)^(2/3)*(1/AB326)^(1/2)*0.70541))</f>
        <v/>
      </c>
      <c r="AF326" s="31" t="str">
        <f>IF(S326="","",IF(T326="","",ROUNDDOWN(AD326/($U$3/8.64),3)))</f>
        <v/>
      </c>
      <c r="AG326" s="32" t="str">
        <f>IF(S326="","",IF(T326="","",ROUNDDOWN(AF326*10000/$AJ$3,0)))</f>
        <v/>
      </c>
      <c r="AH326" s="33" t="str">
        <f t="shared" si="2385"/>
        <v/>
      </c>
      <c r="AI326" s="41" t="str">
        <f>IF(S326="","",Z326)</f>
        <v/>
      </c>
      <c r="AJ326" s="43" t="str">
        <f>IF(S326="","",AI326*$AJ$3/10000)</f>
        <v/>
      </c>
      <c r="AK326" s="33" t="str">
        <f>IF(S326="","",IF(T326="","",IF(AND(T326=1,AE326&gt;1),"NG",IF(AH326="＞","OK","NG"))))</f>
        <v/>
      </c>
    </row>
    <row r="327" spans="1:37" ht="15.75" customHeight="1" x14ac:dyDescent="0.15">
      <c r="A327" s="92"/>
      <c r="B327" s="93"/>
      <c r="C327" s="59"/>
      <c r="D327" s="61"/>
      <c r="E327" s="94"/>
      <c r="F327" s="95"/>
      <c r="G327" s="95"/>
      <c r="H327" s="96"/>
      <c r="I327" s="54"/>
      <c r="J327" s="46"/>
      <c r="K327" s="97"/>
      <c r="L327" s="57"/>
      <c r="M327" s="44"/>
      <c r="N327" s="44"/>
      <c r="O327" s="42"/>
      <c r="P327" s="50"/>
      <c r="Q327" s="42"/>
      <c r="R327" s="52"/>
      <c r="S327" s="98"/>
      <c r="T327" s="99">
        <v>2</v>
      </c>
      <c r="U327" s="34" t="str">
        <f>IF(S326="","",IF(T326=T327,"〃",IF(T327=1,"素焼土管",IF(T327=2,"合成樹脂管",IF(T327=3,"無孔管","")))))</f>
        <v/>
      </c>
      <c r="V327" s="35"/>
      <c r="W327" s="100"/>
      <c r="X327" s="101"/>
      <c r="Y327" s="95"/>
      <c r="Z327" s="42"/>
      <c r="AA327" s="46"/>
      <c r="AB327" s="97"/>
      <c r="AC327" s="36" t="str">
        <f>IF(S326="","",IF(T327=1,0.013,0.012))</f>
        <v/>
      </c>
      <c r="AD327" s="37" t="str">
        <f>IF(S326="","",(1/AC327*(W327/100/2)^(8/3)*(1/AB326*100)^(1/2)*1.65696)*100)</f>
        <v/>
      </c>
      <c r="AE327" s="37" t="str">
        <f>IF(S326="","",1/AC327*(W327/100/2)^(2/3)*(1/AB326)^(1/2)*0.70541)</f>
        <v/>
      </c>
      <c r="AF327" s="37" t="str">
        <f>IF(S326="","",ROUNDDOWN(AD327/($U$3/8.64),3))</f>
        <v/>
      </c>
      <c r="AG327" s="38" t="str">
        <f>IF(S326="","",ROUNDDOWN(AF327*10000/$AJ$3,0))</f>
        <v/>
      </c>
      <c r="AH327" s="39" t="str">
        <f t="shared" ref="AH327" si="2415">IF(S326="","",IF(AG327&gt;AI326,"＞",IF(AG327=AI326,"=","＜")))</f>
        <v/>
      </c>
      <c r="AI327" s="42"/>
      <c r="AJ327" s="44"/>
      <c r="AK327" s="39" t="str">
        <f>IF(S326="","",IF(AND(T327=1,AE327&gt;1),"NG",IF(AH327="＞","OK","NG")))</f>
        <v/>
      </c>
    </row>
    <row r="328" spans="1:37" ht="15.75" customHeight="1" x14ac:dyDescent="0.15">
      <c r="A328" s="80"/>
      <c r="B328" s="81">
        <v>2</v>
      </c>
      <c r="C328" s="58" t="str">
        <f>IF(A328="","",IF(B328=1,"素　焼土　管",IF(B328=2,"合　成樹脂管",IF(B328=3,"無孔管",""))))</f>
        <v/>
      </c>
      <c r="D328" s="60"/>
      <c r="E328" s="82"/>
      <c r="F328" s="83"/>
      <c r="G328" s="83"/>
      <c r="H328" s="84"/>
      <c r="I328" s="53" t="str">
        <f>IF(A328="","",F328-G328+H328)</f>
        <v/>
      </c>
      <c r="J328" s="55" t="str">
        <f>IF(A328="",""," 1/")</f>
        <v/>
      </c>
      <c r="K328" s="85"/>
      <c r="L328" s="56" t="str">
        <f>IF(A328="","",IF(B328=1,0.013,0.012))</f>
        <v/>
      </c>
      <c r="M328" s="47" t="str">
        <f>IF(A328="","",(1/L328*(E328/100/2)^(8/3)*(1/K328*100)^(1/2)*1.65696)*100)</f>
        <v/>
      </c>
      <c r="N328" s="47" t="str">
        <f>IF(A328="","",1/L328*(E328/100/2)^(2/3)*(1/K328)^(1/2)*0.70541)</f>
        <v/>
      </c>
      <c r="O328" s="48" t="str">
        <f>IF(A328="","",ROUNDDOWN(M328/($U$3/8.64)*10000/$AJ$3,0))</f>
        <v/>
      </c>
      <c r="P328" s="49" t="str">
        <f>IF(A328="","",IF(O328&gt;Q328,"＞","＜"))</f>
        <v/>
      </c>
      <c r="Q328" s="48" t="str">
        <f>IF(A328="","",I328)</f>
        <v/>
      </c>
      <c r="R328" s="51" t="str">
        <f>IF(A328="","",IF(P328="＞","OK","NG"))</f>
        <v/>
      </c>
      <c r="S328" s="86"/>
      <c r="T328" s="87"/>
      <c r="U328" s="28" t="str">
        <f>IF(S328="","",IF(T328=1,"素焼土管",IF(T328=2,"合成樹脂管",IF(T328=3,"無孔管",""))))</f>
        <v/>
      </c>
      <c r="V328" s="29"/>
      <c r="W328" s="88"/>
      <c r="X328" s="89"/>
      <c r="Y328" s="90"/>
      <c r="Z328" s="41" t="str">
        <f>IF(S328="","",IF(AND(T329=3,I328=""),Z326+Y328,IF(AND(Z326="",I326=""),I328+Y328,IF(AND(T329=3,I328&gt;0,Z326&gt;0),I328+Z326+Y328,IF(Z326="",I326+I328+X328+Y328,IF(I328="",Z326+X328+Y328,Z326+I328+X328+Y328))))))</f>
        <v/>
      </c>
      <c r="AA328" s="45" t="str">
        <f>IF(AB328="",""," 1/")</f>
        <v/>
      </c>
      <c r="AB328" s="91"/>
      <c r="AC328" s="30" t="str">
        <f>IF(S328="","",IF(T328="","",IF(T328=1,0.013,0.012)))</f>
        <v/>
      </c>
      <c r="AD328" s="31" t="str">
        <f>IF(S328="","",IF(T328="","",(1/AC328*(W328/100/2)^(8/3)*(1/AB328*100)^(1/2)*1.65696)*100))</f>
        <v/>
      </c>
      <c r="AE328" s="31" t="str">
        <f>IF(S328="","",IF(T328="","",1/AC328*(W328/100/2)^(2/3)*(1/AB328)^(1/2)*0.70541))</f>
        <v/>
      </c>
      <c r="AF328" s="31" t="str">
        <f>IF(S328="","",IF(T328="","",ROUNDDOWN(AD328/($U$3/8.64),3)))</f>
        <v/>
      </c>
      <c r="AG328" s="32" t="str">
        <f>IF(S328="","",IF(T328="","",ROUNDDOWN(AF328*10000/$AJ$3,0)))</f>
        <v/>
      </c>
      <c r="AH328" s="33" t="str">
        <f t="shared" si="2385"/>
        <v/>
      </c>
      <c r="AI328" s="41" t="str">
        <f>IF(S328="","",Z328)</f>
        <v/>
      </c>
      <c r="AJ328" s="43" t="str">
        <f>IF(S328="","",AI328*$AJ$3/10000)</f>
        <v/>
      </c>
      <c r="AK328" s="33" t="str">
        <f>IF(S328="","",IF(T328="","",IF(AND(T328=1,AE328&gt;1),"NG",IF(AH328="＞","OK","NG"))))</f>
        <v/>
      </c>
    </row>
    <row r="329" spans="1:37" ht="15.75" customHeight="1" x14ac:dyDescent="0.15">
      <c r="A329" s="92"/>
      <c r="B329" s="93"/>
      <c r="C329" s="59"/>
      <c r="D329" s="61"/>
      <c r="E329" s="94"/>
      <c r="F329" s="95"/>
      <c r="G329" s="95"/>
      <c r="H329" s="96"/>
      <c r="I329" s="54"/>
      <c r="J329" s="46"/>
      <c r="K329" s="97"/>
      <c r="L329" s="57"/>
      <c r="M329" s="44"/>
      <c r="N329" s="44"/>
      <c r="O329" s="42"/>
      <c r="P329" s="50"/>
      <c r="Q329" s="42"/>
      <c r="R329" s="52"/>
      <c r="S329" s="98"/>
      <c r="T329" s="99">
        <v>2</v>
      </c>
      <c r="U329" s="34" t="str">
        <f>IF(S328="","",IF(T328=T329,"〃",IF(T329=1,"素焼土管",IF(T329=2,"合成樹脂管",IF(T329=3,"無孔管","")))))</f>
        <v/>
      </c>
      <c r="V329" s="35"/>
      <c r="W329" s="100"/>
      <c r="X329" s="101"/>
      <c r="Y329" s="95"/>
      <c r="Z329" s="42"/>
      <c r="AA329" s="46"/>
      <c r="AB329" s="97"/>
      <c r="AC329" s="36" t="str">
        <f>IF(S328="","",IF(T329=1,0.013,0.012))</f>
        <v/>
      </c>
      <c r="AD329" s="37" t="str">
        <f>IF(S328="","",(1/AC329*(W329/100/2)^(8/3)*(1/AB328*100)^(1/2)*1.65696)*100)</f>
        <v/>
      </c>
      <c r="AE329" s="37" t="str">
        <f>IF(S328="","",1/AC329*(W329/100/2)^(2/3)*(1/AB328)^(1/2)*0.70541)</f>
        <v/>
      </c>
      <c r="AF329" s="37" t="str">
        <f>IF(S328="","",ROUNDDOWN(AD329/($U$3/8.64),3))</f>
        <v/>
      </c>
      <c r="AG329" s="38" t="str">
        <f>IF(S328="","",ROUNDDOWN(AF329*10000/$AJ$3,0))</f>
        <v/>
      </c>
      <c r="AH329" s="39" t="str">
        <f t="shared" ref="AH329" si="2416">IF(S328="","",IF(AG329&gt;AI328,"＞",IF(AG329=AI328,"=","＜")))</f>
        <v/>
      </c>
      <c r="AI329" s="42"/>
      <c r="AJ329" s="44"/>
      <c r="AK329" s="39" t="str">
        <f>IF(S328="","",IF(AND(T329=1,AE329&gt;1),"NG",IF(AH329="＞","OK","NG")))</f>
        <v/>
      </c>
    </row>
    <row r="330" spans="1:37" ht="15.75" customHeight="1" x14ac:dyDescent="0.15">
      <c r="A330" s="80"/>
      <c r="B330" s="81">
        <v>2</v>
      </c>
      <c r="C330" s="58" t="str">
        <f>IF(A330="","",IF(B330=1,"素　焼土　管",IF(B330=2,"合　成樹脂管",IF(B330=3,"無孔管",""))))</f>
        <v/>
      </c>
      <c r="D330" s="60"/>
      <c r="E330" s="82"/>
      <c r="F330" s="83"/>
      <c r="G330" s="83"/>
      <c r="H330" s="84"/>
      <c r="I330" s="53" t="str">
        <f>IF(A330="","",F330-G330+H330)</f>
        <v/>
      </c>
      <c r="J330" s="55" t="str">
        <f>IF(A330="",""," 1/")</f>
        <v/>
      </c>
      <c r="K330" s="85"/>
      <c r="L330" s="56" t="str">
        <f>IF(A330="","",IF(B330=1,0.013,0.012))</f>
        <v/>
      </c>
      <c r="M330" s="47" t="str">
        <f>IF(A330="","",(1/L330*(E330/100/2)^(8/3)*(1/K330*100)^(1/2)*1.65696)*100)</f>
        <v/>
      </c>
      <c r="N330" s="47" t="str">
        <f>IF(A330="","",1/L330*(E330/100/2)^(2/3)*(1/K330)^(1/2)*0.70541)</f>
        <v/>
      </c>
      <c r="O330" s="48" t="str">
        <f>IF(A330="","",ROUNDDOWN(M330/($U$3/8.64)*10000/$AJ$3,0))</f>
        <v/>
      </c>
      <c r="P330" s="49" t="str">
        <f>IF(A330="","",IF(O330&gt;Q330,"＞","＜"))</f>
        <v/>
      </c>
      <c r="Q330" s="48" t="str">
        <f>IF(A330="","",I330)</f>
        <v/>
      </c>
      <c r="R330" s="51" t="str">
        <f>IF(A330="","",IF(P330="＞","OK","NG"))</f>
        <v/>
      </c>
      <c r="S330" s="86"/>
      <c r="T330" s="87"/>
      <c r="U330" s="28" t="str">
        <f>IF(S330="","",IF(T330=1,"素焼土管",IF(T330=2,"合成樹脂管",IF(T330=3,"無孔管",""))))</f>
        <v/>
      </c>
      <c r="V330" s="29"/>
      <c r="W330" s="88"/>
      <c r="X330" s="89"/>
      <c r="Y330" s="90"/>
      <c r="Z330" s="41" t="str">
        <f>IF(S330="","",IF(AND(T331=3,I330=""),Z328+Y330,IF(AND(Z328="",I328=""),I330+Y330,IF(AND(T331=3,I330&gt;0,Z328&gt;0),I330+Z328+Y330,IF(Z328="",I328+I330+X330+Y330,IF(I330="",Z328+X330+Y330,Z328+I330+X330+Y330))))))</f>
        <v/>
      </c>
      <c r="AA330" s="45" t="str">
        <f>IF(AB330="",""," 1/")</f>
        <v/>
      </c>
      <c r="AB330" s="91"/>
      <c r="AC330" s="30" t="str">
        <f>IF(S330="","",IF(T330="","",IF(T330=1,0.013,0.012)))</f>
        <v/>
      </c>
      <c r="AD330" s="31" t="str">
        <f>IF(S330="","",IF(T330="","",(1/AC330*(W330/100/2)^(8/3)*(1/AB330*100)^(1/2)*1.65696)*100))</f>
        <v/>
      </c>
      <c r="AE330" s="31" t="str">
        <f>IF(S330="","",IF(T330="","",1/AC330*(W330/100/2)^(2/3)*(1/AB330)^(1/2)*0.70541))</f>
        <v/>
      </c>
      <c r="AF330" s="31" t="str">
        <f>IF(S330="","",IF(T330="","",ROUNDDOWN(AD330/($U$3/8.64),3)))</f>
        <v/>
      </c>
      <c r="AG330" s="32" t="str">
        <f>IF(S330="","",IF(T330="","",ROUNDDOWN(AF330*10000/$AJ$3,0)))</f>
        <v/>
      </c>
      <c r="AH330" s="33" t="str">
        <f t="shared" si="2385"/>
        <v/>
      </c>
      <c r="AI330" s="41" t="str">
        <f>IF(S330="","",Z330)</f>
        <v/>
      </c>
      <c r="AJ330" s="43" t="str">
        <f>IF(S330="","",AI330*$AJ$3/10000)</f>
        <v/>
      </c>
      <c r="AK330" s="33" t="str">
        <f>IF(S330="","",IF(T330="","",IF(AND(T330=1,AE330&gt;1),"NG",IF(AH330="＞","OK","NG"))))</f>
        <v/>
      </c>
    </row>
    <row r="331" spans="1:37" ht="15.75" customHeight="1" x14ac:dyDescent="0.15">
      <c r="A331" s="92"/>
      <c r="B331" s="93"/>
      <c r="C331" s="59"/>
      <c r="D331" s="61"/>
      <c r="E331" s="94"/>
      <c r="F331" s="95"/>
      <c r="G331" s="95"/>
      <c r="H331" s="96"/>
      <c r="I331" s="54"/>
      <c r="J331" s="46"/>
      <c r="K331" s="97"/>
      <c r="L331" s="57"/>
      <c r="M331" s="44"/>
      <c r="N331" s="44"/>
      <c r="O331" s="42"/>
      <c r="P331" s="50"/>
      <c r="Q331" s="42"/>
      <c r="R331" s="52"/>
      <c r="S331" s="98"/>
      <c r="T331" s="99">
        <v>2</v>
      </c>
      <c r="U331" s="34" t="str">
        <f>IF(S330="","",IF(T330=T331,"〃",IF(T331=1,"素焼土管",IF(T331=2,"合成樹脂管",IF(T331=3,"無孔管","")))))</f>
        <v/>
      </c>
      <c r="V331" s="35"/>
      <c r="W331" s="100"/>
      <c r="X331" s="101"/>
      <c r="Y331" s="95"/>
      <c r="Z331" s="42"/>
      <c r="AA331" s="46"/>
      <c r="AB331" s="97"/>
      <c r="AC331" s="36" t="str">
        <f>IF(S330="","",IF(T331=1,0.013,0.012))</f>
        <v/>
      </c>
      <c r="AD331" s="37" t="str">
        <f>IF(S330="","",(1/AC331*(W331/100/2)^(8/3)*(1/AB330*100)^(1/2)*1.65696)*100)</f>
        <v/>
      </c>
      <c r="AE331" s="37" t="str">
        <f>IF(S330="","",1/AC331*(W331/100/2)^(2/3)*(1/AB330)^(1/2)*0.70541)</f>
        <v/>
      </c>
      <c r="AF331" s="37" t="str">
        <f>IF(S330="","",ROUNDDOWN(AD331/($U$3/8.64),3))</f>
        <v/>
      </c>
      <c r="AG331" s="38" t="str">
        <f>IF(S330="","",ROUNDDOWN(AF331*10000/$AJ$3,0))</f>
        <v/>
      </c>
      <c r="AH331" s="39" t="str">
        <f t="shared" ref="AH331" si="2417">IF(S330="","",IF(AG331&gt;AI330,"＞",IF(AG331=AI330,"=","＜")))</f>
        <v/>
      </c>
      <c r="AI331" s="42"/>
      <c r="AJ331" s="44"/>
      <c r="AK331" s="39" t="str">
        <f>IF(S330="","",IF(AND(T331=1,AE331&gt;1),"NG",IF(AH331="＞","OK","NG")))</f>
        <v/>
      </c>
    </row>
    <row r="332" spans="1:37" ht="15.75" customHeight="1" x14ac:dyDescent="0.15">
      <c r="A332" s="80"/>
      <c r="B332" s="81">
        <v>2</v>
      </c>
      <c r="C332" s="58" t="str">
        <f>IF(A332="","",IF(B332=1,"素　焼土　管",IF(B332=2,"合　成樹脂管",IF(B332=3,"無孔管",""))))</f>
        <v/>
      </c>
      <c r="D332" s="60"/>
      <c r="E332" s="82"/>
      <c r="F332" s="83"/>
      <c r="G332" s="83"/>
      <c r="H332" s="84"/>
      <c r="I332" s="53" t="str">
        <f>IF(A332="","",F332-G332+H332)</f>
        <v/>
      </c>
      <c r="J332" s="55" t="str">
        <f>IF(A332="",""," 1/")</f>
        <v/>
      </c>
      <c r="K332" s="85"/>
      <c r="L332" s="56" t="str">
        <f>IF(A332="","",IF(B332=1,0.013,0.012))</f>
        <v/>
      </c>
      <c r="M332" s="47" t="str">
        <f>IF(A332="","",(1/L332*(E332/100/2)^(8/3)*(1/K332*100)^(1/2)*1.65696)*100)</f>
        <v/>
      </c>
      <c r="N332" s="47" t="str">
        <f>IF(A332="","",1/L332*(E332/100/2)^(2/3)*(1/K332)^(1/2)*0.70541)</f>
        <v/>
      </c>
      <c r="O332" s="48" t="str">
        <f>IF(A332="","",ROUNDDOWN(M332/($U$3/8.64)*10000/$AJ$3,0))</f>
        <v/>
      </c>
      <c r="P332" s="49" t="str">
        <f>IF(A332="","",IF(O332&gt;Q332,"＞","＜"))</f>
        <v/>
      </c>
      <c r="Q332" s="48" t="str">
        <f>IF(A332="","",I332)</f>
        <v/>
      </c>
      <c r="R332" s="51" t="str">
        <f>IF(A332="","",IF(P332="＞","OK","NG"))</f>
        <v/>
      </c>
      <c r="S332" s="86"/>
      <c r="T332" s="87"/>
      <c r="U332" s="28" t="str">
        <f>IF(S332="","",IF(T332=1,"素焼土管",IF(T332=2,"合成樹脂管",IF(T332=3,"無孔管",""))))</f>
        <v/>
      </c>
      <c r="V332" s="29"/>
      <c r="W332" s="88"/>
      <c r="X332" s="89"/>
      <c r="Y332" s="90"/>
      <c r="Z332" s="41" t="str">
        <f>IF(S332="","",IF(AND(T333=3,I332=""),Z330+Y332,IF(AND(Z330="",I330=""),I332+Y332,IF(AND(T333=3,I332&gt;0,Z330&gt;0),I332+Z330+Y332,IF(Z330="",I330+I332+X332+Y332,IF(I332="",Z330+X332+Y332,Z330+I332+X332+Y332))))))</f>
        <v/>
      </c>
      <c r="AA332" s="45" t="str">
        <f>IF(AB332="",""," 1/")</f>
        <v/>
      </c>
      <c r="AB332" s="91"/>
      <c r="AC332" s="30" t="str">
        <f>IF(S332="","",IF(T332="","",IF(T332=1,0.013,0.012)))</f>
        <v/>
      </c>
      <c r="AD332" s="31" t="str">
        <f>IF(S332="","",IF(T332="","",(1/AC332*(W332/100/2)^(8/3)*(1/AB332*100)^(1/2)*1.65696)*100))</f>
        <v/>
      </c>
      <c r="AE332" s="31" t="str">
        <f>IF(S332="","",IF(T332="","",1/AC332*(W332/100/2)^(2/3)*(1/AB332)^(1/2)*0.70541))</f>
        <v/>
      </c>
      <c r="AF332" s="31" t="str">
        <f>IF(S332="","",IF(T332="","",ROUNDDOWN(AD332/($U$3/8.64),3)))</f>
        <v/>
      </c>
      <c r="AG332" s="32" t="str">
        <f>IF(S332="","",IF(T332="","",ROUNDDOWN(AF332*10000/$AJ$3,0)))</f>
        <v/>
      </c>
      <c r="AH332" s="33" t="str">
        <f t="shared" ref="AH332:AH394" si="2418">IF(S332="","",IF(T332="","",IF(AG332&gt;AI332,"＞","＜")))</f>
        <v/>
      </c>
      <c r="AI332" s="41" t="str">
        <f>IF(S332="","",Z332)</f>
        <v/>
      </c>
      <c r="AJ332" s="43" t="str">
        <f>IF(S332="","",AI332*$AJ$3/10000)</f>
        <v/>
      </c>
      <c r="AK332" s="33" t="str">
        <f>IF(S332="","",IF(T332="","",IF(AND(T332=1,AE332&gt;1),"NG",IF(AH332="＞","OK","NG"))))</f>
        <v/>
      </c>
    </row>
    <row r="333" spans="1:37" ht="15.75" customHeight="1" x14ac:dyDescent="0.15">
      <c r="A333" s="92"/>
      <c r="B333" s="93"/>
      <c r="C333" s="59"/>
      <c r="D333" s="61"/>
      <c r="E333" s="94"/>
      <c r="F333" s="95"/>
      <c r="G333" s="95"/>
      <c r="H333" s="96"/>
      <c r="I333" s="54"/>
      <c r="J333" s="46"/>
      <c r="K333" s="97"/>
      <c r="L333" s="57"/>
      <c r="M333" s="44"/>
      <c r="N333" s="44"/>
      <c r="O333" s="42"/>
      <c r="P333" s="50"/>
      <c r="Q333" s="42"/>
      <c r="R333" s="52"/>
      <c r="S333" s="98"/>
      <c r="T333" s="99">
        <v>2</v>
      </c>
      <c r="U333" s="34" t="str">
        <f>IF(S332="","",IF(T332=T333,"〃",IF(T333=1,"素焼土管",IF(T333=2,"合成樹脂管",IF(T333=3,"無孔管","")))))</f>
        <v/>
      </c>
      <c r="V333" s="35"/>
      <c r="W333" s="100"/>
      <c r="X333" s="101"/>
      <c r="Y333" s="95"/>
      <c r="Z333" s="42"/>
      <c r="AA333" s="46"/>
      <c r="AB333" s="97"/>
      <c r="AC333" s="36" t="str">
        <f>IF(S332="","",IF(T333=1,0.013,0.012))</f>
        <v/>
      </c>
      <c r="AD333" s="37" t="str">
        <f>IF(S332="","",(1/AC333*(W333/100/2)^(8/3)*(1/AB332*100)^(1/2)*1.65696)*100)</f>
        <v/>
      </c>
      <c r="AE333" s="37" t="str">
        <f>IF(S332="","",1/AC333*(W333/100/2)^(2/3)*(1/AB332)^(1/2)*0.70541)</f>
        <v/>
      </c>
      <c r="AF333" s="37" t="str">
        <f>IF(S332="","",ROUNDDOWN(AD333/($U$3/8.64),3))</f>
        <v/>
      </c>
      <c r="AG333" s="38" t="str">
        <f>IF(S332="","",ROUNDDOWN(AF333*10000/$AJ$3,0))</f>
        <v/>
      </c>
      <c r="AH333" s="39" t="str">
        <f t="shared" ref="AH333" si="2419">IF(S332="","",IF(AG333&gt;AI332,"＞",IF(AG333=AI332,"=","＜")))</f>
        <v/>
      </c>
      <c r="AI333" s="42"/>
      <c r="AJ333" s="44"/>
      <c r="AK333" s="39" t="str">
        <f>IF(S332="","",IF(AND(T333=1,AE333&gt;1),"NG",IF(AH333="＞","OK","NG")))</f>
        <v/>
      </c>
    </row>
    <row r="334" spans="1:37" ht="15.75" customHeight="1" x14ac:dyDescent="0.15">
      <c r="A334" s="80"/>
      <c r="B334" s="81">
        <v>2</v>
      </c>
      <c r="C334" s="58" t="str">
        <f>IF(A334="","",IF(B334=1,"素　焼土　管",IF(B334=2,"合　成樹脂管",IF(B334=3,"無孔管",""))))</f>
        <v/>
      </c>
      <c r="D334" s="60"/>
      <c r="E334" s="82"/>
      <c r="F334" s="83"/>
      <c r="G334" s="83"/>
      <c r="H334" s="84"/>
      <c r="I334" s="53" t="str">
        <f>IF(A334="","",F334-G334+H334)</f>
        <v/>
      </c>
      <c r="J334" s="55" t="str">
        <f>IF(A334="",""," 1/")</f>
        <v/>
      </c>
      <c r="K334" s="85"/>
      <c r="L334" s="56" t="str">
        <f>IF(A334="","",IF(B334=1,0.013,0.012))</f>
        <v/>
      </c>
      <c r="M334" s="47" t="str">
        <f>IF(A334="","",(1/L334*(E334/100/2)^(8/3)*(1/K334*100)^(1/2)*1.65696)*100)</f>
        <v/>
      </c>
      <c r="N334" s="47" t="str">
        <f>IF(A334="","",1/L334*(E334/100/2)^(2/3)*(1/K334)^(1/2)*0.70541)</f>
        <v/>
      </c>
      <c r="O334" s="48" t="str">
        <f>IF(A334="","",ROUNDDOWN(M334/($U$3/8.64)*10000/$AJ$3,0))</f>
        <v/>
      </c>
      <c r="P334" s="49" t="str">
        <f>IF(A334="","",IF(O334&gt;Q334,"＞","＜"))</f>
        <v/>
      </c>
      <c r="Q334" s="48" t="str">
        <f>IF(A334="","",I334)</f>
        <v/>
      </c>
      <c r="R334" s="51" t="str">
        <f>IF(A334="","",IF(P334="＞","OK","NG"))</f>
        <v/>
      </c>
      <c r="S334" s="86"/>
      <c r="T334" s="87"/>
      <c r="U334" s="28" t="str">
        <f>IF(S334="","",IF(T334=1,"素焼土管",IF(T334=2,"合成樹脂管",IF(T334=3,"無孔管",""))))</f>
        <v/>
      </c>
      <c r="V334" s="29"/>
      <c r="W334" s="88"/>
      <c r="X334" s="89"/>
      <c r="Y334" s="90"/>
      <c r="Z334" s="41" t="str">
        <f>IF(S334="","",IF(AND(T335=3,I334=""),Z332+Y334,IF(AND(Z332="",I332=""),I334+Y334,IF(AND(T335=3,I334&gt;0,Z332&gt;0),I334+Z332+Y334,IF(Z332="",I332+I334+X334+Y334,IF(I334="",Z332+X334+Y334,Z332+I334+X334+Y334))))))</f>
        <v/>
      </c>
      <c r="AA334" s="45" t="str">
        <f>IF(AB334="",""," 1/")</f>
        <v/>
      </c>
      <c r="AB334" s="91"/>
      <c r="AC334" s="30" t="str">
        <f>IF(S334="","",IF(T334="","",IF(T334=1,0.013,0.012)))</f>
        <v/>
      </c>
      <c r="AD334" s="31" t="str">
        <f>IF(S334="","",IF(T334="","",(1/AC334*(W334/100/2)^(8/3)*(1/AB334*100)^(1/2)*1.65696)*100))</f>
        <v/>
      </c>
      <c r="AE334" s="31" t="str">
        <f>IF(S334="","",IF(T334="","",1/AC334*(W334/100/2)^(2/3)*(1/AB334)^(1/2)*0.70541))</f>
        <v/>
      </c>
      <c r="AF334" s="31" t="str">
        <f>IF(S334="","",IF(T334="","",ROUNDDOWN(AD334/($U$3/8.64),3)))</f>
        <v/>
      </c>
      <c r="AG334" s="32" t="str">
        <f>IF(S334="","",IF(T334="","",ROUNDDOWN(AF334*10000/$AJ$3,0)))</f>
        <v/>
      </c>
      <c r="AH334" s="33" t="str">
        <f t="shared" si="2418"/>
        <v/>
      </c>
      <c r="AI334" s="41" t="str">
        <f>IF(S334="","",Z334)</f>
        <v/>
      </c>
      <c r="AJ334" s="43" t="str">
        <f>IF(S334="","",AI334*$AJ$3/10000)</f>
        <v/>
      </c>
      <c r="AK334" s="33" t="str">
        <f>IF(S334="","",IF(T334="","",IF(AND(T334=1,AE334&gt;1),"NG",IF(AH334="＞","OK","NG"))))</f>
        <v/>
      </c>
    </row>
    <row r="335" spans="1:37" ht="15.75" customHeight="1" x14ac:dyDescent="0.15">
      <c r="A335" s="92"/>
      <c r="B335" s="93"/>
      <c r="C335" s="59"/>
      <c r="D335" s="61"/>
      <c r="E335" s="94"/>
      <c r="F335" s="95"/>
      <c r="G335" s="95"/>
      <c r="H335" s="96"/>
      <c r="I335" s="54"/>
      <c r="J335" s="46"/>
      <c r="K335" s="97"/>
      <c r="L335" s="57"/>
      <c r="M335" s="44"/>
      <c r="N335" s="44"/>
      <c r="O335" s="42"/>
      <c r="P335" s="50"/>
      <c r="Q335" s="42"/>
      <c r="R335" s="52"/>
      <c r="S335" s="98"/>
      <c r="T335" s="99">
        <v>2</v>
      </c>
      <c r="U335" s="34" t="str">
        <f>IF(S334="","",IF(T334=T335,"〃",IF(T335=1,"素焼土管",IF(T335=2,"合成樹脂管",IF(T335=3,"無孔管","")))))</f>
        <v/>
      </c>
      <c r="V335" s="35"/>
      <c r="W335" s="100"/>
      <c r="X335" s="101"/>
      <c r="Y335" s="95"/>
      <c r="Z335" s="42"/>
      <c r="AA335" s="46"/>
      <c r="AB335" s="97"/>
      <c r="AC335" s="36" t="str">
        <f>IF(S334="","",IF(T335=1,0.013,0.012))</f>
        <v/>
      </c>
      <c r="AD335" s="37" t="str">
        <f>IF(S334="","",(1/AC335*(W335/100/2)^(8/3)*(1/AB334*100)^(1/2)*1.65696)*100)</f>
        <v/>
      </c>
      <c r="AE335" s="37" t="str">
        <f>IF(S334="","",1/AC335*(W335/100/2)^(2/3)*(1/AB334)^(1/2)*0.70541)</f>
        <v/>
      </c>
      <c r="AF335" s="37" t="str">
        <f>IF(S334="","",ROUNDDOWN(AD335/($U$3/8.64),3))</f>
        <v/>
      </c>
      <c r="AG335" s="38" t="str">
        <f>IF(S334="","",ROUNDDOWN(AF335*10000/$AJ$3,0))</f>
        <v/>
      </c>
      <c r="AH335" s="39" t="str">
        <f t="shared" ref="AH335" si="2420">IF(S334="","",IF(AG335&gt;AI334,"＞",IF(AG335=AI334,"=","＜")))</f>
        <v/>
      </c>
      <c r="AI335" s="42"/>
      <c r="AJ335" s="44"/>
      <c r="AK335" s="39" t="str">
        <f>IF(S334="","",IF(AND(T335=1,AE335&gt;1),"NG",IF(AH335="＞","OK","NG")))</f>
        <v/>
      </c>
    </row>
    <row r="336" spans="1:37" ht="15.75" customHeight="1" x14ac:dyDescent="0.15">
      <c r="A336" s="80"/>
      <c r="B336" s="81">
        <v>2</v>
      </c>
      <c r="C336" s="58" t="str">
        <f>IF(A336="","",IF(B336=1,"素　焼土　管",IF(B336=2,"合　成樹脂管",IF(B336=3,"無孔管",""))))</f>
        <v/>
      </c>
      <c r="D336" s="60"/>
      <c r="E336" s="82"/>
      <c r="F336" s="83"/>
      <c r="G336" s="83"/>
      <c r="H336" s="84"/>
      <c r="I336" s="53" t="str">
        <f>IF(A336="","",F336-G336+H336)</f>
        <v/>
      </c>
      <c r="J336" s="55" t="str">
        <f>IF(A336="",""," 1/")</f>
        <v/>
      </c>
      <c r="K336" s="85"/>
      <c r="L336" s="56" t="str">
        <f>IF(A336="","",IF(B336=1,0.013,0.012))</f>
        <v/>
      </c>
      <c r="M336" s="47" t="str">
        <f>IF(A336="","",(1/L336*(E336/100/2)^(8/3)*(1/K336*100)^(1/2)*1.65696)*100)</f>
        <v/>
      </c>
      <c r="N336" s="47" t="str">
        <f>IF(A336="","",1/L336*(E336/100/2)^(2/3)*(1/K336)^(1/2)*0.70541)</f>
        <v/>
      </c>
      <c r="O336" s="48" t="str">
        <f>IF(A336="","",ROUNDDOWN(M336/($U$3/8.64)*10000/$AJ$3,0))</f>
        <v/>
      </c>
      <c r="P336" s="49" t="str">
        <f>IF(A336="","",IF(O336&gt;Q336,"＞","＜"))</f>
        <v/>
      </c>
      <c r="Q336" s="48" t="str">
        <f>IF(A336="","",I336)</f>
        <v/>
      </c>
      <c r="R336" s="51" t="str">
        <f>IF(A336="","",IF(P336="＞","OK","NG"))</f>
        <v/>
      </c>
      <c r="S336" s="86"/>
      <c r="T336" s="87"/>
      <c r="U336" s="28" t="str">
        <f>IF(S336="","",IF(T336=1,"素焼土管",IF(T336=2,"合成樹脂管",IF(T336=3,"無孔管",""))))</f>
        <v/>
      </c>
      <c r="V336" s="29"/>
      <c r="W336" s="88"/>
      <c r="X336" s="89"/>
      <c r="Y336" s="90"/>
      <c r="Z336" s="41" t="str">
        <f>IF(S336="","",IF(AND(T337=3,I336=""),Z334+Y336,IF(AND(Z334="",I334=""),I336+Y336,IF(AND(T337=3,I336&gt;0,Z334&gt;0),I336+Z334+Y336,IF(Z334="",I334+I336+X336+Y336,IF(I336="",Z334+X336+Y336,Z334+I336+X336+Y336))))))</f>
        <v/>
      </c>
      <c r="AA336" s="45" t="str">
        <f>IF(AB336="",""," 1/")</f>
        <v/>
      </c>
      <c r="AB336" s="91"/>
      <c r="AC336" s="30" t="str">
        <f>IF(S336="","",IF(T336="","",IF(T336=1,0.013,0.012)))</f>
        <v/>
      </c>
      <c r="AD336" s="31" t="str">
        <f>IF(S336="","",IF(T336="","",(1/AC336*(W336/100/2)^(8/3)*(1/AB336*100)^(1/2)*1.65696)*100))</f>
        <v/>
      </c>
      <c r="AE336" s="31" t="str">
        <f>IF(S336="","",IF(T336="","",1/AC336*(W336/100/2)^(2/3)*(1/AB336)^(1/2)*0.70541))</f>
        <v/>
      </c>
      <c r="AF336" s="31" t="str">
        <f>IF(S336="","",IF(T336="","",ROUNDDOWN(AD336/($U$3/8.64),3)))</f>
        <v/>
      </c>
      <c r="AG336" s="32" t="str">
        <f>IF(S336="","",IF(T336="","",ROUNDDOWN(AF336*10000/$AJ$3,0)))</f>
        <v/>
      </c>
      <c r="AH336" s="33" t="str">
        <f t="shared" si="2418"/>
        <v/>
      </c>
      <c r="AI336" s="41" t="str">
        <f>IF(S336="","",Z336)</f>
        <v/>
      </c>
      <c r="AJ336" s="43" t="str">
        <f>IF(S336="","",AI336*$AJ$3/10000)</f>
        <v/>
      </c>
      <c r="AK336" s="33" t="str">
        <f>IF(S336="","",IF(T336="","",IF(AND(T336=1,AE336&gt;1),"NG",IF(AH336="＞","OK","NG"))))</f>
        <v/>
      </c>
    </row>
    <row r="337" spans="1:37" ht="15.75" customHeight="1" x14ac:dyDescent="0.15">
      <c r="A337" s="92"/>
      <c r="B337" s="93"/>
      <c r="C337" s="59"/>
      <c r="D337" s="61"/>
      <c r="E337" s="94"/>
      <c r="F337" s="95"/>
      <c r="G337" s="95"/>
      <c r="H337" s="96"/>
      <c r="I337" s="54"/>
      <c r="J337" s="46"/>
      <c r="K337" s="97"/>
      <c r="L337" s="57"/>
      <c r="M337" s="44"/>
      <c r="N337" s="44"/>
      <c r="O337" s="42"/>
      <c r="P337" s="50"/>
      <c r="Q337" s="42"/>
      <c r="R337" s="52"/>
      <c r="S337" s="98"/>
      <c r="T337" s="99">
        <v>2</v>
      </c>
      <c r="U337" s="34" t="str">
        <f>IF(S336="","",IF(T336=T337,"〃",IF(T337=1,"素焼土管",IF(T337=2,"合成樹脂管",IF(T337=3,"無孔管","")))))</f>
        <v/>
      </c>
      <c r="V337" s="35"/>
      <c r="W337" s="100"/>
      <c r="X337" s="101"/>
      <c r="Y337" s="95"/>
      <c r="Z337" s="42"/>
      <c r="AA337" s="46"/>
      <c r="AB337" s="97"/>
      <c r="AC337" s="36" t="str">
        <f>IF(S336="","",IF(T337=1,0.013,0.012))</f>
        <v/>
      </c>
      <c r="AD337" s="37" t="str">
        <f>IF(S336="","",(1/AC337*(W337/100/2)^(8/3)*(1/AB336*100)^(1/2)*1.65696)*100)</f>
        <v/>
      </c>
      <c r="AE337" s="37" t="str">
        <f>IF(S336="","",1/AC337*(W337/100/2)^(2/3)*(1/AB336)^(1/2)*0.70541)</f>
        <v/>
      </c>
      <c r="AF337" s="37" t="str">
        <f>IF(S336="","",ROUNDDOWN(AD337/($U$3/8.64),3))</f>
        <v/>
      </c>
      <c r="AG337" s="38" t="str">
        <f>IF(S336="","",ROUNDDOWN(AF337*10000/$AJ$3,0))</f>
        <v/>
      </c>
      <c r="AH337" s="39" t="str">
        <f t="shared" ref="AH337" si="2421">IF(S336="","",IF(AG337&gt;AI336,"＞",IF(AG337=AI336,"=","＜")))</f>
        <v/>
      </c>
      <c r="AI337" s="42"/>
      <c r="AJ337" s="44"/>
      <c r="AK337" s="39" t="str">
        <f>IF(S336="","",IF(AND(T337=1,AE337&gt;1),"NG",IF(AH337="＞","OK","NG")))</f>
        <v/>
      </c>
    </row>
    <row r="338" spans="1:37" ht="15.75" customHeight="1" x14ac:dyDescent="0.15">
      <c r="A338" s="80"/>
      <c r="B338" s="81">
        <v>2</v>
      </c>
      <c r="C338" s="58" t="str">
        <f>IF(A338="","",IF(B338=1,"素　焼土　管",IF(B338=2,"合　成樹脂管",IF(B338=3,"無孔管",""))))</f>
        <v/>
      </c>
      <c r="D338" s="60"/>
      <c r="E338" s="82"/>
      <c r="F338" s="83"/>
      <c r="G338" s="83"/>
      <c r="H338" s="84"/>
      <c r="I338" s="53" t="str">
        <f>IF(A338="","",F338-G338+H338)</f>
        <v/>
      </c>
      <c r="J338" s="55" t="str">
        <f>IF(A338="",""," 1/")</f>
        <v/>
      </c>
      <c r="K338" s="85"/>
      <c r="L338" s="56" t="str">
        <f>IF(A338="","",IF(B338=1,0.013,0.012))</f>
        <v/>
      </c>
      <c r="M338" s="47" t="str">
        <f>IF(A338="","",(1/L338*(E338/100/2)^(8/3)*(1/K338*100)^(1/2)*1.65696)*100)</f>
        <v/>
      </c>
      <c r="N338" s="47" t="str">
        <f>IF(A338="","",1/L338*(E338/100/2)^(2/3)*(1/K338)^(1/2)*0.70541)</f>
        <v/>
      </c>
      <c r="O338" s="48" t="str">
        <f>IF(A338="","",ROUNDDOWN(M338/($U$3/8.64)*10000/$AJ$3,0))</f>
        <v/>
      </c>
      <c r="P338" s="49" t="str">
        <f>IF(A338="","",IF(O338&gt;Q338,"＞","＜"))</f>
        <v/>
      </c>
      <c r="Q338" s="48" t="str">
        <f>IF(A338="","",I338)</f>
        <v/>
      </c>
      <c r="R338" s="51" t="str">
        <f>IF(A338="","",IF(P338="＞","OK","NG"))</f>
        <v/>
      </c>
      <c r="S338" s="86"/>
      <c r="T338" s="87"/>
      <c r="U338" s="28" t="str">
        <f>IF(S338="","",IF(T338=1,"素焼土管",IF(T338=2,"合成樹脂管",IF(T338=3,"無孔管",""))))</f>
        <v/>
      </c>
      <c r="V338" s="29"/>
      <c r="W338" s="88"/>
      <c r="X338" s="89"/>
      <c r="Y338" s="90"/>
      <c r="Z338" s="41" t="str">
        <f>IF(S338="","",IF(AND(T339=3,I338=""),Z336+Y338,IF(AND(Z336="",I336=""),I338+Y338,IF(AND(T339=3,I338&gt;0,Z336&gt;0),I338+Z336+Y338,IF(Z336="",I336+I338+X338+Y338,IF(I338="",Z336+X338+Y338,Z336+I338+X338+Y338))))))</f>
        <v/>
      </c>
      <c r="AA338" s="45" t="str">
        <f>IF(AB338="",""," 1/")</f>
        <v/>
      </c>
      <c r="AB338" s="91"/>
      <c r="AC338" s="30" t="str">
        <f>IF(S338="","",IF(T338="","",IF(T338=1,0.013,0.012)))</f>
        <v/>
      </c>
      <c r="AD338" s="31" t="str">
        <f>IF(S338="","",IF(T338="","",(1/AC338*(W338/100/2)^(8/3)*(1/AB338*100)^(1/2)*1.65696)*100))</f>
        <v/>
      </c>
      <c r="AE338" s="31" t="str">
        <f>IF(S338="","",IF(T338="","",1/AC338*(W338/100/2)^(2/3)*(1/AB338)^(1/2)*0.70541))</f>
        <v/>
      </c>
      <c r="AF338" s="31" t="str">
        <f>IF(S338="","",IF(T338="","",ROUNDDOWN(AD338/($U$3/8.64),3)))</f>
        <v/>
      </c>
      <c r="AG338" s="32" t="str">
        <f>IF(S338="","",IF(T338="","",ROUNDDOWN(AF338*10000/$AJ$3,0)))</f>
        <v/>
      </c>
      <c r="AH338" s="33" t="str">
        <f t="shared" si="2418"/>
        <v/>
      </c>
      <c r="AI338" s="41" t="str">
        <f>IF(S338="","",Z338)</f>
        <v/>
      </c>
      <c r="AJ338" s="43" t="str">
        <f>IF(S338="","",AI338*$AJ$3/10000)</f>
        <v/>
      </c>
      <c r="AK338" s="33" t="str">
        <f>IF(S338="","",IF(T338="","",IF(AND(T338=1,AE338&gt;1),"NG",IF(AH338="＞","OK","NG"))))</f>
        <v/>
      </c>
    </row>
    <row r="339" spans="1:37" ht="15.75" customHeight="1" x14ac:dyDescent="0.15">
      <c r="A339" s="92"/>
      <c r="B339" s="93"/>
      <c r="C339" s="59"/>
      <c r="D339" s="61"/>
      <c r="E339" s="94"/>
      <c r="F339" s="95"/>
      <c r="G339" s="95"/>
      <c r="H339" s="96"/>
      <c r="I339" s="54"/>
      <c r="J339" s="46"/>
      <c r="K339" s="97"/>
      <c r="L339" s="57"/>
      <c r="M339" s="44"/>
      <c r="N339" s="44"/>
      <c r="O339" s="42"/>
      <c r="P339" s="50"/>
      <c r="Q339" s="42"/>
      <c r="R339" s="52"/>
      <c r="S339" s="98"/>
      <c r="T339" s="99">
        <v>2</v>
      </c>
      <c r="U339" s="34" t="str">
        <f>IF(S338="","",IF(T338=T339,"〃",IF(T339=1,"素焼土管",IF(T339=2,"合成樹脂管",IF(T339=3,"無孔管","")))))</f>
        <v/>
      </c>
      <c r="V339" s="35"/>
      <c r="W339" s="100"/>
      <c r="X339" s="101"/>
      <c r="Y339" s="95"/>
      <c r="Z339" s="42"/>
      <c r="AA339" s="46"/>
      <c r="AB339" s="97"/>
      <c r="AC339" s="36" t="str">
        <f>IF(S338="","",IF(T339=1,0.013,0.012))</f>
        <v/>
      </c>
      <c r="AD339" s="37" t="str">
        <f>IF(S338="","",(1/AC339*(W339/100/2)^(8/3)*(1/AB338*100)^(1/2)*1.65696)*100)</f>
        <v/>
      </c>
      <c r="AE339" s="37" t="str">
        <f>IF(S338="","",1/AC339*(W339/100/2)^(2/3)*(1/AB338)^(1/2)*0.70541)</f>
        <v/>
      </c>
      <c r="AF339" s="37" t="str">
        <f>IF(S338="","",ROUNDDOWN(AD339/($U$3/8.64),3))</f>
        <v/>
      </c>
      <c r="AG339" s="38" t="str">
        <f>IF(S338="","",ROUNDDOWN(AF339*10000/$AJ$3,0))</f>
        <v/>
      </c>
      <c r="AH339" s="39" t="str">
        <f t="shared" ref="AH339" si="2422">IF(S338="","",IF(AG339&gt;AI338,"＞",IF(AG339=AI338,"=","＜")))</f>
        <v/>
      </c>
      <c r="AI339" s="42"/>
      <c r="AJ339" s="44"/>
      <c r="AK339" s="39" t="str">
        <f>IF(S338="","",IF(AND(T339=1,AE339&gt;1),"NG",IF(AH339="＞","OK","NG")))</f>
        <v/>
      </c>
    </row>
    <row r="340" spans="1:37" ht="15.75" customHeight="1" x14ac:dyDescent="0.15">
      <c r="A340" s="80"/>
      <c r="B340" s="81">
        <v>2</v>
      </c>
      <c r="C340" s="58" t="str">
        <f>IF(A340="","",IF(B340=1,"素　焼土　管",IF(B340=2,"合　成樹脂管",IF(B340=3,"無孔管",""))))</f>
        <v/>
      </c>
      <c r="D340" s="60"/>
      <c r="E340" s="82"/>
      <c r="F340" s="83"/>
      <c r="G340" s="83"/>
      <c r="H340" s="84"/>
      <c r="I340" s="53" t="str">
        <f>IF(A340="","",F340-G340+H340)</f>
        <v/>
      </c>
      <c r="J340" s="55" t="str">
        <f>IF(A340="",""," 1/")</f>
        <v/>
      </c>
      <c r="K340" s="85"/>
      <c r="L340" s="56" t="str">
        <f>IF(A340="","",IF(B340=1,0.013,0.012))</f>
        <v/>
      </c>
      <c r="M340" s="47" t="str">
        <f>IF(A340="","",(1/L340*(E340/100/2)^(8/3)*(1/K340*100)^(1/2)*1.65696)*100)</f>
        <v/>
      </c>
      <c r="N340" s="47" t="str">
        <f>IF(A340="","",1/L340*(E340/100/2)^(2/3)*(1/K340)^(1/2)*0.70541)</f>
        <v/>
      </c>
      <c r="O340" s="48" t="str">
        <f>IF(A340="","",ROUNDDOWN(M340/($U$3/8.64)*10000/$AJ$3,0))</f>
        <v/>
      </c>
      <c r="P340" s="49" t="str">
        <f>IF(A340="","",IF(O340&gt;Q340,"＞","＜"))</f>
        <v/>
      </c>
      <c r="Q340" s="48" t="str">
        <f>IF(A340="","",I340)</f>
        <v/>
      </c>
      <c r="R340" s="51" t="str">
        <f>IF(A340="","",IF(P340="＞","OK","NG"))</f>
        <v/>
      </c>
      <c r="S340" s="86"/>
      <c r="T340" s="87"/>
      <c r="U340" s="28" t="str">
        <f>IF(S340="","",IF(T340=1,"素焼土管",IF(T340=2,"合成樹脂管",IF(T340=3,"無孔管",""))))</f>
        <v/>
      </c>
      <c r="V340" s="29"/>
      <c r="W340" s="88"/>
      <c r="X340" s="89"/>
      <c r="Y340" s="90"/>
      <c r="Z340" s="41" t="str">
        <f>IF(S340="","",IF(AND(T341=3,I340=""),Z338+Y340,IF(AND(Z338="",I338=""),I340+Y340,IF(AND(T341=3,I340&gt;0,Z338&gt;0),I340+Z338+Y340,IF(Z338="",I338+I340+X340+Y340,IF(I340="",Z338+X340+Y340,Z338+I340+X340+Y340))))))</f>
        <v/>
      </c>
      <c r="AA340" s="45" t="str">
        <f>IF(AB340="",""," 1/")</f>
        <v/>
      </c>
      <c r="AB340" s="91"/>
      <c r="AC340" s="30" t="str">
        <f>IF(S340="","",IF(T340="","",IF(T340=1,0.013,0.012)))</f>
        <v/>
      </c>
      <c r="AD340" s="31" t="str">
        <f>IF(S340="","",IF(T340="","",(1/AC340*(W340/100/2)^(8/3)*(1/AB340*100)^(1/2)*1.65696)*100))</f>
        <v/>
      </c>
      <c r="AE340" s="31" t="str">
        <f>IF(S340="","",IF(T340="","",1/AC340*(W340/100/2)^(2/3)*(1/AB340)^(1/2)*0.70541))</f>
        <v/>
      </c>
      <c r="AF340" s="31" t="str">
        <f>IF(S340="","",IF(T340="","",ROUNDDOWN(AD340/($U$3/8.64),3)))</f>
        <v/>
      </c>
      <c r="AG340" s="32" t="str">
        <f>IF(S340="","",IF(T340="","",ROUNDDOWN(AF340*10000/$AJ$3,0)))</f>
        <v/>
      </c>
      <c r="AH340" s="33" t="str">
        <f t="shared" si="2418"/>
        <v/>
      </c>
      <c r="AI340" s="41" t="str">
        <f>IF(S340="","",Z340)</f>
        <v/>
      </c>
      <c r="AJ340" s="43" t="str">
        <f>IF(S340="","",AI340*$AJ$3/10000)</f>
        <v/>
      </c>
      <c r="AK340" s="33" t="str">
        <f>IF(S340="","",IF(T340="","",IF(AND(T340=1,AE340&gt;1),"NG",IF(AH340="＞","OK","NG"))))</f>
        <v/>
      </c>
    </row>
    <row r="341" spans="1:37" ht="15.75" customHeight="1" x14ac:dyDescent="0.15">
      <c r="A341" s="92"/>
      <c r="B341" s="93"/>
      <c r="C341" s="59"/>
      <c r="D341" s="61"/>
      <c r="E341" s="94"/>
      <c r="F341" s="95"/>
      <c r="G341" s="95"/>
      <c r="H341" s="96"/>
      <c r="I341" s="54"/>
      <c r="J341" s="46"/>
      <c r="K341" s="97"/>
      <c r="L341" s="57"/>
      <c r="M341" s="44"/>
      <c r="N341" s="44"/>
      <c r="O341" s="42"/>
      <c r="P341" s="50"/>
      <c r="Q341" s="42"/>
      <c r="R341" s="52"/>
      <c r="S341" s="98"/>
      <c r="T341" s="99">
        <v>2</v>
      </c>
      <c r="U341" s="34" t="str">
        <f>IF(S340="","",IF(T340=T341,"〃",IF(T341=1,"素焼土管",IF(T341=2,"合成樹脂管",IF(T341=3,"無孔管","")))))</f>
        <v/>
      </c>
      <c r="V341" s="35"/>
      <c r="W341" s="100"/>
      <c r="X341" s="101"/>
      <c r="Y341" s="95"/>
      <c r="Z341" s="42"/>
      <c r="AA341" s="46"/>
      <c r="AB341" s="97"/>
      <c r="AC341" s="36" t="str">
        <f>IF(S340="","",IF(T341=1,0.013,0.012))</f>
        <v/>
      </c>
      <c r="AD341" s="37" t="str">
        <f>IF(S340="","",(1/AC341*(W341/100/2)^(8/3)*(1/AB340*100)^(1/2)*1.65696)*100)</f>
        <v/>
      </c>
      <c r="AE341" s="37" t="str">
        <f>IF(S340="","",1/AC341*(W341/100/2)^(2/3)*(1/AB340)^(1/2)*0.70541)</f>
        <v/>
      </c>
      <c r="AF341" s="37" t="str">
        <f>IF(S340="","",ROUNDDOWN(AD341/($U$3/8.64),3))</f>
        <v/>
      </c>
      <c r="AG341" s="38" t="str">
        <f>IF(S340="","",ROUNDDOWN(AF341*10000/$AJ$3,0))</f>
        <v/>
      </c>
      <c r="AH341" s="39" t="str">
        <f t="shared" ref="AH341" si="2423">IF(S340="","",IF(AG341&gt;AI340,"＞",IF(AG341=AI340,"=","＜")))</f>
        <v/>
      </c>
      <c r="AI341" s="42"/>
      <c r="AJ341" s="44"/>
      <c r="AK341" s="39" t="str">
        <f>IF(S340="","",IF(AND(T341=1,AE341&gt;1),"NG",IF(AH341="＞","OK","NG")))</f>
        <v/>
      </c>
    </row>
    <row r="342" spans="1:37" ht="15.75" customHeight="1" x14ac:dyDescent="0.15">
      <c r="A342" s="80"/>
      <c r="B342" s="81">
        <v>2</v>
      </c>
      <c r="C342" s="58" t="str">
        <f>IF(A342="","",IF(B342=1,"素　焼土　管",IF(B342=2,"合　成樹脂管",IF(B342=3,"無孔管",""))))</f>
        <v/>
      </c>
      <c r="D342" s="60"/>
      <c r="E342" s="82"/>
      <c r="F342" s="83"/>
      <c r="G342" s="83"/>
      <c r="H342" s="84"/>
      <c r="I342" s="53" t="str">
        <f>IF(A342="","",F342-G342+H342)</f>
        <v/>
      </c>
      <c r="J342" s="55" t="str">
        <f>IF(A342="",""," 1/")</f>
        <v/>
      </c>
      <c r="K342" s="85"/>
      <c r="L342" s="56" t="str">
        <f>IF(A342="","",IF(B342=1,0.013,0.012))</f>
        <v/>
      </c>
      <c r="M342" s="47" t="str">
        <f>IF(A342="","",(1/L342*(E342/100/2)^(8/3)*(1/K342*100)^(1/2)*1.65696)*100)</f>
        <v/>
      </c>
      <c r="N342" s="47" t="str">
        <f>IF(A342="","",1/L342*(E342/100/2)^(2/3)*(1/K342)^(1/2)*0.70541)</f>
        <v/>
      </c>
      <c r="O342" s="48" t="str">
        <f>IF(A342="","",ROUNDDOWN(M342/($U$3/8.64)*10000/$AJ$3,0))</f>
        <v/>
      </c>
      <c r="P342" s="49" t="str">
        <f>IF(A342="","",IF(O342&gt;Q342,"＞","＜"))</f>
        <v/>
      </c>
      <c r="Q342" s="48" t="str">
        <f>IF(A342="","",I342)</f>
        <v/>
      </c>
      <c r="R342" s="51" t="str">
        <f>IF(A342="","",IF(P342="＞","OK","NG"))</f>
        <v/>
      </c>
      <c r="S342" s="86"/>
      <c r="T342" s="87"/>
      <c r="U342" s="28" t="str">
        <f>IF(S342="","",IF(T342=1,"素焼土管",IF(T342=2,"合成樹脂管",IF(T342=3,"無孔管",""))))</f>
        <v/>
      </c>
      <c r="V342" s="29"/>
      <c r="W342" s="88"/>
      <c r="X342" s="89"/>
      <c r="Y342" s="90"/>
      <c r="Z342" s="41" t="str">
        <f>IF(S342="","",IF(AND(T343=3,I342=""),Z340+Y342,IF(AND(Z340="",I340=""),I342+Y342,IF(AND(T343=3,I342&gt;0,Z340&gt;0),I342+Z340+Y342,IF(Z340="",I340+I342+X342+Y342,IF(I342="",Z340+X342+Y342,Z340+I342+X342+Y342))))))</f>
        <v/>
      </c>
      <c r="AA342" s="45" t="str">
        <f>IF(AB342="",""," 1/")</f>
        <v/>
      </c>
      <c r="AB342" s="91"/>
      <c r="AC342" s="30" t="str">
        <f>IF(S342="","",IF(T342="","",IF(T342=1,0.013,0.012)))</f>
        <v/>
      </c>
      <c r="AD342" s="31" t="str">
        <f>IF(S342="","",IF(T342="","",(1/AC342*(W342/100/2)^(8/3)*(1/AB342*100)^(1/2)*1.65696)*100))</f>
        <v/>
      </c>
      <c r="AE342" s="31" t="str">
        <f>IF(S342="","",IF(T342="","",1/AC342*(W342/100/2)^(2/3)*(1/AB342)^(1/2)*0.70541))</f>
        <v/>
      </c>
      <c r="AF342" s="31" t="str">
        <f>IF(S342="","",IF(T342="","",ROUNDDOWN(AD342/($U$3/8.64),3)))</f>
        <v/>
      </c>
      <c r="AG342" s="32" t="str">
        <f>IF(S342="","",IF(T342="","",ROUNDDOWN(AF342*10000/$AJ$3,0)))</f>
        <v/>
      </c>
      <c r="AH342" s="33" t="str">
        <f t="shared" si="2418"/>
        <v/>
      </c>
      <c r="AI342" s="41" t="str">
        <f>IF(S342="","",Z342)</f>
        <v/>
      </c>
      <c r="AJ342" s="43" t="str">
        <f>IF(S342="","",AI342*$AJ$3/10000)</f>
        <v/>
      </c>
      <c r="AK342" s="33" t="str">
        <f>IF(S342="","",IF(T342="","",IF(AND(T342=1,AE342&gt;1),"NG",IF(AH342="＞","OK","NG"))))</f>
        <v/>
      </c>
    </row>
    <row r="343" spans="1:37" ht="15.75" customHeight="1" x14ac:dyDescent="0.15">
      <c r="A343" s="92"/>
      <c r="B343" s="93"/>
      <c r="C343" s="59"/>
      <c r="D343" s="61"/>
      <c r="E343" s="94"/>
      <c r="F343" s="95"/>
      <c r="G343" s="95"/>
      <c r="H343" s="96"/>
      <c r="I343" s="54"/>
      <c r="J343" s="46"/>
      <c r="K343" s="97"/>
      <c r="L343" s="57"/>
      <c r="M343" s="44"/>
      <c r="N343" s="44"/>
      <c r="O343" s="42"/>
      <c r="P343" s="50"/>
      <c r="Q343" s="42"/>
      <c r="R343" s="52"/>
      <c r="S343" s="98"/>
      <c r="T343" s="99">
        <v>2</v>
      </c>
      <c r="U343" s="34" t="str">
        <f>IF(S342="","",IF(T342=T343,"〃",IF(T343=1,"素焼土管",IF(T343=2,"合成樹脂管",IF(T343=3,"無孔管","")))))</f>
        <v/>
      </c>
      <c r="V343" s="35"/>
      <c r="W343" s="100"/>
      <c r="X343" s="101"/>
      <c r="Y343" s="95"/>
      <c r="Z343" s="42"/>
      <c r="AA343" s="46"/>
      <c r="AB343" s="97"/>
      <c r="AC343" s="36" t="str">
        <f>IF(S342="","",IF(T343=1,0.013,0.012))</f>
        <v/>
      </c>
      <c r="AD343" s="37" t="str">
        <f>IF(S342="","",(1/AC343*(W343/100/2)^(8/3)*(1/AB342*100)^(1/2)*1.65696)*100)</f>
        <v/>
      </c>
      <c r="AE343" s="37" t="str">
        <f>IF(S342="","",1/AC343*(W343/100/2)^(2/3)*(1/AB342)^(1/2)*0.70541)</f>
        <v/>
      </c>
      <c r="AF343" s="37" t="str">
        <f>IF(S342="","",ROUNDDOWN(AD343/($U$3/8.64),3))</f>
        <v/>
      </c>
      <c r="AG343" s="38" t="str">
        <f>IF(S342="","",ROUNDDOWN(AF343*10000/$AJ$3,0))</f>
        <v/>
      </c>
      <c r="AH343" s="39" t="str">
        <f t="shared" ref="AH343" si="2424">IF(S342="","",IF(AG343&gt;AI342,"＞",IF(AG343=AI342,"=","＜")))</f>
        <v/>
      </c>
      <c r="AI343" s="42"/>
      <c r="AJ343" s="44"/>
      <c r="AK343" s="39" t="str">
        <f>IF(S342="","",IF(AND(T343=1,AE343&gt;1),"NG",IF(AH343="＞","OK","NG")))</f>
        <v/>
      </c>
    </row>
    <row r="344" spans="1:37" ht="15.75" customHeight="1" x14ac:dyDescent="0.15">
      <c r="A344" s="80"/>
      <c r="B344" s="81">
        <v>2</v>
      </c>
      <c r="C344" s="58" t="str">
        <f>IF(A344="","",IF(B344=1,"素　焼土　管",IF(B344=2,"合　成樹脂管",IF(B344=3,"無孔管",""))))</f>
        <v/>
      </c>
      <c r="D344" s="60"/>
      <c r="E344" s="82"/>
      <c r="F344" s="83"/>
      <c r="G344" s="83"/>
      <c r="H344" s="84"/>
      <c r="I344" s="53" t="str">
        <f>IF(A344="","",F344-G344+H344)</f>
        <v/>
      </c>
      <c r="J344" s="55" t="str">
        <f>IF(A344="",""," 1/")</f>
        <v/>
      </c>
      <c r="K344" s="85"/>
      <c r="L344" s="56" t="str">
        <f>IF(A344="","",IF(B344=1,0.013,0.012))</f>
        <v/>
      </c>
      <c r="M344" s="47" t="str">
        <f>IF(A344="","",(1/L344*(E344/100/2)^(8/3)*(1/K344*100)^(1/2)*1.65696)*100)</f>
        <v/>
      </c>
      <c r="N344" s="47" t="str">
        <f>IF(A344="","",1/L344*(E344/100/2)^(2/3)*(1/K344)^(1/2)*0.70541)</f>
        <v/>
      </c>
      <c r="O344" s="48" t="str">
        <f>IF(A344="","",ROUNDDOWN(M344/($U$3/8.64)*10000/$AJ$3,0))</f>
        <v/>
      </c>
      <c r="P344" s="49" t="str">
        <f>IF(A344="","",IF(O344&gt;Q344,"＞","＜"))</f>
        <v/>
      </c>
      <c r="Q344" s="48" t="str">
        <f>IF(A344="","",I344)</f>
        <v/>
      </c>
      <c r="R344" s="51" t="str">
        <f>IF(A344="","",IF(P344="＞","OK","NG"))</f>
        <v/>
      </c>
      <c r="S344" s="86"/>
      <c r="T344" s="87"/>
      <c r="U344" s="28" t="str">
        <f>IF(S344="","",IF(T344=1,"素焼土管",IF(T344=2,"合成樹脂管",IF(T344=3,"無孔管",""))))</f>
        <v/>
      </c>
      <c r="V344" s="29"/>
      <c r="W344" s="88"/>
      <c r="X344" s="89"/>
      <c r="Y344" s="90"/>
      <c r="Z344" s="41" t="str">
        <f>IF(S344="","",IF(AND(T345=3,I344=""),Z342+Y344,IF(AND(Z342="",I342=""),I344+Y344,IF(AND(T345=3,I344&gt;0,Z342&gt;0),I344+Z342+Y344,IF(Z342="",I342+I344+X344+Y344,IF(I344="",Z342+X344+Y344,Z342+I344+X344+Y344))))))</f>
        <v/>
      </c>
      <c r="AA344" s="45" t="str">
        <f>IF(AB344="",""," 1/")</f>
        <v/>
      </c>
      <c r="AB344" s="91"/>
      <c r="AC344" s="30" t="str">
        <f>IF(S344="","",IF(T344="","",IF(T344=1,0.013,0.012)))</f>
        <v/>
      </c>
      <c r="AD344" s="31" t="str">
        <f>IF(S344="","",IF(T344="","",(1/AC344*(W344/100/2)^(8/3)*(1/AB344*100)^(1/2)*1.65696)*100))</f>
        <v/>
      </c>
      <c r="AE344" s="31" t="str">
        <f>IF(S344="","",IF(T344="","",1/AC344*(W344/100/2)^(2/3)*(1/AB344)^(1/2)*0.70541))</f>
        <v/>
      </c>
      <c r="AF344" s="31" t="str">
        <f>IF(S344="","",IF(T344="","",ROUNDDOWN(AD344/($U$3/8.64),3)))</f>
        <v/>
      </c>
      <c r="AG344" s="32" t="str">
        <f>IF(S344="","",IF(T344="","",ROUNDDOWN(AF344*10000/$AJ$3,0)))</f>
        <v/>
      </c>
      <c r="AH344" s="33" t="str">
        <f t="shared" si="2418"/>
        <v/>
      </c>
      <c r="AI344" s="41" t="str">
        <f>IF(S344="","",Z344)</f>
        <v/>
      </c>
      <c r="AJ344" s="43" t="str">
        <f>IF(S344="","",AI344*$AJ$3/10000)</f>
        <v/>
      </c>
      <c r="AK344" s="33" t="str">
        <f>IF(S344="","",IF(T344="","",IF(AND(T344=1,AE344&gt;1),"NG",IF(AH344="＞","OK","NG"))))</f>
        <v/>
      </c>
    </row>
    <row r="345" spans="1:37" ht="15.75" customHeight="1" x14ac:dyDescent="0.15">
      <c r="A345" s="92"/>
      <c r="B345" s="93"/>
      <c r="C345" s="59"/>
      <c r="D345" s="61"/>
      <c r="E345" s="94"/>
      <c r="F345" s="95"/>
      <c r="G345" s="95"/>
      <c r="H345" s="96"/>
      <c r="I345" s="54"/>
      <c r="J345" s="46"/>
      <c r="K345" s="97"/>
      <c r="L345" s="57"/>
      <c r="M345" s="44"/>
      <c r="N345" s="44"/>
      <c r="O345" s="42"/>
      <c r="P345" s="50"/>
      <c r="Q345" s="42"/>
      <c r="R345" s="52"/>
      <c r="S345" s="98"/>
      <c r="T345" s="99">
        <v>2</v>
      </c>
      <c r="U345" s="34" t="str">
        <f>IF(S344="","",IF(T344=T345,"〃",IF(T345=1,"素焼土管",IF(T345=2,"合成樹脂管",IF(T345=3,"無孔管","")))))</f>
        <v/>
      </c>
      <c r="V345" s="35"/>
      <c r="W345" s="100"/>
      <c r="X345" s="101"/>
      <c r="Y345" s="95"/>
      <c r="Z345" s="42"/>
      <c r="AA345" s="46"/>
      <c r="AB345" s="97"/>
      <c r="AC345" s="36" t="str">
        <f>IF(S344="","",IF(T345=1,0.013,0.012))</f>
        <v/>
      </c>
      <c r="AD345" s="37" t="str">
        <f>IF(S344="","",(1/AC345*(W345/100/2)^(8/3)*(1/AB344*100)^(1/2)*1.65696)*100)</f>
        <v/>
      </c>
      <c r="AE345" s="37" t="str">
        <f>IF(S344="","",1/AC345*(W345/100/2)^(2/3)*(1/AB344)^(1/2)*0.70541)</f>
        <v/>
      </c>
      <c r="AF345" s="37" t="str">
        <f>IF(S344="","",ROUNDDOWN(AD345/($U$3/8.64),3))</f>
        <v/>
      </c>
      <c r="AG345" s="38" t="str">
        <f>IF(S344="","",ROUNDDOWN(AF345*10000/$AJ$3,0))</f>
        <v/>
      </c>
      <c r="AH345" s="39" t="str">
        <f t="shared" ref="AH345" si="2425">IF(S344="","",IF(AG345&gt;AI344,"＞",IF(AG345=AI344,"=","＜")))</f>
        <v/>
      </c>
      <c r="AI345" s="42"/>
      <c r="AJ345" s="44"/>
      <c r="AK345" s="39" t="str">
        <f>IF(S344="","",IF(AND(T345=1,AE345&gt;1),"NG",IF(AH345="＞","OK","NG")))</f>
        <v/>
      </c>
    </row>
    <row r="346" spans="1:37" ht="15.75" customHeight="1" x14ac:dyDescent="0.15">
      <c r="A346" s="80"/>
      <c r="B346" s="81">
        <v>2</v>
      </c>
      <c r="C346" s="58" t="str">
        <f>IF(A346="","",IF(B346=1,"素　焼土　管",IF(B346=2,"合　成樹脂管",IF(B346=3,"無孔管",""))))</f>
        <v/>
      </c>
      <c r="D346" s="60"/>
      <c r="E346" s="82"/>
      <c r="F346" s="83"/>
      <c r="G346" s="83"/>
      <c r="H346" s="84"/>
      <c r="I346" s="53" t="str">
        <f>IF(A346="","",F346-G346+H346)</f>
        <v/>
      </c>
      <c r="J346" s="55" t="str">
        <f>IF(A346="",""," 1/")</f>
        <v/>
      </c>
      <c r="K346" s="85"/>
      <c r="L346" s="56" t="str">
        <f>IF(A346="","",IF(B346=1,0.013,0.012))</f>
        <v/>
      </c>
      <c r="M346" s="47" t="str">
        <f>IF(A346="","",(1/L346*(E346/100/2)^(8/3)*(1/K346*100)^(1/2)*1.65696)*100)</f>
        <v/>
      </c>
      <c r="N346" s="47" t="str">
        <f>IF(A346="","",1/L346*(E346/100/2)^(2/3)*(1/K346)^(1/2)*0.70541)</f>
        <v/>
      </c>
      <c r="O346" s="48" t="str">
        <f>IF(A346="","",ROUNDDOWN(M346/($U$3/8.64)*10000/$AJ$3,0))</f>
        <v/>
      </c>
      <c r="P346" s="49" t="str">
        <f>IF(A346="","",IF(O346&gt;Q346,"＞","＜"))</f>
        <v/>
      </c>
      <c r="Q346" s="48" t="str">
        <f>IF(A346="","",I346)</f>
        <v/>
      </c>
      <c r="R346" s="51" t="str">
        <f>IF(A346="","",IF(P346="＞","OK","NG"))</f>
        <v/>
      </c>
      <c r="S346" s="86"/>
      <c r="T346" s="87"/>
      <c r="U346" s="28" t="str">
        <f>IF(S346="","",IF(T346=1,"素焼土管",IF(T346=2,"合成樹脂管",IF(T346=3,"無孔管",""))))</f>
        <v/>
      </c>
      <c r="V346" s="29"/>
      <c r="W346" s="88"/>
      <c r="X346" s="89"/>
      <c r="Y346" s="90"/>
      <c r="Z346" s="41" t="str">
        <f>IF(S346="","",IF(AND(T347=3,I346=""),Z344+Y346,IF(AND(Z344="",I344=""),I346+Y346,IF(AND(T347=3,I346&gt;0,Z344&gt;0),I346+Z344+Y346,IF(Z344="",I344+I346+X346+Y346,IF(I346="",Z344+X346+Y346,Z344+I346+X346+Y346))))))</f>
        <v/>
      </c>
      <c r="AA346" s="45" t="str">
        <f>IF(AB346="",""," 1/")</f>
        <v/>
      </c>
      <c r="AB346" s="91"/>
      <c r="AC346" s="30" t="str">
        <f>IF(S346="","",IF(T346="","",IF(T346=1,0.013,0.012)))</f>
        <v/>
      </c>
      <c r="AD346" s="31" t="str">
        <f>IF(S346="","",IF(T346="","",(1/AC346*(W346/100/2)^(8/3)*(1/AB346*100)^(1/2)*1.65696)*100))</f>
        <v/>
      </c>
      <c r="AE346" s="31" t="str">
        <f>IF(S346="","",IF(T346="","",1/AC346*(W346/100/2)^(2/3)*(1/AB346)^(1/2)*0.70541))</f>
        <v/>
      </c>
      <c r="AF346" s="31" t="str">
        <f>IF(S346="","",IF(T346="","",ROUNDDOWN(AD346/($U$3/8.64),3)))</f>
        <v/>
      </c>
      <c r="AG346" s="32" t="str">
        <f>IF(S346="","",IF(T346="","",ROUNDDOWN(AF346*10000/$AJ$3,0)))</f>
        <v/>
      </c>
      <c r="AH346" s="33" t="str">
        <f t="shared" si="2418"/>
        <v/>
      </c>
      <c r="AI346" s="41" t="str">
        <f>IF(S346="","",Z346)</f>
        <v/>
      </c>
      <c r="AJ346" s="43" t="str">
        <f>IF(S346="","",AI346*$AJ$3/10000)</f>
        <v/>
      </c>
      <c r="AK346" s="33" t="str">
        <f>IF(S346="","",IF(T346="","",IF(AND(T346=1,AE346&gt;1),"NG",IF(AH346="＞","OK","NG"))))</f>
        <v/>
      </c>
    </row>
    <row r="347" spans="1:37" ht="15.75" customHeight="1" x14ac:dyDescent="0.15">
      <c r="A347" s="92"/>
      <c r="B347" s="93"/>
      <c r="C347" s="59"/>
      <c r="D347" s="61"/>
      <c r="E347" s="94"/>
      <c r="F347" s="95"/>
      <c r="G347" s="95"/>
      <c r="H347" s="96"/>
      <c r="I347" s="54"/>
      <c r="J347" s="46"/>
      <c r="K347" s="97"/>
      <c r="L347" s="57"/>
      <c r="M347" s="44"/>
      <c r="N347" s="44"/>
      <c r="O347" s="42"/>
      <c r="P347" s="50"/>
      <c r="Q347" s="42"/>
      <c r="R347" s="52"/>
      <c r="S347" s="98"/>
      <c r="T347" s="99">
        <v>2</v>
      </c>
      <c r="U347" s="34" t="str">
        <f>IF(S346="","",IF(T346=T347,"〃",IF(T347=1,"素焼土管",IF(T347=2,"合成樹脂管",IF(T347=3,"無孔管","")))))</f>
        <v/>
      </c>
      <c r="V347" s="35"/>
      <c r="W347" s="100"/>
      <c r="X347" s="101"/>
      <c r="Y347" s="95"/>
      <c r="Z347" s="42"/>
      <c r="AA347" s="46"/>
      <c r="AB347" s="97"/>
      <c r="AC347" s="36" t="str">
        <f>IF(S346="","",IF(T347=1,0.013,0.012))</f>
        <v/>
      </c>
      <c r="AD347" s="37" t="str">
        <f>IF(S346="","",(1/AC347*(W347/100/2)^(8/3)*(1/AB346*100)^(1/2)*1.65696)*100)</f>
        <v/>
      </c>
      <c r="AE347" s="37" t="str">
        <f>IF(S346="","",1/AC347*(W347/100/2)^(2/3)*(1/AB346)^(1/2)*0.70541)</f>
        <v/>
      </c>
      <c r="AF347" s="37" t="str">
        <f>IF(S346="","",ROUNDDOWN(AD347/($U$3/8.64),3))</f>
        <v/>
      </c>
      <c r="AG347" s="38" t="str">
        <f>IF(S346="","",ROUNDDOWN(AF347*10000/$AJ$3,0))</f>
        <v/>
      </c>
      <c r="AH347" s="39" t="str">
        <f t="shared" ref="AH347" si="2426">IF(S346="","",IF(AG347&gt;AI346,"＞",IF(AG347=AI346,"=","＜")))</f>
        <v/>
      </c>
      <c r="AI347" s="42"/>
      <c r="AJ347" s="44"/>
      <c r="AK347" s="39" t="str">
        <f>IF(S346="","",IF(AND(T347=1,AE347&gt;1),"NG",IF(AH347="＞","OK","NG")))</f>
        <v/>
      </c>
    </row>
    <row r="348" spans="1:37" ht="15.75" customHeight="1" x14ac:dyDescent="0.15">
      <c r="A348" s="80"/>
      <c r="B348" s="81">
        <v>2</v>
      </c>
      <c r="C348" s="58" t="str">
        <f>IF(A348="","",IF(B348=1,"素　焼土　管",IF(B348=2,"合　成樹脂管",IF(B348=3,"無孔管",""))))</f>
        <v/>
      </c>
      <c r="D348" s="60"/>
      <c r="E348" s="82"/>
      <c r="F348" s="83"/>
      <c r="G348" s="83"/>
      <c r="H348" s="84"/>
      <c r="I348" s="53" t="str">
        <f>IF(A348="","",F348-G348+H348)</f>
        <v/>
      </c>
      <c r="J348" s="55" t="str">
        <f>IF(A348="",""," 1/")</f>
        <v/>
      </c>
      <c r="K348" s="85"/>
      <c r="L348" s="56" t="str">
        <f>IF(A348="","",IF(B348=1,0.013,0.012))</f>
        <v/>
      </c>
      <c r="M348" s="47" t="str">
        <f>IF(A348="","",(1/L348*(E348/100/2)^(8/3)*(1/K348*100)^(1/2)*1.65696)*100)</f>
        <v/>
      </c>
      <c r="N348" s="47" t="str">
        <f>IF(A348="","",1/L348*(E348/100/2)^(2/3)*(1/K348)^(1/2)*0.70541)</f>
        <v/>
      </c>
      <c r="O348" s="48" t="str">
        <f>IF(A348="","",ROUNDDOWN(M348/($U$3/8.64)*10000/$AJ$3,0))</f>
        <v/>
      </c>
      <c r="P348" s="49" t="str">
        <f>IF(A348="","",IF(O348&gt;Q348,"＞","＜"))</f>
        <v/>
      </c>
      <c r="Q348" s="48" t="str">
        <f>IF(A348="","",I348)</f>
        <v/>
      </c>
      <c r="R348" s="51" t="str">
        <f>IF(A348="","",IF(P348="＞","OK","NG"))</f>
        <v/>
      </c>
      <c r="S348" s="86"/>
      <c r="T348" s="87"/>
      <c r="U348" s="28" t="str">
        <f>IF(S348="","",IF(T348=1,"素焼土管",IF(T348=2,"合成樹脂管",IF(T348=3,"無孔管",""))))</f>
        <v/>
      </c>
      <c r="V348" s="29"/>
      <c r="W348" s="88"/>
      <c r="X348" s="89"/>
      <c r="Y348" s="90"/>
      <c r="Z348" s="41" t="str">
        <f>IF(S348="","",IF(AND(T349=3,I348=""),Z346+Y348,IF(AND(Z346="",I346=""),I348+Y348,IF(AND(T349=3,I348&gt;0,Z346&gt;0),I348+Z346+Y348,IF(Z346="",I346+I348+X348+Y348,IF(I348="",Z346+X348+Y348,Z346+I348+X348+Y348))))))</f>
        <v/>
      </c>
      <c r="AA348" s="45" t="str">
        <f>IF(AB348="",""," 1/")</f>
        <v/>
      </c>
      <c r="AB348" s="91"/>
      <c r="AC348" s="30" t="str">
        <f>IF(S348="","",IF(T348="","",IF(T348=1,0.013,0.012)))</f>
        <v/>
      </c>
      <c r="AD348" s="31" t="str">
        <f>IF(S348="","",IF(T348="","",(1/AC348*(W348/100/2)^(8/3)*(1/AB348*100)^(1/2)*1.65696)*100))</f>
        <v/>
      </c>
      <c r="AE348" s="31" t="str">
        <f>IF(S348="","",IF(T348="","",1/AC348*(W348/100/2)^(2/3)*(1/AB348)^(1/2)*0.70541))</f>
        <v/>
      </c>
      <c r="AF348" s="31" t="str">
        <f>IF(S348="","",IF(T348="","",ROUNDDOWN(AD348/($U$3/8.64),3)))</f>
        <v/>
      </c>
      <c r="AG348" s="32" t="str">
        <f>IF(S348="","",IF(T348="","",ROUNDDOWN(AF348*10000/$AJ$3,0)))</f>
        <v/>
      </c>
      <c r="AH348" s="33" t="str">
        <f t="shared" si="2418"/>
        <v/>
      </c>
      <c r="AI348" s="41" t="str">
        <f>IF(S348="","",Z348)</f>
        <v/>
      </c>
      <c r="AJ348" s="43" t="str">
        <f>IF(S348="","",AI348*$AJ$3/10000)</f>
        <v/>
      </c>
      <c r="AK348" s="33" t="str">
        <f>IF(S348="","",IF(T348="","",IF(AND(T348=1,AE348&gt;1),"NG",IF(AH348="＞","OK","NG"))))</f>
        <v/>
      </c>
    </row>
    <row r="349" spans="1:37" ht="15.75" customHeight="1" x14ac:dyDescent="0.15">
      <c r="A349" s="92"/>
      <c r="B349" s="93"/>
      <c r="C349" s="59"/>
      <c r="D349" s="61"/>
      <c r="E349" s="94"/>
      <c r="F349" s="95"/>
      <c r="G349" s="95"/>
      <c r="H349" s="96"/>
      <c r="I349" s="54"/>
      <c r="J349" s="46"/>
      <c r="K349" s="97"/>
      <c r="L349" s="57"/>
      <c r="M349" s="44"/>
      <c r="N349" s="44"/>
      <c r="O349" s="42"/>
      <c r="P349" s="50"/>
      <c r="Q349" s="42"/>
      <c r="R349" s="52"/>
      <c r="S349" s="98"/>
      <c r="T349" s="99">
        <v>2</v>
      </c>
      <c r="U349" s="34" t="str">
        <f>IF(S348="","",IF(T348=T349,"〃",IF(T349=1,"素焼土管",IF(T349=2,"合成樹脂管",IF(T349=3,"無孔管","")))))</f>
        <v/>
      </c>
      <c r="V349" s="35"/>
      <c r="W349" s="100"/>
      <c r="X349" s="101"/>
      <c r="Y349" s="95"/>
      <c r="Z349" s="42"/>
      <c r="AA349" s="46"/>
      <c r="AB349" s="97"/>
      <c r="AC349" s="36" t="str">
        <f>IF(S348="","",IF(T349=1,0.013,0.012))</f>
        <v/>
      </c>
      <c r="AD349" s="37" t="str">
        <f>IF(S348="","",(1/AC349*(W349/100/2)^(8/3)*(1/AB348*100)^(1/2)*1.65696)*100)</f>
        <v/>
      </c>
      <c r="AE349" s="37" t="str">
        <f>IF(S348="","",1/AC349*(W349/100/2)^(2/3)*(1/AB348)^(1/2)*0.70541)</f>
        <v/>
      </c>
      <c r="AF349" s="37" t="str">
        <f>IF(S348="","",ROUNDDOWN(AD349/($U$3/8.64),3))</f>
        <v/>
      </c>
      <c r="AG349" s="38" t="str">
        <f>IF(S348="","",ROUNDDOWN(AF349*10000/$AJ$3,0))</f>
        <v/>
      </c>
      <c r="AH349" s="39" t="str">
        <f t="shared" ref="AH349" si="2427">IF(S348="","",IF(AG349&gt;AI348,"＞",IF(AG349=AI348,"=","＜")))</f>
        <v/>
      </c>
      <c r="AI349" s="42"/>
      <c r="AJ349" s="44"/>
      <c r="AK349" s="39" t="str">
        <f>IF(S348="","",IF(AND(T349=1,AE349&gt;1),"NG",IF(AH349="＞","OK","NG")))</f>
        <v/>
      </c>
    </row>
    <row r="350" spans="1:37" ht="15.75" customHeight="1" x14ac:dyDescent="0.15">
      <c r="A350" s="80"/>
      <c r="B350" s="81">
        <v>2</v>
      </c>
      <c r="C350" s="58" t="str">
        <f>IF(A350="","",IF(B350=1,"素　焼土　管",IF(B350=2,"合　成樹脂管",IF(B350=3,"無孔管",""))))</f>
        <v/>
      </c>
      <c r="D350" s="60"/>
      <c r="E350" s="82"/>
      <c r="F350" s="83"/>
      <c r="G350" s="83"/>
      <c r="H350" s="84"/>
      <c r="I350" s="53" t="str">
        <f>IF(A350="","",F350-G350+H350)</f>
        <v/>
      </c>
      <c r="J350" s="55" t="str">
        <f>IF(A350="",""," 1/")</f>
        <v/>
      </c>
      <c r="K350" s="85"/>
      <c r="L350" s="56" t="str">
        <f>IF(A350="","",IF(B350=1,0.013,0.012))</f>
        <v/>
      </c>
      <c r="M350" s="47" t="str">
        <f>IF(A350="","",(1/L350*(E350/100/2)^(8/3)*(1/K350*100)^(1/2)*1.65696)*100)</f>
        <v/>
      </c>
      <c r="N350" s="47" t="str">
        <f>IF(A350="","",1/L350*(E350/100/2)^(2/3)*(1/K350)^(1/2)*0.70541)</f>
        <v/>
      </c>
      <c r="O350" s="48" t="str">
        <f>IF(A350="","",ROUNDDOWN(M350/($U$3/8.64)*10000/$AJ$3,0))</f>
        <v/>
      </c>
      <c r="P350" s="49" t="str">
        <f>IF(A350="","",IF(O350&gt;Q350,"＞","＜"))</f>
        <v/>
      </c>
      <c r="Q350" s="48" t="str">
        <f>IF(A350="","",I350)</f>
        <v/>
      </c>
      <c r="R350" s="51" t="str">
        <f>IF(A350="","",IF(P350="＞","OK","NG"))</f>
        <v/>
      </c>
      <c r="S350" s="86"/>
      <c r="T350" s="87"/>
      <c r="U350" s="28" t="str">
        <f>IF(S350="","",IF(T350=1,"素焼土管",IF(T350=2,"合成樹脂管",IF(T350=3,"無孔管",""))))</f>
        <v/>
      </c>
      <c r="V350" s="29"/>
      <c r="W350" s="88"/>
      <c r="X350" s="89"/>
      <c r="Y350" s="90"/>
      <c r="Z350" s="41" t="str">
        <f>IF(S350="","",IF(AND(T351=3,I350=""),Z348+Y350,IF(AND(Z348="",I348=""),I350+Y350,IF(AND(T351=3,I350&gt;0,Z348&gt;0),I350+Z348+Y350,IF(Z348="",I348+I350+X350+Y350,IF(I350="",Z348+X350+Y350,Z348+I350+X350+Y350))))))</f>
        <v/>
      </c>
      <c r="AA350" s="45" t="str">
        <f>IF(AB350="",""," 1/")</f>
        <v/>
      </c>
      <c r="AB350" s="91"/>
      <c r="AC350" s="30" t="str">
        <f>IF(S350="","",IF(T350="","",IF(T350=1,0.013,0.012)))</f>
        <v/>
      </c>
      <c r="AD350" s="31" t="str">
        <f>IF(S350="","",IF(T350="","",(1/AC350*(W350/100/2)^(8/3)*(1/AB350*100)^(1/2)*1.65696)*100))</f>
        <v/>
      </c>
      <c r="AE350" s="31" t="str">
        <f>IF(S350="","",IF(T350="","",1/AC350*(W350/100/2)^(2/3)*(1/AB350)^(1/2)*0.70541))</f>
        <v/>
      </c>
      <c r="AF350" s="31" t="str">
        <f>IF(S350="","",IF(T350="","",ROUNDDOWN(AD350/($U$3/8.64),3)))</f>
        <v/>
      </c>
      <c r="AG350" s="32" t="str">
        <f>IF(S350="","",IF(T350="","",ROUNDDOWN(AF350*10000/$AJ$3,0)))</f>
        <v/>
      </c>
      <c r="AH350" s="33" t="str">
        <f t="shared" si="2418"/>
        <v/>
      </c>
      <c r="AI350" s="41" t="str">
        <f>IF(S350="","",Z350)</f>
        <v/>
      </c>
      <c r="AJ350" s="43" t="str">
        <f>IF(S350="","",AI350*$AJ$3/10000)</f>
        <v/>
      </c>
      <c r="AK350" s="33" t="str">
        <f>IF(S350="","",IF(T350="","",IF(AND(T350=1,AE350&gt;1),"NG",IF(AH350="＞","OK","NG"))))</f>
        <v/>
      </c>
    </row>
    <row r="351" spans="1:37" ht="15.75" customHeight="1" x14ac:dyDescent="0.15">
      <c r="A351" s="92"/>
      <c r="B351" s="93"/>
      <c r="C351" s="59"/>
      <c r="D351" s="61"/>
      <c r="E351" s="94"/>
      <c r="F351" s="95"/>
      <c r="G351" s="95"/>
      <c r="H351" s="96"/>
      <c r="I351" s="54"/>
      <c r="J351" s="46"/>
      <c r="K351" s="97"/>
      <c r="L351" s="57"/>
      <c r="M351" s="44"/>
      <c r="N351" s="44"/>
      <c r="O351" s="42"/>
      <c r="P351" s="50"/>
      <c r="Q351" s="42"/>
      <c r="R351" s="52"/>
      <c r="S351" s="98"/>
      <c r="T351" s="99">
        <v>2</v>
      </c>
      <c r="U351" s="34" t="str">
        <f>IF(S350="","",IF(T350=T351,"〃",IF(T351=1,"素焼土管",IF(T351=2,"合成樹脂管",IF(T351=3,"無孔管","")))))</f>
        <v/>
      </c>
      <c r="V351" s="35"/>
      <c r="W351" s="100"/>
      <c r="X351" s="101"/>
      <c r="Y351" s="95"/>
      <c r="Z351" s="42"/>
      <c r="AA351" s="46"/>
      <c r="AB351" s="97"/>
      <c r="AC351" s="36" t="str">
        <f>IF(S350="","",IF(T351=1,0.013,0.012))</f>
        <v/>
      </c>
      <c r="AD351" s="37" t="str">
        <f>IF(S350="","",(1/AC351*(W351/100/2)^(8/3)*(1/AB350*100)^(1/2)*1.65696)*100)</f>
        <v/>
      </c>
      <c r="AE351" s="37" t="str">
        <f>IF(S350="","",1/AC351*(W351/100/2)^(2/3)*(1/AB350)^(1/2)*0.70541)</f>
        <v/>
      </c>
      <c r="AF351" s="37" t="str">
        <f>IF(S350="","",ROUNDDOWN(AD351/($U$3/8.64),3))</f>
        <v/>
      </c>
      <c r="AG351" s="38" t="str">
        <f>IF(S350="","",ROUNDDOWN(AF351*10000/$AJ$3,0))</f>
        <v/>
      </c>
      <c r="AH351" s="39" t="str">
        <f t="shared" ref="AH351" si="2428">IF(S350="","",IF(AG351&gt;AI350,"＞",IF(AG351=AI350,"=","＜")))</f>
        <v/>
      </c>
      <c r="AI351" s="42"/>
      <c r="AJ351" s="44"/>
      <c r="AK351" s="39" t="str">
        <f>IF(S350="","",IF(AND(T351=1,AE351&gt;1),"NG",IF(AH351="＞","OK","NG")))</f>
        <v/>
      </c>
    </row>
    <row r="352" spans="1:37" ht="15.75" customHeight="1" x14ac:dyDescent="0.15">
      <c r="A352" s="80"/>
      <c r="B352" s="81">
        <v>2</v>
      </c>
      <c r="C352" s="58" t="str">
        <f>IF(A352="","",IF(B352=1,"素　焼土　管",IF(B352=2,"合　成樹脂管",IF(B352=3,"無孔管",""))))</f>
        <v/>
      </c>
      <c r="D352" s="60"/>
      <c r="E352" s="82"/>
      <c r="F352" s="83"/>
      <c r="G352" s="83"/>
      <c r="H352" s="84"/>
      <c r="I352" s="53" t="str">
        <f>IF(A352="","",F352-G352+H352)</f>
        <v/>
      </c>
      <c r="J352" s="55" t="str">
        <f>IF(A352="",""," 1/")</f>
        <v/>
      </c>
      <c r="K352" s="85"/>
      <c r="L352" s="56" t="str">
        <f>IF(A352="","",IF(B352=1,0.013,0.012))</f>
        <v/>
      </c>
      <c r="M352" s="47" t="str">
        <f>IF(A352="","",(1/L352*(E352/100/2)^(8/3)*(1/K352*100)^(1/2)*1.65696)*100)</f>
        <v/>
      </c>
      <c r="N352" s="47" t="str">
        <f>IF(A352="","",1/L352*(E352/100/2)^(2/3)*(1/K352)^(1/2)*0.70541)</f>
        <v/>
      </c>
      <c r="O352" s="48" t="str">
        <f>IF(A352="","",ROUNDDOWN(M352/($U$3/8.64)*10000/$AJ$3,0))</f>
        <v/>
      </c>
      <c r="P352" s="49" t="str">
        <f>IF(A352="","",IF(O352&gt;Q352,"＞","＜"))</f>
        <v/>
      </c>
      <c r="Q352" s="48" t="str">
        <f>IF(A352="","",I352)</f>
        <v/>
      </c>
      <c r="R352" s="51" t="str">
        <f>IF(A352="","",IF(P352="＞","OK","NG"))</f>
        <v/>
      </c>
      <c r="S352" s="86"/>
      <c r="T352" s="87"/>
      <c r="U352" s="28" t="str">
        <f>IF(S352="","",IF(T352=1,"素焼土管",IF(T352=2,"合成樹脂管",IF(T352=3,"無孔管",""))))</f>
        <v/>
      </c>
      <c r="V352" s="29"/>
      <c r="W352" s="88"/>
      <c r="X352" s="89"/>
      <c r="Y352" s="90"/>
      <c r="Z352" s="41" t="str">
        <f>IF(S352="","",IF(AND(T353=3,I352=""),Z350+Y352,IF(AND(Z350="",I350=""),I352+Y352,IF(AND(T353=3,I352&gt;0,Z350&gt;0),I352+Z350+Y352,IF(Z350="",I350+I352+X352+Y352,IF(I352="",Z350+X352+Y352,Z350+I352+X352+Y352))))))</f>
        <v/>
      </c>
      <c r="AA352" s="45" t="str">
        <f>IF(AB352="",""," 1/")</f>
        <v/>
      </c>
      <c r="AB352" s="91"/>
      <c r="AC352" s="30" t="str">
        <f>IF(S352="","",IF(T352="","",IF(T352=1,0.013,0.012)))</f>
        <v/>
      </c>
      <c r="AD352" s="31" t="str">
        <f>IF(S352="","",IF(T352="","",(1/AC352*(W352/100/2)^(8/3)*(1/AB352*100)^(1/2)*1.65696)*100))</f>
        <v/>
      </c>
      <c r="AE352" s="31" t="str">
        <f>IF(S352="","",IF(T352="","",1/AC352*(W352/100/2)^(2/3)*(1/AB352)^(1/2)*0.70541))</f>
        <v/>
      </c>
      <c r="AF352" s="31" t="str">
        <f>IF(S352="","",IF(T352="","",ROUNDDOWN(AD352/($U$3/8.64),3)))</f>
        <v/>
      </c>
      <c r="AG352" s="32" t="str">
        <f>IF(S352="","",IF(T352="","",ROUNDDOWN(AF352*10000/$AJ$3,0)))</f>
        <v/>
      </c>
      <c r="AH352" s="33" t="str">
        <f t="shared" si="2418"/>
        <v/>
      </c>
      <c r="AI352" s="41" t="str">
        <f>IF(S352="","",Z352)</f>
        <v/>
      </c>
      <c r="AJ352" s="43" t="str">
        <f>IF(S352="","",AI352*$AJ$3/10000)</f>
        <v/>
      </c>
      <c r="AK352" s="33" t="str">
        <f>IF(S352="","",IF(T352="","",IF(AND(T352=1,AE352&gt;1),"NG",IF(AH352="＞","OK","NG"))))</f>
        <v/>
      </c>
    </row>
    <row r="353" spans="1:37" ht="15.75" customHeight="1" x14ac:dyDescent="0.15">
      <c r="A353" s="92"/>
      <c r="B353" s="93"/>
      <c r="C353" s="59"/>
      <c r="D353" s="61"/>
      <c r="E353" s="94"/>
      <c r="F353" s="95"/>
      <c r="G353" s="95"/>
      <c r="H353" s="96"/>
      <c r="I353" s="54"/>
      <c r="J353" s="46"/>
      <c r="K353" s="97"/>
      <c r="L353" s="57"/>
      <c r="M353" s="44"/>
      <c r="N353" s="44"/>
      <c r="O353" s="42"/>
      <c r="P353" s="50"/>
      <c r="Q353" s="42"/>
      <c r="R353" s="52"/>
      <c r="S353" s="98"/>
      <c r="T353" s="99">
        <v>2</v>
      </c>
      <c r="U353" s="34" t="str">
        <f>IF(S352="","",IF(T352=T353,"〃",IF(T353=1,"素焼土管",IF(T353=2,"合成樹脂管",IF(T353=3,"無孔管","")))))</f>
        <v/>
      </c>
      <c r="V353" s="35"/>
      <c r="W353" s="100"/>
      <c r="X353" s="101"/>
      <c r="Y353" s="95"/>
      <c r="Z353" s="42"/>
      <c r="AA353" s="46"/>
      <c r="AB353" s="97"/>
      <c r="AC353" s="36" t="str">
        <f>IF(S352="","",IF(T353=1,0.013,0.012))</f>
        <v/>
      </c>
      <c r="AD353" s="37" t="str">
        <f>IF(S352="","",(1/AC353*(W353/100/2)^(8/3)*(1/AB352*100)^(1/2)*1.65696)*100)</f>
        <v/>
      </c>
      <c r="AE353" s="37" t="str">
        <f>IF(S352="","",1/AC353*(W353/100/2)^(2/3)*(1/AB352)^(1/2)*0.70541)</f>
        <v/>
      </c>
      <c r="AF353" s="37" t="str">
        <f>IF(S352="","",ROUNDDOWN(AD353/($U$3/8.64),3))</f>
        <v/>
      </c>
      <c r="AG353" s="38" t="str">
        <f>IF(S352="","",ROUNDDOWN(AF353*10000/$AJ$3,0))</f>
        <v/>
      </c>
      <c r="AH353" s="39" t="str">
        <f t="shared" ref="AH353" si="2429">IF(S352="","",IF(AG353&gt;AI352,"＞",IF(AG353=AI352,"=","＜")))</f>
        <v/>
      </c>
      <c r="AI353" s="42"/>
      <c r="AJ353" s="44"/>
      <c r="AK353" s="39" t="str">
        <f>IF(S352="","",IF(AND(T353=1,AE353&gt;1),"NG",IF(AH353="＞","OK","NG")))</f>
        <v/>
      </c>
    </row>
    <row r="354" spans="1:37" ht="15.75" customHeight="1" x14ac:dyDescent="0.15">
      <c r="A354" s="80"/>
      <c r="B354" s="81">
        <v>2</v>
      </c>
      <c r="C354" s="58" t="str">
        <f>IF(A354="","",IF(B354=1,"素　焼土　管",IF(B354=2,"合　成樹脂管",IF(B354=3,"無孔管",""))))</f>
        <v/>
      </c>
      <c r="D354" s="60"/>
      <c r="E354" s="82"/>
      <c r="F354" s="83"/>
      <c r="G354" s="83"/>
      <c r="H354" s="84"/>
      <c r="I354" s="53" t="str">
        <f>IF(A354="","",F354-G354+H354)</f>
        <v/>
      </c>
      <c r="J354" s="55" t="str">
        <f>IF(A354="",""," 1/")</f>
        <v/>
      </c>
      <c r="K354" s="85"/>
      <c r="L354" s="56" t="str">
        <f>IF(A354="","",IF(B354=1,0.013,0.012))</f>
        <v/>
      </c>
      <c r="M354" s="47" t="str">
        <f>IF(A354="","",(1/L354*(E354/100/2)^(8/3)*(1/K354*100)^(1/2)*1.65696)*100)</f>
        <v/>
      </c>
      <c r="N354" s="47" t="str">
        <f>IF(A354="","",1/L354*(E354/100/2)^(2/3)*(1/K354)^(1/2)*0.70541)</f>
        <v/>
      </c>
      <c r="O354" s="48" t="str">
        <f>IF(A354="","",ROUNDDOWN(M354/($U$3/8.64)*10000/$AJ$3,0))</f>
        <v/>
      </c>
      <c r="P354" s="49" t="str">
        <f>IF(A354="","",IF(O354&gt;Q354,"＞","＜"))</f>
        <v/>
      </c>
      <c r="Q354" s="48" t="str">
        <f>IF(A354="","",I354)</f>
        <v/>
      </c>
      <c r="R354" s="51" t="str">
        <f>IF(A354="","",IF(P354="＞","OK","NG"))</f>
        <v/>
      </c>
      <c r="S354" s="86"/>
      <c r="T354" s="87"/>
      <c r="U354" s="28" t="str">
        <f>IF(S354="","",IF(T354=1,"素焼土管",IF(T354=2,"合成樹脂管",IF(T354=3,"無孔管",""))))</f>
        <v/>
      </c>
      <c r="V354" s="29"/>
      <c r="W354" s="88"/>
      <c r="X354" s="89"/>
      <c r="Y354" s="90"/>
      <c r="Z354" s="41" t="str">
        <f>IF(S354="","",IF(AND(T355=3,I354=""),Z352+Y354,IF(AND(Z352="",I352=""),I354+Y354,IF(AND(T355=3,I354&gt;0,Z352&gt;0),I354+Z352+Y354,IF(Z352="",I352+I354+X354+Y354,IF(I354="",Z352+X354+Y354,Z352+I354+X354+Y354))))))</f>
        <v/>
      </c>
      <c r="AA354" s="45" t="str">
        <f>IF(AB354="",""," 1/")</f>
        <v/>
      </c>
      <c r="AB354" s="91"/>
      <c r="AC354" s="30" t="str">
        <f>IF(S354="","",IF(T354="","",IF(T354=1,0.013,0.012)))</f>
        <v/>
      </c>
      <c r="AD354" s="31" t="str">
        <f>IF(S354="","",IF(T354="","",(1/AC354*(W354/100/2)^(8/3)*(1/AB354*100)^(1/2)*1.65696)*100))</f>
        <v/>
      </c>
      <c r="AE354" s="31" t="str">
        <f>IF(S354="","",IF(T354="","",1/AC354*(W354/100/2)^(2/3)*(1/AB354)^(1/2)*0.70541))</f>
        <v/>
      </c>
      <c r="AF354" s="31" t="str">
        <f>IF(S354="","",IF(T354="","",ROUNDDOWN(AD354/($U$3/8.64),3)))</f>
        <v/>
      </c>
      <c r="AG354" s="32" t="str">
        <f>IF(S354="","",IF(T354="","",ROUNDDOWN(AF354*10000/$AJ$3,0)))</f>
        <v/>
      </c>
      <c r="AH354" s="33" t="str">
        <f t="shared" si="2418"/>
        <v/>
      </c>
      <c r="AI354" s="41" t="str">
        <f>IF(S354="","",Z354)</f>
        <v/>
      </c>
      <c r="AJ354" s="43" t="str">
        <f>IF(S354="","",AI354*$AJ$3/10000)</f>
        <v/>
      </c>
      <c r="AK354" s="33" t="str">
        <f>IF(S354="","",IF(T354="","",IF(AND(T354=1,AE354&gt;1),"NG",IF(AH354="＞","OK","NG"))))</f>
        <v/>
      </c>
    </row>
    <row r="355" spans="1:37" ht="15.75" customHeight="1" x14ac:dyDescent="0.15">
      <c r="A355" s="92"/>
      <c r="B355" s="93"/>
      <c r="C355" s="59"/>
      <c r="D355" s="61"/>
      <c r="E355" s="94"/>
      <c r="F355" s="95"/>
      <c r="G355" s="95"/>
      <c r="H355" s="96"/>
      <c r="I355" s="54"/>
      <c r="J355" s="46"/>
      <c r="K355" s="97"/>
      <c r="L355" s="57"/>
      <c r="M355" s="44"/>
      <c r="N355" s="44"/>
      <c r="O355" s="42"/>
      <c r="P355" s="50"/>
      <c r="Q355" s="42"/>
      <c r="R355" s="52"/>
      <c r="S355" s="98"/>
      <c r="T355" s="99">
        <v>2</v>
      </c>
      <c r="U355" s="34" t="str">
        <f>IF(S354="","",IF(T354=T355,"〃",IF(T355=1,"素焼土管",IF(T355=2,"合成樹脂管",IF(T355=3,"無孔管","")))))</f>
        <v/>
      </c>
      <c r="V355" s="35"/>
      <c r="W355" s="100"/>
      <c r="X355" s="101"/>
      <c r="Y355" s="95"/>
      <c r="Z355" s="42"/>
      <c r="AA355" s="46"/>
      <c r="AB355" s="97"/>
      <c r="AC355" s="36" t="str">
        <f>IF(S354="","",IF(T355=1,0.013,0.012))</f>
        <v/>
      </c>
      <c r="AD355" s="37" t="str">
        <f>IF(S354="","",(1/AC355*(W355/100/2)^(8/3)*(1/AB354*100)^(1/2)*1.65696)*100)</f>
        <v/>
      </c>
      <c r="AE355" s="37" t="str">
        <f>IF(S354="","",1/AC355*(W355/100/2)^(2/3)*(1/AB354)^(1/2)*0.70541)</f>
        <v/>
      </c>
      <c r="AF355" s="37" t="str">
        <f>IF(S354="","",ROUNDDOWN(AD355/($U$3/8.64),3))</f>
        <v/>
      </c>
      <c r="AG355" s="38" t="str">
        <f>IF(S354="","",ROUNDDOWN(AF355*10000/$AJ$3,0))</f>
        <v/>
      </c>
      <c r="AH355" s="39" t="str">
        <f t="shared" ref="AH355" si="2430">IF(S354="","",IF(AG355&gt;AI354,"＞",IF(AG355=AI354,"=","＜")))</f>
        <v/>
      </c>
      <c r="AI355" s="42"/>
      <c r="AJ355" s="44"/>
      <c r="AK355" s="39" t="str">
        <f>IF(S354="","",IF(AND(T355=1,AE355&gt;1),"NG",IF(AH355="＞","OK","NG")))</f>
        <v/>
      </c>
    </row>
    <row r="356" spans="1:37" ht="15.75" customHeight="1" x14ac:dyDescent="0.15">
      <c r="A356" s="80"/>
      <c r="B356" s="81">
        <v>2</v>
      </c>
      <c r="C356" s="58" t="str">
        <f>IF(A356="","",IF(B356=1,"素　焼土　管",IF(B356=2,"合　成樹脂管",IF(B356=3,"無孔管",""))))</f>
        <v/>
      </c>
      <c r="D356" s="60"/>
      <c r="E356" s="82"/>
      <c r="F356" s="83"/>
      <c r="G356" s="83"/>
      <c r="H356" s="84"/>
      <c r="I356" s="53" t="str">
        <f>IF(A356="","",F356-G356+H356)</f>
        <v/>
      </c>
      <c r="J356" s="55" t="str">
        <f>IF(A356="",""," 1/")</f>
        <v/>
      </c>
      <c r="K356" s="85"/>
      <c r="L356" s="56" t="str">
        <f>IF(A356="","",IF(B356=1,0.013,0.012))</f>
        <v/>
      </c>
      <c r="M356" s="47" t="str">
        <f>IF(A356="","",(1/L356*(E356/100/2)^(8/3)*(1/K356*100)^(1/2)*1.65696)*100)</f>
        <v/>
      </c>
      <c r="N356" s="47" t="str">
        <f>IF(A356="","",1/L356*(E356/100/2)^(2/3)*(1/K356)^(1/2)*0.70541)</f>
        <v/>
      </c>
      <c r="O356" s="48" t="str">
        <f>IF(A356="","",ROUNDDOWN(M356/($U$3/8.64)*10000/$AJ$3,0))</f>
        <v/>
      </c>
      <c r="P356" s="49" t="str">
        <f>IF(A356="","",IF(O356&gt;Q356,"＞","＜"))</f>
        <v/>
      </c>
      <c r="Q356" s="48" t="str">
        <f>IF(A356="","",I356)</f>
        <v/>
      </c>
      <c r="R356" s="51" t="str">
        <f>IF(A356="","",IF(P356="＞","OK","NG"))</f>
        <v/>
      </c>
      <c r="S356" s="86"/>
      <c r="T356" s="87"/>
      <c r="U356" s="28" t="str">
        <f>IF(S356="","",IF(T356=1,"素焼土管",IF(T356=2,"合成樹脂管",IF(T356=3,"無孔管",""))))</f>
        <v/>
      </c>
      <c r="V356" s="29"/>
      <c r="W356" s="88"/>
      <c r="X356" s="89"/>
      <c r="Y356" s="90"/>
      <c r="Z356" s="41" t="str">
        <f>IF(S356="","",IF(AND(T357=3,I356=""),Z354+Y356,IF(AND(Z354="",I354=""),I356+Y356,IF(AND(T357=3,I356&gt;0,Z354&gt;0),I356+Z354+Y356,IF(Z354="",I354+I356+X356+Y356,IF(I356="",Z354+X356+Y356,Z354+I356+X356+Y356))))))</f>
        <v/>
      </c>
      <c r="AA356" s="45" t="str">
        <f>IF(AB356="",""," 1/")</f>
        <v/>
      </c>
      <c r="AB356" s="91"/>
      <c r="AC356" s="30" t="str">
        <f>IF(S356="","",IF(T356="","",IF(T356=1,0.013,0.012)))</f>
        <v/>
      </c>
      <c r="AD356" s="31" t="str">
        <f>IF(S356="","",IF(T356="","",(1/AC356*(W356/100/2)^(8/3)*(1/AB356*100)^(1/2)*1.65696)*100))</f>
        <v/>
      </c>
      <c r="AE356" s="31" t="str">
        <f>IF(S356="","",IF(T356="","",1/AC356*(W356/100/2)^(2/3)*(1/AB356)^(1/2)*0.70541))</f>
        <v/>
      </c>
      <c r="AF356" s="31" t="str">
        <f>IF(S356="","",IF(T356="","",ROUNDDOWN(AD356/($U$3/8.64),3)))</f>
        <v/>
      </c>
      <c r="AG356" s="32" t="str">
        <f>IF(S356="","",IF(T356="","",ROUNDDOWN(AF356*10000/$AJ$3,0)))</f>
        <v/>
      </c>
      <c r="AH356" s="33" t="str">
        <f t="shared" si="2418"/>
        <v/>
      </c>
      <c r="AI356" s="41" t="str">
        <f>IF(S356="","",Z356)</f>
        <v/>
      </c>
      <c r="AJ356" s="43" t="str">
        <f>IF(S356="","",AI356*$AJ$3/10000)</f>
        <v/>
      </c>
      <c r="AK356" s="33" t="str">
        <f>IF(S356="","",IF(T356="","",IF(AND(T356=1,AE356&gt;1),"NG",IF(AH356="＞","OK","NG"))))</f>
        <v/>
      </c>
    </row>
    <row r="357" spans="1:37" ht="15.75" customHeight="1" x14ac:dyDescent="0.15">
      <c r="A357" s="92"/>
      <c r="B357" s="93"/>
      <c r="C357" s="59"/>
      <c r="D357" s="61"/>
      <c r="E357" s="94"/>
      <c r="F357" s="95"/>
      <c r="G357" s="95"/>
      <c r="H357" s="96"/>
      <c r="I357" s="54"/>
      <c r="J357" s="46"/>
      <c r="K357" s="97"/>
      <c r="L357" s="57"/>
      <c r="M357" s="44"/>
      <c r="N357" s="44"/>
      <c r="O357" s="42"/>
      <c r="P357" s="50"/>
      <c r="Q357" s="42"/>
      <c r="R357" s="52"/>
      <c r="S357" s="98"/>
      <c r="T357" s="99">
        <v>2</v>
      </c>
      <c r="U357" s="34" t="str">
        <f>IF(S356="","",IF(T356=T357,"〃",IF(T357=1,"素焼土管",IF(T357=2,"合成樹脂管",IF(T357=3,"無孔管","")))))</f>
        <v/>
      </c>
      <c r="V357" s="35"/>
      <c r="W357" s="100"/>
      <c r="X357" s="101"/>
      <c r="Y357" s="95"/>
      <c r="Z357" s="42"/>
      <c r="AA357" s="46"/>
      <c r="AB357" s="97"/>
      <c r="AC357" s="36" t="str">
        <f>IF(S356="","",IF(T357=1,0.013,0.012))</f>
        <v/>
      </c>
      <c r="AD357" s="37" t="str">
        <f>IF(S356="","",(1/AC357*(W357/100/2)^(8/3)*(1/AB356*100)^(1/2)*1.65696)*100)</f>
        <v/>
      </c>
      <c r="AE357" s="37" t="str">
        <f>IF(S356="","",1/AC357*(W357/100/2)^(2/3)*(1/AB356)^(1/2)*0.70541)</f>
        <v/>
      </c>
      <c r="AF357" s="37" t="str">
        <f>IF(S356="","",ROUNDDOWN(AD357/($U$3/8.64),3))</f>
        <v/>
      </c>
      <c r="AG357" s="38" t="str">
        <f>IF(S356="","",ROUNDDOWN(AF357*10000/$AJ$3,0))</f>
        <v/>
      </c>
      <c r="AH357" s="39" t="str">
        <f t="shared" ref="AH357" si="2431">IF(S356="","",IF(AG357&gt;AI356,"＞",IF(AG357=AI356,"=","＜")))</f>
        <v/>
      </c>
      <c r="AI357" s="42"/>
      <c r="AJ357" s="44"/>
      <c r="AK357" s="39" t="str">
        <f>IF(S356="","",IF(AND(T357=1,AE357&gt;1),"NG",IF(AH357="＞","OK","NG")))</f>
        <v/>
      </c>
    </row>
    <row r="358" spans="1:37" ht="15.75" customHeight="1" x14ac:dyDescent="0.15">
      <c r="A358" s="80"/>
      <c r="B358" s="81">
        <v>2</v>
      </c>
      <c r="C358" s="58" t="str">
        <f>IF(A358="","",IF(B358=1,"素　焼土　管",IF(B358=2,"合　成樹脂管",IF(B358=3,"無孔管",""))))</f>
        <v/>
      </c>
      <c r="D358" s="60"/>
      <c r="E358" s="82"/>
      <c r="F358" s="83"/>
      <c r="G358" s="83"/>
      <c r="H358" s="84"/>
      <c r="I358" s="53" t="str">
        <f>IF(A358="","",F358-G358+H358)</f>
        <v/>
      </c>
      <c r="J358" s="55" t="str">
        <f>IF(A358="",""," 1/")</f>
        <v/>
      </c>
      <c r="K358" s="85"/>
      <c r="L358" s="56" t="str">
        <f>IF(A358="","",IF(B358=1,0.013,0.012))</f>
        <v/>
      </c>
      <c r="M358" s="47" t="str">
        <f>IF(A358="","",(1/L358*(E358/100/2)^(8/3)*(1/K358*100)^(1/2)*1.65696)*100)</f>
        <v/>
      </c>
      <c r="N358" s="47" t="str">
        <f>IF(A358="","",1/L358*(E358/100/2)^(2/3)*(1/K358)^(1/2)*0.70541)</f>
        <v/>
      </c>
      <c r="O358" s="48" t="str">
        <f>IF(A358="","",ROUNDDOWN(M358/($U$3/8.64)*10000/$AJ$3,0))</f>
        <v/>
      </c>
      <c r="P358" s="49" t="str">
        <f>IF(A358="","",IF(O358&gt;Q358,"＞","＜"))</f>
        <v/>
      </c>
      <c r="Q358" s="48" t="str">
        <f>IF(A358="","",I358)</f>
        <v/>
      </c>
      <c r="R358" s="51" t="str">
        <f>IF(A358="","",IF(P358="＞","OK","NG"))</f>
        <v/>
      </c>
      <c r="S358" s="86"/>
      <c r="T358" s="87"/>
      <c r="U358" s="28" t="str">
        <f>IF(S358="","",IF(T358=1,"素焼土管",IF(T358=2,"合成樹脂管",IF(T358=3,"無孔管",""))))</f>
        <v/>
      </c>
      <c r="V358" s="29"/>
      <c r="W358" s="88"/>
      <c r="X358" s="89"/>
      <c r="Y358" s="90"/>
      <c r="Z358" s="41" t="str">
        <f>IF(S358="","",IF(AND(T359=3,I358=""),Z356+Y358,IF(AND(Z356="",I356=""),I358+Y358,IF(AND(T359=3,I358&gt;0,Z356&gt;0),I358+Z356+Y358,IF(Z356="",I356+I358+X358+Y358,IF(I358="",Z356+X358+Y358,Z356+I358+X358+Y358))))))</f>
        <v/>
      </c>
      <c r="AA358" s="45" t="str">
        <f>IF(AB358="",""," 1/")</f>
        <v/>
      </c>
      <c r="AB358" s="91"/>
      <c r="AC358" s="30" t="str">
        <f>IF(S358="","",IF(T358="","",IF(T358=1,0.013,0.012)))</f>
        <v/>
      </c>
      <c r="AD358" s="31" t="str">
        <f>IF(S358="","",IF(T358="","",(1/AC358*(W358/100/2)^(8/3)*(1/AB358*100)^(1/2)*1.65696)*100))</f>
        <v/>
      </c>
      <c r="AE358" s="31" t="str">
        <f>IF(S358="","",IF(T358="","",1/AC358*(W358/100/2)^(2/3)*(1/AB358)^(1/2)*0.70541))</f>
        <v/>
      </c>
      <c r="AF358" s="31" t="str">
        <f>IF(S358="","",IF(T358="","",ROUNDDOWN(AD358/($U$3/8.64),3)))</f>
        <v/>
      </c>
      <c r="AG358" s="32" t="str">
        <f>IF(S358="","",IF(T358="","",ROUNDDOWN(AF358*10000/$AJ$3,0)))</f>
        <v/>
      </c>
      <c r="AH358" s="33" t="str">
        <f t="shared" si="2418"/>
        <v/>
      </c>
      <c r="AI358" s="41" t="str">
        <f>IF(S358="","",Z358)</f>
        <v/>
      </c>
      <c r="AJ358" s="43" t="str">
        <f>IF(S358="","",AI358*$AJ$3/10000)</f>
        <v/>
      </c>
      <c r="AK358" s="33" t="str">
        <f>IF(S358="","",IF(T358="","",IF(AND(T358=1,AE358&gt;1),"NG",IF(AH358="＞","OK","NG"))))</f>
        <v/>
      </c>
    </row>
    <row r="359" spans="1:37" ht="15.75" customHeight="1" x14ac:dyDescent="0.15">
      <c r="A359" s="92"/>
      <c r="B359" s="93"/>
      <c r="C359" s="59"/>
      <c r="D359" s="61"/>
      <c r="E359" s="94"/>
      <c r="F359" s="95"/>
      <c r="G359" s="95"/>
      <c r="H359" s="96"/>
      <c r="I359" s="54"/>
      <c r="J359" s="46"/>
      <c r="K359" s="97"/>
      <c r="L359" s="57"/>
      <c r="M359" s="44"/>
      <c r="N359" s="44"/>
      <c r="O359" s="42"/>
      <c r="P359" s="50"/>
      <c r="Q359" s="42"/>
      <c r="R359" s="52"/>
      <c r="S359" s="98"/>
      <c r="T359" s="99">
        <v>2</v>
      </c>
      <c r="U359" s="34" t="str">
        <f>IF(S358="","",IF(T358=T359,"〃",IF(T359=1,"素焼土管",IF(T359=2,"合成樹脂管",IF(T359=3,"無孔管","")))))</f>
        <v/>
      </c>
      <c r="V359" s="35"/>
      <c r="W359" s="100"/>
      <c r="X359" s="101"/>
      <c r="Y359" s="95"/>
      <c r="Z359" s="42"/>
      <c r="AA359" s="46"/>
      <c r="AB359" s="97"/>
      <c r="AC359" s="36" t="str">
        <f>IF(S358="","",IF(T359=1,0.013,0.012))</f>
        <v/>
      </c>
      <c r="AD359" s="37" t="str">
        <f>IF(S358="","",(1/AC359*(W359/100/2)^(8/3)*(1/AB358*100)^(1/2)*1.65696)*100)</f>
        <v/>
      </c>
      <c r="AE359" s="37" t="str">
        <f>IF(S358="","",1/AC359*(W359/100/2)^(2/3)*(1/AB358)^(1/2)*0.70541)</f>
        <v/>
      </c>
      <c r="AF359" s="37" t="str">
        <f>IF(S358="","",ROUNDDOWN(AD359/($U$3/8.64),3))</f>
        <v/>
      </c>
      <c r="AG359" s="38" t="str">
        <f>IF(S358="","",ROUNDDOWN(AF359*10000/$AJ$3,0))</f>
        <v/>
      </c>
      <c r="AH359" s="39" t="str">
        <f t="shared" ref="AH359" si="2432">IF(S358="","",IF(AG359&gt;AI358,"＞",IF(AG359=AI358,"=","＜")))</f>
        <v/>
      </c>
      <c r="AI359" s="42"/>
      <c r="AJ359" s="44"/>
      <c r="AK359" s="39" t="str">
        <f>IF(S358="","",IF(AND(T359=1,AE359&gt;1),"NG",IF(AH359="＞","OK","NG")))</f>
        <v/>
      </c>
    </row>
    <row r="360" spans="1:37" ht="15.75" customHeight="1" x14ac:dyDescent="0.15">
      <c r="A360" s="80"/>
      <c r="B360" s="81">
        <v>2</v>
      </c>
      <c r="C360" s="58" t="str">
        <f>IF(A360="","",IF(B360=1,"素　焼土　管",IF(B360=2,"合　成樹脂管",IF(B360=3,"無孔管",""))))</f>
        <v/>
      </c>
      <c r="D360" s="60"/>
      <c r="E360" s="82"/>
      <c r="F360" s="83"/>
      <c r="G360" s="83"/>
      <c r="H360" s="84"/>
      <c r="I360" s="53" t="str">
        <f>IF(A360="","",F360-G360+H360)</f>
        <v/>
      </c>
      <c r="J360" s="55" t="str">
        <f>IF(A360="",""," 1/")</f>
        <v/>
      </c>
      <c r="K360" s="85"/>
      <c r="L360" s="56" t="str">
        <f>IF(A360="","",IF(B360=1,0.013,0.012))</f>
        <v/>
      </c>
      <c r="M360" s="47" t="str">
        <f>IF(A360="","",(1/L360*(E360/100/2)^(8/3)*(1/K360*100)^(1/2)*1.65696)*100)</f>
        <v/>
      </c>
      <c r="N360" s="47" t="str">
        <f>IF(A360="","",1/L360*(E360/100/2)^(2/3)*(1/K360)^(1/2)*0.70541)</f>
        <v/>
      </c>
      <c r="O360" s="48" t="str">
        <f>IF(A360="","",ROUNDDOWN(M360/($U$3/8.64)*10000/$AJ$3,0))</f>
        <v/>
      </c>
      <c r="P360" s="49" t="str">
        <f>IF(A360="","",IF(O360&gt;Q360,"＞","＜"))</f>
        <v/>
      </c>
      <c r="Q360" s="48" t="str">
        <f>IF(A360="","",I360)</f>
        <v/>
      </c>
      <c r="R360" s="51" t="str">
        <f>IF(A360="","",IF(P360="＞","OK","NG"))</f>
        <v/>
      </c>
      <c r="S360" s="86"/>
      <c r="T360" s="87"/>
      <c r="U360" s="28" t="str">
        <f>IF(S360="","",IF(T360=1,"素焼土管",IF(T360=2,"合成樹脂管",IF(T360=3,"無孔管",""))))</f>
        <v/>
      </c>
      <c r="V360" s="29"/>
      <c r="W360" s="88"/>
      <c r="X360" s="89"/>
      <c r="Y360" s="90"/>
      <c r="Z360" s="41" t="str">
        <f>IF(S360="","",IF(AND(T361=3,I360=""),Z358+Y360,IF(AND(Z358="",I358=""),I360+Y360,IF(AND(T361=3,I360&gt;0,Z358&gt;0),I360+Z358+Y360,IF(Z358="",I358+I360+X360+Y360,IF(I360="",Z358+X360+Y360,Z358+I360+X360+Y360))))))</f>
        <v/>
      </c>
      <c r="AA360" s="45" t="str">
        <f>IF(AB360="",""," 1/")</f>
        <v/>
      </c>
      <c r="AB360" s="91"/>
      <c r="AC360" s="30" t="str">
        <f>IF(S360="","",IF(T360="","",IF(T360=1,0.013,0.012)))</f>
        <v/>
      </c>
      <c r="AD360" s="31" t="str">
        <f>IF(S360="","",IF(T360="","",(1/AC360*(W360/100/2)^(8/3)*(1/AB360*100)^(1/2)*1.65696)*100))</f>
        <v/>
      </c>
      <c r="AE360" s="31" t="str">
        <f>IF(S360="","",IF(T360="","",1/AC360*(W360/100/2)^(2/3)*(1/AB360)^(1/2)*0.70541))</f>
        <v/>
      </c>
      <c r="AF360" s="31" t="str">
        <f>IF(S360="","",IF(T360="","",ROUNDDOWN(AD360/($U$3/8.64),3)))</f>
        <v/>
      </c>
      <c r="AG360" s="32" t="str">
        <f>IF(S360="","",IF(T360="","",ROUNDDOWN(AF360*10000/$AJ$3,0)))</f>
        <v/>
      </c>
      <c r="AH360" s="33" t="str">
        <f t="shared" si="2418"/>
        <v/>
      </c>
      <c r="AI360" s="41" t="str">
        <f>IF(S360="","",Z360)</f>
        <v/>
      </c>
      <c r="AJ360" s="43" t="str">
        <f>IF(S360="","",AI360*$AJ$3/10000)</f>
        <v/>
      </c>
      <c r="AK360" s="33" t="str">
        <f>IF(S360="","",IF(T360="","",IF(AND(T360=1,AE360&gt;1),"NG",IF(AH360="＞","OK","NG"))))</f>
        <v/>
      </c>
    </row>
    <row r="361" spans="1:37" ht="15.75" customHeight="1" x14ac:dyDescent="0.15">
      <c r="A361" s="92"/>
      <c r="B361" s="93"/>
      <c r="C361" s="59"/>
      <c r="D361" s="61"/>
      <c r="E361" s="94"/>
      <c r="F361" s="95"/>
      <c r="G361" s="95"/>
      <c r="H361" s="96"/>
      <c r="I361" s="54"/>
      <c r="J361" s="46"/>
      <c r="K361" s="97"/>
      <c r="L361" s="57"/>
      <c r="M361" s="44"/>
      <c r="N361" s="44"/>
      <c r="O361" s="42"/>
      <c r="P361" s="50"/>
      <c r="Q361" s="42"/>
      <c r="R361" s="52"/>
      <c r="S361" s="98"/>
      <c r="T361" s="99">
        <v>2</v>
      </c>
      <c r="U361" s="34" t="str">
        <f>IF(S360="","",IF(T360=T361,"〃",IF(T361=1,"素焼土管",IF(T361=2,"合成樹脂管",IF(T361=3,"無孔管","")))))</f>
        <v/>
      </c>
      <c r="V361" s="35"/>
      <c r="W361" s="100"/>
      <c r="X361" s="101"/>
      <c r="Y361" s="95"/>
      <c r="Z361" s="42"/>
      <c r="AA361" s="46"/>
      <c r="AB361" s="97"/>
      <c r="AC361" s="36" t="str">
        <f>IF(S360="","",IF(T361=1,0.013,0.012))</f>
        <v/>
      </c>
      <c r="AD361" s="37" t="str">
        <f>IF(S360="","",(1/AC361*(W361/100/2)^(8/3)*(1/AB360*100)^(1/2)*1.65696)*100)</f>
        <v/>
      </c>
      <c r="AE361" s="37" t="str">
        <f>IF(S360="","",1/AC361*(W361/100/2)^(2/3)*(1/AB360)^(1/2)*0.70541)</f>
        <v/>
      </c>
      <c r="AF361" s="37" t="str">
        <f>IF(S360="","",ROUNDDOWN(AD361/($U$3/8.64),3))</f>
        <v/>
      </c>
      <c r="AG361" s="38" t="str">
        <f>IF(S360="","",ROUNDDOWN(AF361*10000/$AJ$3,0))</f>
        <v/>
      </c>
      <c r="AH361" s="39" t="str">
        <f t="shared" ref="AH361" si="2433">IF(S360="","",IF(AG361&gt;AI360,"＞",IF(AG361=AI360,"=","＜")))</f>
        <v/>
      </c>
      <c r="AI361" s="42"/>
      <c r="AJ361" s="44"/>
      <c r="AK361" s="39" t="str">
        <f>IF(S360="","",IF(AND(T361=1,AE361&gt;1),"NG",IF(AH361="＞","OK","NG")))</f>
        <v/>
      </c>
    </row>
    <row r="362" spans="1:37" ht="15.75" customHeight="1" x14ac:dyDescent="0.15">
      <c r="A362" s="80"/>
      <c r="B362" s="81">
        <v>2</v>
      </c>
      <c r="C362" s="58" t="str">
        <f>IF(A362="","",IF(B362=1,"素　焼土　管",IF(B362=2,"合　成樹脂管",IF(B362=3,"無孔管",""))))</f>
        <v/>
      </c>
      <c r="D362" s="60"/>
      <c r="E362" s="82"/>
      <c r="F362" s="83"/>
      <c r="G362" s="83"/>
      <c r="H362" s="84"/>
      <c r="I362" s="53" t="str">
        <f>IF(A362="","",F362-G362+H362)</f>
        <v/>
      </c>
      <c r="J362" s="55" t="str">
        <f>IF(A362="",""," 1/")</f>
        <v/>
      </c>
      <c r="K362" s="85"/>
      <c r="L362" s="56" t="str">
        <f>IF(A362="","",IF(B362=1,0.013,0.012))</f>
        <v/>
      </c>
      <c r="M362" s="47" t="str">
        <f>IF(A362="","",(1/L362*(E362/100/2)^(8/3)*(1/K362*100)^(1/2)*1.65696)*100)</f>
        <v/>
      </c>
      <c r="N362" s="47" t="str">
        <f>IF(A362="","",1/L362*(E362/100/2)^(2/3)*(1/K362)^(1/2)*0.70541)</f>
        <v/>
      </c>
      <c r="O362" s="48" t="str">
        <f>IF(A362="","",ROUNDDOWN(M362/($U$3/8.64)*10000/$AJ$3,0))</f>
        <v/>
      </c>
      <c r="P362" s="49" t="str">
        <f>IF(A362="","",IF(O362&gt;Q362,"＞","＜"))</f>
        <v/>
      </c>
      <c r="Q362" s="48" t="str">
        <f>IF(A362="","",I362)</f>
        <v/>
      </c>
      <c r="R362" s="51" t="str">
        <f>IF(A362="","",IF(P362="＞","OK","NG"))</f>
        <v/>
      </c>
      <c r="S362" s="86"/>
      <c r="T362" s="87"/>
      <c r="U362" s="28" t="str">
        <f>IF(S362="","",IF(T362=1,"素焼土管",IF(T362=2,"合成樹脂管",IF(T362=3,"無孔管",""))))</f>
        <v/>
      </c>
      <c r="V362" s="29"/>
      <c r="W362" s="88"/>
      <c r="X362" s="89"/>
      <c r="Y362" s="90"/>
      <c r="Z362" s="41" t="str">
        <f>IF(S362="","",IF(AND(T363=3,I362=""),Z360+Y362,IF(AND(Z360="",I360=""),I362+Y362,IF(AND(T363=3,I362&gt;0,Z360&gt;0),I362+Z360+Y362,IF(Z360="",I360+I362+X362+Y362,IF(I362="",Z360+X362+Y362,Z360+I362+X362+Y362))))))</f>
        <v/>
      </c>
      <c r="AA362" s="45" t="str">
        <f>IF(AB362="",""," 1/")</f>
        <v/>
      </c>
      <c r="AB362" s="91"/>
      <c r="AC362" s="30" t="str">
        <f>IF(S362="","",IF(T362="","",IF(T362=1,0.013,0.012)))</f>
        <v/>
      </c>
      <c r="AD362" s="31" t="str">
        <f>IF(S362="","",IF(T362="","",(1/AC362*(W362/100/2)^(8/3)*(1/AB362*100)^(1/2)*1.65696)*100))</f>
        <v/>
      </c>
      <c r="AE362" s="31" t="str">
        <f>IF(S362="","",IF(T362="","",1/AC362*(W362/100/2)^(2/3)*(1/AB362)^(1/2)*0.70541))</f>
        <v/>
      </c>
      <c r="AF362" s="31" t="str">
        <f>IF(S362="","",IF(T362="","",ROUNDDOWN(AD362/($U$3/8.64),3)))</f>
        <v/>
      </c>
      <c r="AG362" s="32" t="str">
        <f>IF(S362="","",IF(T362="","",ROUNDDOWN(AF362*10000/$AJ$3,0)))</f>
        <v/>
      </c>
      <c r="AH362" s="33" t="str">
        <f t="shared" si="2418"/>
        <v/>
      </c>
      <c r="AI362" s="41" t="str">
        <f>IF(S362="","",Z362)</f>
        <v/>
      </c>
      <c r="AJ362" s="43" t="str">
        <f>IF(S362="","",AI362*$AJ$3/10000)</f>
        <v/>
      </c>
      <c r="AK362" s="33" t="str">
        <f>IF(S362="","",IF(T362="","",IF(AND(T362=1,AE362&gt;1),"NG",IF(AH362="＞","OK","NG"))))</f>
        <v/>
      </c>
    </row>
    <row r="363" spans="1:37" ht="15.75" customHeight="1" x14ac:dyDescent="0.15">
      <c r="A363" s="92"/>
      <c r="B363" s="93"/>
      <c r="C363" s="59"/>
      <c r="D363" s="61"/>
      <c r="E363" s="94"/>
      <c r="F363" s="95"/>
      <c r="G363" s="95"/>
      <c r="H363" s="96"/>
      <c r="I363" s="54"/>
      <c r="J363" s="46"/>
      <c r="K363" s="97"/>
      <c r="L363" s="57"/>
      <c r="M363" s="44"/>
      <c r="N363" s="44"/>
      <c r="O363" s="42"/>
      <c r="P363" s="50"/>
      <c r="Q363" s="42"/>
      <c r="R363" s="52"/>
      <c r="S363" s="98"/>
      <c r="T363" s="99">
        <v>2</v>
      </c>
      <c r="U363" s="34" t="str">
        <f>IF(S362="","",IF(T362=T363,"〃",IF(T363=1,"素焼土管",IF(T363=2,"合成樹脂管",IF(T363=3,"無孔管","")))))</f>
        <v/>
      </c>
      <c r="V363" s="35"/>
      <c r="W363" s="100"/>
      <c r="X363" s="101"/>
      <c r="Y363" s="95"/>
      <c r="Z363" s="42"/>
      <c r="AA363" s="46"/>
      <c r="AB363" s="97"/>
      <c r="AC363" s="36" t="str">
        <f>IF(S362="","",IF(T363=1,0.013,0.012))</f>
        <v/>
      </c>
      <c r="AD363" s="37" t="str">
        <f>IF(S362="","",(1/AC363*(W363/100/2)^(8/3)*(1/AB362*100)^(1/2)*1.65696)*100)</f>
        <v/>
      </c>
      <c r="AE363" s="37" t="str">
        <f>IF(S362="","",1/AC363*(W363/100/2)^(2/3)*(1/AB362)^(1/2)*0.70541)</f>
        <v/>
      </c>
      <c r="AF363" s="37" t="str">
        <f>IF(S362="","",ROUNDDOWN(AD363/($U$3/8.64),3))</f>
        <v/>
      </c>
      <c r="AG363" s="38" t="str">
        <f>IF(S362="","",ROUNDDOWN(AF363*10000/$AJ$3,0))</f>
        <v/>
      </c>
      <c r="AH363" s="39" t="str">
        <f t="shared" ref="AH363" si="2434">IF(S362="","",IF(AG363&gt;AI362,"＞",IF(AG363=AI362,"=","＜")))</f>
        <v/>
      </c>
      <c r="AI363" s="42"/>
      <c r="AJ363" s="44"/>
      <c r="AK363" s="39" t="str">
        <f>IF(S362="","",IF(AND(T363=1,AE363&gt;1),"NG",IF(AH363="＞","OK","NG")))</f>
        <v/>
      </c>
    </row>
    <row r="364" spans="1:37" ht="15.75" customHeight="1" x14ac:dyDescent="0.15">
      <c r="A364" s="80"/>
      <c r="B364" s="81">
        <v>2</v>
      </c>
      <c r="C364" s="58" t="str">
        <f>IF(A364="","",IF(B364=1,"素　焼土　管",IF(B364=2,"合　成樹脂管",IF(B364=3,"無孔管",""))))</f>
        <v/>
      </c>
      <c r="D364" s="60"/>
      <c r="E364" s="82"/>
      <c r="F364" s="83"/>
      <c r="G364" s="83"/>
      <c r="H364" s="84"/>
      <c r="I364" s="53" t="str">
        <f>IF(A364="","",F364-G364+H364)</f>
        <v/>
      </c>
      <c r="J364" s="55" t="str">
        <f>IF(A364="",""," 1/")</f>
        <v/>
      </c>
      <c r="K364" s="85"/>
      <c r="L364" s="56" t="str">
        <f>IF(A364="","",IF(B364=1,0.013,0.012))</f>
        <v/>
      </c>
      <c r="M364" s="47" t="str">
        <f>IF(A364="","",(1/L364*(E364/100/2)^(8/3)*(1/K364*100)^(1/2)*1.65696)*100)</f>
        <v/>
      </c>
      <c r="N364" s="47" t="str">
        <f>IF(A364="","",1/L364*(E364/100/2)^(2/3)*(1/K364)^(1/2)*0.70541)</f>
        <v/>
      </c>
      <c r="O364" s="48" t="str">
        <f>IF(A364="","",ROUNDDOWN(M364/($U$3/8.64)*10000/$AJ$3,0))</f>
        <v/>
      </c>
      <c r="P364" s="49" t="str">
        <f>IF(A364="","",IF(O364&gt;Q364,"＞","＜"))</f>
        <v/>
      </c>
      <c r="Q364" s="48" t="str">
        <f>IF(A364="","",I364)</f>
        <v/>
      </c>
      <c r="R364" s="51" t="str">
        <f>IF(A364="","",IF(P364="＞","OK","NG"))</f>
        <v/>
      </c>
      <c r="S364" s="86"/>
      <c r="T364" s="87"/>
      <c r="U364" s="28" t="str">
        <f>IF(S364="","",IF(T364=1,"素焼土管",IF(T364=2,"合成樹脂管",IF(T364=3,"無孔管",""))))</f>
        <v/>
      </c>
      <c r="V364" s="29"/>
      <c r="W364" s="88"/>
      <c r="X364" s="89"/>
      <c r="Y364" s="90"/>
      <c r="Z364" s="41" t="str">
        <f>IF(S364="","",IF(AND(T365=3,I364=""),Z362+Y364,IF(AND(Z362="",I362=""),I364+Y364,IF(AND(T365=3,I364&gt;0,Z362&gt;0),I364+Z362+Y364,IF(Z362="",I362+I364+X364+Y364,IF(I364="",Z362+X364+Y364,Z362+I364+X364+Y364))))))</f>
        <v/>
      </c>
      <c r="AA364" s="45" t="str">
        <f>IF(AB364="",""," 1/")</f>
        <v/>
      </c>
      <c r="AB364" s="91"/>
      <c r="AC364" s="30" t="str">
        <f>IF(S364="","",IF(T364="","",IF(T364=1,0.013,0.012)))</f>
        <v/>
      </c>
      <c r="AD364" s="31" t="str">
        <f>IF(S364="","",IF(T364="","",(1/AC364*(W364/100/2)^(8/3)*(1/AB364*100)^(1/2)*1.65696)*100))</f>
        <v/>
      </c>
      <c r="AE364" s="31" t="str">
        <f>IF(S364="","",IF(T364="","",1/AC364*(W364/100/2)^(2/3)*(1/AB364)^(1/2)*0.70541))</f>
        <v/>
      </c>
      <c r="AF364" s="31" t="str">
        <f>IF(S364="","",IF(T364="","",ROUNDDOWN(AD364/($U$3/8.64),3)))</f>
        <v/>
      </c>
      <c r="AG364" s="32" t="str">
        <f>IF(S364="","",IF(T364="","",ROUNDDOWN(AF364*10000/$AJ$3,0)))</f>
        <v/>
      </c>
      <c r="AH364" s="33" t="str">
        <f t="shared" si="2418"/>
        <v/>
      </c>
      <c r="AI364" s="41" t="str">
        <f>IF(S364="","",Z364)</f>
        <v/>
      </c>
      <c r="AJ364" s="43" t="str">
        <f>IF(S364="","",AI364*$AJ$3/10000)</f>
        <v/>
      </c>
      <c r="AK364" s="33" t="str">
        <f>IF(S364="","",IF(T364="","",IF(AND(T364=1,AE364&gt;1),"NG",IF(AH364="＞","OK","NG"))))</f>
        <v/>
      </c>
    </row>
    <row r="365" spans="1:37" ht="15.75" customHeight="1" x14ac:dyDescent="0.15">
      <c r="A365" s="92"/>
      <c r="B365" s="93"/>
      <c r="C365" s="59"/>
      <c r="D365" s="61"/>
      <c r="E365" s="94"/>
      <c r="F365" s="95"/>
      <c r="G365" s="95"/>
      <c r="H365" s="96"/>
      <c r="I365" s="54"/>
      <c r="J365" s="46"/>
      <c r="K365" s="97"/>
      <c r="L365" s="57"/>
      <c r="M365" s="44"/>
      <c r="N365" s="44"/>
      <c r="O365" s="42"/>
      <c r="P365" s="50"/>
      <c r="Q365" s="42"/>
      <c r="R365" s="52"/>
      <c r="S365" s="98"/>
      <c r="T365" s="99">
        <v>2</v>
      </c>
      <c r="U365" s="34" t="str">
        <f>IF(S364="","",IF(T364=T365,"〃",IF(T365=1,"素焼土管",IF(T365=2,"合成樹脂管",IF(T365=3,"無孔管","")))))</f>
        <v/>
      </c>
      <c r="V365" s="35"/>
      <c r="W365" s="100"/>
      <c r="X365" s="101"/>
      <c r="Y365" s="95"/>
      <c r="Z365" s="42"/>
      <c r="AA365" s="46"/>
      <c r="AB365" s="97"/>
      <c r="AC365" s="36" t="str">
        <f>IF(S364="","",IF(T365=1,0.013,0.012))</f>
        <v/>
      </c>
      <c r="AD365" s="37" t="str">
        <f>IF(S364="","",(1/AC365*(W365/100/2)^(8/3)*(1/AB364*100)^(1/2)*1.65696)*100)</f>
        <v/>
      </c>
      <c r="AE365" s="37" t="str">
        <f>IF(S364="","",1/AC365*(W365/100/2)^(2/3)*(1/AB364)^(1/2)*0.70541)</f>
        <v/>
      </c>
      <c r="AF365" s="37" t="str">
        <f>IF(S364="","",ROUNDDOWN(AD365/($U$3/8.64),3))</f>
        <v/>
      </c>
      <c r="AG365" s="38" t="str">
        <f>IF(S364="","",ROUNDDOWN(AF365*10000/$AJ$3,0))</f>
        <v/>
      </c>
      <c r="AH365" s="39" t="str">
        <f t="shared" ref="AH365" si="2435">IF(S364="","",IF(AG365&gt;AI364,"＞",IF(AG365=AI364,"=","＜")))</f>
        <v/>
      </c>
      <c r="AI365" s="42"/>
      <c r="AJ365" s="44"/>
      <c r="AK365" s="39" t="str">
        <f>IF(S364="","",IF(AND(T365=1,AE365&gt;1),"NG",IF(AH365="＞","OK","NG")))</f>
        <v/>
      </c>
    </row>
    <row r="366" spans="1:37" ht="15.75" customHeight="1" x14ac:dyDescent="0.15">
      <c r="A366" s="80"/>
      <c r="B366" s="81">
        <v>2</v>
      </c>
      <c r="C366" s="58" t="str">
        <f>IF(A366="","",IF(B366=1,"素　焼土　管",IF(B366=2,"合　成樹脂管",IF(B366=3,"無孔管",""))))</f>
        <v/>
      </c>
      <c r="D366" s="60"/>
      <c r="E366" s="82"/>
      <c r="F366" s="83"/>
      <c r="G366" s="83"/>
      <c r="H366" s="84"/>
      <c r="I366" s="53" t="str">
        <f>IF(A366="","",F366-G366+H366)</f>
        <v/>
      </c>
      <c r="J366" s="55" t="str">
        <f>IF(A366="",""," 1/")</f>
        <v/>
      </c>
      <c r="K366" s="85"/>
      <c r="L366" s="56" t="str">
        <f>IF(A366="","",IF(B366=1,0.013,0.012))</f>
        <v/>
      </c>
      <c r="M366" s="47" t="str">
        <f>IF(A366="","",(1/L366*(E366/100/2)^(8/3)*(1/K366*100)^(1/2)*1.65696)*100)</f>
        <v/>
      </c>
      <c r="N366" s="47" t="str">
        <f>IF(A366="","",1/L366*(E366/100/2)^(2/3)*(1/K366)^(1/2)*0.70541)</f>
        <v/>
      </c>
      <c r="O366" s="48" t="str">
        <f>IF(A366="","",ROUNDDOWN(M366/($U$3/8.64)*10000/$AJ$3,0))</f>
        <v/>
      </c>
      <c r="P366" s="49" t="str">
        <f>IF(A366="","",IF(O366&gt;Q366,"＞","＜"))</f>
        <v/>
      </c>
      <c r="Q366" s="48" t="str">
        <f>IF(A366="","",I366)</f>
        <v/>
      </c>
      <c r="R366" s="51" t="str">
        <f>IF(A366="","",IF(P366="＞","OK","NG"))</f>
        <v/>
      </c>
      <c r="S366" s="86"/>
      <c r="T366" s="87"/>
      <c r="U366" s="28" t="str">
        <f>IF(S366="","",IF(T366=1,"素焼土管",IF(T366=2,"合成樹脂管",IF(T366=3,"無孔管",""))))</f>
        <v/>
      </c>
      <c r="V366" s="29"/>
      <c r="W366" s="88"/>
      <c r="X366" s="89"/>
      <c r="Y366" s="90"/>
      <c r="Z366" s="41" t="str">
        <f>IF(S366="","",IF(AND(T367=3,I366=""),Z364+Y366,IF(AND(Z364="",I364=""),I366+Y366,IF(AND(T367=3,I366&gt;0,Z364&gt;0),I366+Z364+Y366,IF(Z364="",I364+I366+X366+Y366,IF(I366="",Z364+X366+Y366,Z364+I366+X366+Y366))))))</f>
        <v/>
      </c>
      <c r="AA366" s="45" t="str">
        <f>IF(AB366="",""," 1/")</f>
        <v/>
      </c>
      <c r="AB366" s="91"/>
      <c r="AC366" s="30" t="str">
        <f>IF(S366="","",IF(T366="","",IF(T366=1,0.013,0.012)))</f>
        <v/>
      </c>
      <c r="AD366" s="31" t="str">
        <f>IF(S366="","",IF(T366="","",(1/AC366*(W366/100/2)^(8/3)*(1/AB366*100)^(1/2)*1.65696)*100))</f>
        <v/>
      </c>
      <c r="AE366" s="31" t="str">
        <f>IF(S366="","",IF(T366="","",1/AC366*(W366/100/2)^(2/3)*(1/AB366)^(1/2)*0.70541))</f>
        <v/>
      </c>
      <c r="AF366" s="31" t="str">
        <f>IF(S366="","",IF(T366="","",ROUNDDOWN(AD366/($U$3/8.64),3)))</f>
        <v/>
      </c>
      <c r="AG366" s="32" t="str">
        <f>IF(S366="","",IF(T366="","",ROUNDDOWN(AF366*10000/$AJ$3,0)))</f>
        <v/>
      </c>
      <c r="AH366" s="33" t="str">
        <f t="shared" si="2418"/>
        <v/>
      </c>
      <c r="AI366" s="41" t="str">
        <f>IF(S366="","",Z366)</f>
        <v/>
      </c>
      <c r="AJ366" s="43" t="str">
        <f>IF(S366="","",AI366*$AJ$3/10000)</f>
        <v/>
      </c>
      <c r="AK366" s="33" t="str">
        <f>IF(S366="","",IF(T366="","",IF(AND(T366=1,AE366&gt;1),"NG",IF(AH366="＞","OK","NG"))))</f>
        <v/>
      </c>
    </row>
    <row r="367" spans="1:37" ht="15.75" customHeight="1" x14ac:dyDescent="0.15">
      <c r="A367" s="92"/>
      <c r="B367" s="93"/>
      <c r="C367" s="59"/>
      <c r="D367" s="61"/>
      <c r="E367" s="94"/>
      <c r="F367" s="95"/>
      <c r="G367" s="95"/>
      <c r="H367" s="96"/>
      <c r="I367" s="54"/>
      <c r="J367" s="46"/>
      <c r="K367" s="97"/>
      <c r="L367" s="57"/>
      <c r="M367" s="44"/>
      <c r="N367" s="44"/>
      <c r="O367" s="42"/>
      <c r="P367" s="50"/>
      <c r="Q367" s="42"/>
      <c r="R367" s="52"/>
      <c r="S367" s="98"/>
      <c r="T367" s="99">
        <v>2</v>
      </c>
      <c r="U367" s="34" t="str">
        <f>IF(S366="","",IF(T366=T367,"〃",IF(T367=1,"素焼土管",IF(T367=2,"合成樹脂管",IF(T367=3,"無孔管","")))))</f>
        <v/>
      </c>
      <c r="V367" s="35"/>
      <c r="W367" s="100"/>
      <c r="X367" s="101"/>
      <c r="Y367" s="95"/>
      <c r="Z367" s="42"/>
      <c r="AA367" s="46"/>
      <c r="AB367" s="97"/>
      <c r="AC367" s="36" t="str">
        <f>IF(S366="","",IF(T367=1,0.013,0.012))</f>
        <v/>
      </c>
      <c r="AD367" s="37" t="str">
        <f>IF(S366="","",(1/AC367*(W367/100/2)^(8/3)*(1/AB366*100)^(1/2)*1.65696)*100)</f>
        <v/>
      </c>
      <c r="AE367" s="37" t="str">
        <f>IF(S366="","",1/AC367*(W367/100/2)^(2/3)*(1/AB366)^(1/2)*0.70541)</f>
        <v/>
      </c>
      <c r="AF367" s="37" t="str">
        <f>IF(S366="","",ROUNDDOWN(AD367/($U$3/8.64),3))</f>
        <v/>
      </c>
      <c r="AG367" s="38" t="str">
        <f>IF(S366="","",ROUNDDOWN(AF367*10000/$AJ$3,0))</f>
        <v/>
      </c>
      <c r="AH367" s="39" t="str">
        <f t="shared" ref="AH367" si="2436">IF(S366="","",IF(AG367&gt;AI366,"＞",IF(AG367=AI366,"=","＜")))</f>
        <v/>
      </c>
      <c r="AI367" s="42"/>
      <c r="AJ367" s="44"/>
      <c r="AK367" s="39" t="str">
        <f>IF(S366="","",IF(AND(T367=1,AE367&gt;1),"NG",IF(AH367="＞","OK","NG")))</f>
        <v/>
      </c>
    </row>
    <row r="368" spans="1:37" ht="15.75" customHeight="1" x14ac:dyDescent="0.15">
      <c r="A368" s="80"/>
      <c r="B368" s="81">
        <v>2</v>
      </c>
      <c r="C368" s="58" t="str">
        <f>IF(A368="","",IF(B368=1,"素　焼土　管",IF(B368=2,"合　成樹脂管",IF(B368=3,"無孔管",""))))</f>
        <v/>
      </c>
      <c r="D368" s="60"/>
      <c r="E368" s="82"/>
      <c r="F368" s="83"/>
      <c r="G368" s="83"/>
      <c r="H368" s="84"/>
      <c r="I368" s="53" t="str">
        <f>IF(A368="","",F368-G368+H368)</f>
        <v/>
      </c>
      <c r="J368" s="55" t="str">
        <f>IF(A368="",""," 1/")</f>
        <v/>
      </c>
      <c r="K368" s="85"/>
      <c r="L368" s="56" t="str">
        <f>IF(A368="","",IF(B368=1,0.013,0.012))</f>
        <v/>
      </c>
      <c r="M368" s="47" t="str">
        <f>IF(A368="","",(1/L368*(E368/100/2)^(8/3)*(1/K368*100)^(1/2)*1.65696)*100)</f>
        <v/>
      </c>
      <c r="N368" s="47" t="str">
        <f>IF(A368="","",1/L368*(E368/100/2)^(2/3)*(1/K368)^(1/2)*0.70541)</f>
        <v/>
      </c>
      <c r="O368" s="48" t="str">
        <f>IF(A368="","",ROUNDDOWN(M368/($U$3/8.64)*10000/$AJ$3,0))</f>
        <v/>
      </c>
      <c r="P368" s="49" t="str">
        <f>IF(A368="","",IF(O368&gt;Q368,"＞","＜"))</f>
        <v/>
      </c>
      <c r="Q368" s="48" t="str">
        <f>IF(A368="","",I368)</f>
        <v/>
      </c>
      <c r="R368" s="51" t="str">
        <f>IF(A368="","",IF(P368="＞","OK","NG"))</f>
        <v/>
      </c>
      <c r="S368" s="86"/>
      <c r="T368" s="87"/>
      <c r="U368" s="28" t="str">
        <f>IF(S368="","",IF(T368=1,"素焼土管",IF(T368=2,"合成樹脂管",IF(T368=3,"無孔管",""))))</f>
        <v/>
      </c>
      <c r="V368" s="29"/>
      <c r="W368" s="88"/>
      <c r="X368" s="89"/>
      <c r="Y368" s="90"/>
      <c r="Z368" s="41" t="str">
        <f>IF(S368="","",IF(AND(T369=3,I368=""),Z366+Y368,IF(AND(Z366="",I366=""),I368+Y368,IF(AND(T369=3,I368&gt;0,Z366&gt;0),I368+Z366+Y368,IF(Z366="",I366+I368+X368+Y368,IF(I368="",Z366+X368+Y368,Z366+I368+X368+Y368))))))</f>
        <v/>
      </c>
      <c r="AA368" s="45" t="str">
        <f>IF(AB368="",""," 1/")</f>
        <v/>
      </c>
      <c r="AB368" s="91"/>
      <c r="AC368" s="30" t="str">
        <f>IF(S368="","",IF(T368="","",IF(T368=1,0.013,0.012)))</f>
        <v/>
      </c>
      <c r="AD368" s="31" t="str">
        <f>IF(S368="","",IF(T368="","",(1/AC368*(W368/100/2)^(8/3)*(1/AB368*100)^(1/2)*1.65696)*100))</f>
        <v/>
      </c>
      <c r="AE368" s="31" t="str">
        <f>IF(S368="","",IF(T368="","",1/AC368*(W368/100/2)^(2/3)*(1/AB368)^(1/2)*0.70541))</f>
        <v/>
      </c>
      <c r="AF368" s="31" t="str">
        <f>IF(S368="","",IF(T368="","",ROUNDDOWN(AD368/($U$3/8.64),3)))</f>
        <v/>
      </c>
      <c r="AG368" s="32" t="str">
        <f>IF(S368="","",IF(T368="","",ROUNDDOWN(AF368*10000/$AJ$3,0)))</f>
        <v/>
      </c>
      <c r="AH368" s="33" t="str">
        <f t="shared" si="2418"/>
        <v/>
      </c>
      <c r="AI368" s="41" t="str">
        <f>IF(S368="","",Z368)</f>
        <v/>
      </c>
      <c r="AJ368" s="43" t="str">
        <f>IF(S368="","",AI368*$AJ$3/10000)</f>
        <v/>
      </c>
      <c r="AK368" s="33" t="str">
        <f>IF(S368="","",IF(T368="","",IF(AND(T368=1,AE368&gt;1),"NG",IF(AH368="＞","OK","NG"))))</f>
        <v/>
      </c>
    </row>
    <row r="369" spans="1:37" ht="15.75" customHeight="1" x14ac:dyDescent="0.15">
      <c r="A369" s="92"/>
      <c r="B369" s="93"/>
      <c r="C369" s="59"/>
      <c r="D369" s="61"/>
      <c r="E369" s="94"/>
      <c r="F369" s="95"/>
      <c r="G369" s="95"/>
      <c r="H369" s="96"/>
      <c r="I369" s="54"/>
      <c r="J369" s="46"/>
      <c r="K369" s="97"/>
      <c r="L369" s="57"/>
      <c r="M369" s="44"/>
      <c r="N369" s="44"/>
      <c r="O369" s="42"/>
      <c r="P369" s="50"/>
      <c r="Q369" s="42"/>
      <c r="R369" s="52"/>
      <c r="S369" s="98"/>
      <c r="T369" s="99">
        <v>2</v>
      </c>
      <c r="U369" s="34" t="str">
        <f>IF(S368="","",IF(T368=T369,"〃",IF(T369=1,"素焼土管",IF(T369=2,"合成樹脂管",IF(T369=3,"無孔管","")))))</f>
        <v/>
      </c>
      <c r="V369" s="35"/>
      <c r="W369" s="100"/>
      <c r="X369" s="101"/>
      <c r="Y369" s="95"/>
      <c r="Z369" s="42"/>
      <c r="AA369" s="46"/>
      <c r="AB369" s="97"/>
      <c r="AC369" s="36" t="str">
        <f>IF(S368="","",IF(T369=1,0.013,0.012))</f>
        <v/>
      </c>
      <c r="AD369" s="37" t="str">
        <f>IF(S368="","",(1/AC369*(W369/100/2)^(8/3)*(1/AB368*100)^(1/2)*1.65696)*100)</f>
        <v/>
      </c>
      <c r="AE369" s="37" t="str">
        <f>IF(S368="","",1/AC369*(W369/100/2)^(2/3)*(1/AB368)^(1/2)*0.70541)</f>
        <v/>
      </c>
      <c r="AF369" s="37" t="str">
        <f>IF(S368="","",ROUNDDOWN(AD369/($U$3/8.64),3))</f>
        <v/>
      </c>
      <c r="AG369" s="38" t="str">
        <f>IF(S368="","",ROUNDDOWN(AF369*10000/$AJ$3,0))</f>
        <v/>
      </c>
      <c r="AH369" s="39" t="str">
        <f t="shared" ref="AH369" si="2437">IF(S368="","",IF(AG369&gt;AI368,"＞",IF(AG369=AI368,"=","＜")))</f>
        <v/>
      </c>
      <c r="AI369" s="42"/>
      <c r="AJ369" s="44"/>
      <c r="AK369" s="39" t="str">
        <f>IF(S368="","",IF(AND(T369=1,AE369&gt;1),"NG",IF(AH369="＞","OK","NG")))</f>
        <v/>
      </c>
    </row>
    <row r="370" spans="1:37" ht="15.75" customHeight="1" x14ac:dyDescent="0.15">
      <c r="A370" s="80"/>
      <c r="B370" s="81">
        <v>2</v>
      </c>
      <c r="C370" s="58" t="str">
        <f>IF(A370="","",IF(B370=1,"素　焼土　管",IF(B370=2,"合　成樹脂管",IF(B370=3,"無孔管",""))))</f>
        <v/>
      </c>
      <c r="D370" s="60"/>
      <c r="E370" s="82"/>
      <c r="F370" s="83"/>
      <c r="G370" s="83"/>
      <c r="H370" s="84"/>
      <c r="I370" s="53" t="str">
        <f>IF(A370="","",F370-G370+H370)</f>
        <v/>
      </c>
      <c r="J370" s="55" t="str">
        <f>IF(A370="",""," 1/")</f>
        <v/>
      </c>
      <c r="K370" s="85"/>
      <c r="L370" s="56" t="str">
        <f>IF(A370="","",IF(B370=1,0.013,0.012))</f>
        <v/>
      </c>
      <c r="M370" s="47" t="str">
        <f>IF(A370="","",(1/L370*(E370/100/2)^(8/3)*(1/K370*100)^(1/2)*1.65696)*100)</f>
        <v/>
      </c>
      <c r="N370" s="47" t="str">
        <f>IF(A370="","",1/L370*(E370/100/2)^(2/3)*(1/K370)^(1/2)*0.70541)</f>
        <v/>
      </c>
      <c r="O370" s="48" t="str">
        <f>IF(A370="","",ROUNDDOWN(M370/($U$3/8.64)*10000/$AJ$3,0))</f>
        <v/>
      </c>
      <c r="P370" s="49" t="str">
        <f>IF(A370="","",IF(O370&gt;Q370,"＞","＜"))</f>
        <v/>
      </c>
      <c r="Q370" s="48" t="str">
        <f>IF(A370="","",I370)</f>
        <v/>
      </c>
      <c r="R370" s="51" t="str">
        <f>IF(A370="","",IF(P370="＞","OK","NG"))</f>
        <v/>
      </c>
      <c r="S370" s="86"/>
      <c r="T370" s="87"/>
      <c r="U370" s="28" t="str">
        <f>IF(S370="","",IF(T370=1,"素焼土管",IF(T370=2,"合成樹脂管",IF(T370=3,"無孔管",""))))</f>
        <v/>
      </c>
      <c r="V370" s="29"/>
      <c r="W370" s="88"/>
      <c r="X370" s="89"/>
      <c r="Y370" s="90"/>
      <c r="Z370" s="41" t="str">
        <f>IF(S370="","",IF(AND(T371=3,I370=""),Z368+Y370,IF(AND(Z368="",I368=""),I370+Y370,IF(AND(T371=3,I370&gt;0,Z368&gt;0),I370+Z368+Y370,IF(Z368="",I368+I370+X370+Y370,IF(I370="",Z368+X370+Y370,Z368+I370+X370+Y370))))))</f>
        <v/>
      </c>
      <c r="AA370" s="45" t="str">
        <f>IF(AB370="",""," 1/")</f>
        <v/>
      </c>
      <c r="AB370" s="91"/>
      <c r="AC370" s="30" t="str">
        <f>IF(S370="","",IF(T370="","",IF(T370=1,0.013,0.012)))</f>
        <v/>
      </c>
      <c r="AD370" s="31" t="str">
        <f>IF(S370="","",IF(T370="","",(1/AC370*(W370/100/2)^(8/3)*(1/AB370*100)^(1/2)*1.65696)*100))</f>
        <v/>
      </c>
      <c r="AE370" s="31" t="str">
        <f>IF(S370="","",IF(T370="","",1/AC370*(W370/100/2)^(2/3)*(1/AB370)^(1/2)*0.70541))</f>
        <v/>
      </c>
      <c r="AF370" s="31" t="str">
        <f>IF(S370="","",IF(T370="","",ROUNDDOWN(AD370/($U$3/8.64),3)))</f>
        <v/>
      </c>
      <c r="AG370" s="32" t="str">
        <f>IF(S370="","",IF(T370="","",ROUNDDOWN(AF370*10000/$AJ$3,0)))</f>
        <v/>
      </c>
      <c r="AH370" s="33" t="str">
        <f t="shared" si="2418"/>
        <v/>
      </c>
      <c r="AI370" s="41" t="str">
        <f>IF(S370="","",Z370)</f>
        <v/>
      </c>
      <c r="AJ370" s="43" t="str">
        <f>IF(S370="","",AI370*$AJ$3/10000)</f>
        <v/>
      </c>
      <c r="AK370" s="33" t="str">
        <f>IF(S370="","",IF(T370="","",IF(AND(T370=1,AE370&gt;1),"NG",IF(AH370="＞","OK","NG"))))</f>
        <v/>
      </c>
    </row>
    <row r="371" spans="1:37" ht="15.75" customHeight="1" x14ac:dyDescent="0.15">
      <c r="A371" s="92"/>
      <c r="B371" s="93"/>
      <c r="C371" s="59"/>
      <c r="D371" s="61"/>
      <c r="E371" s="94"/>
      <c r="F371" s="95"/>
      <c r="G371" s="95"/>
      <c r="H371" s="96"/>
      <c r="I371" s="54"/>
      <c r="J371" s="46"/>
      <c r="K371" s="97"/>
      <c r="L371" s="57"/>
      <c r="M371" s="44"/>
      <c r="N371" s="44"/>
      <c r="O371" s="42"/>
      <c r="P371" s="50"/>
      <c r="Q371" s="42"/>
      <c r="R371" s="52"/>
      <c r="S371" s="98"/>
      <c r="T371" s="99">
        <v>2</v>
      </c>
      <c r="U371" s="34" t="str">
        <f>IF(S370="","",IF(T370=T371,"〃",IF(T371=1,"素焼土管",IF(T371=2,"合成樹脂管",IF(T371=3,"無孔管","")))))</f>
        <v/>
      </c>
      <c r="V371" s="35"/>
      <c r="W371" s="100"/>
      <c r="X371" s="101"/>
      <c r="Y371" s="95"/>
      <c r="Z371" s="42"/>
      <c r="AA371" s="46"/>
      <c r="AB371" s="97"/>
      <c r="AC371" s="36" t="str">
        <f>IF(S370="","",IF(T371=1,0.013,0.012))</f>
        <v/>
      </c>
      <c r="AD371" s="37" t="str">
        <f>IF(S370="","",(1/AC371*(W371/100/2)^(8/3)*(1/AB370*100)^(1/2)*1.65696)*100)</f>
        <v/>
      </c>
      <c r="AE371" s="37" t="str">
        <f>IF(S370="","",1/AC371*(W371/100/2)^(2/3)*(1/AB370)^(1/2)*0.70541)</f>
        <v/>
      </c>
      <c r="AF371" s="37" t="str">
        <f>IF(S370="","",ROUNDDOWN(AD371/($U$3/8.64),3))</f>
        <v/>
      </c>
      <c r="AG371" s="38" t="str">
        <f>IF(S370="","",ROUNDDOWN(AF371*10000/$AJ$3,0))</f>
        <v/>
      </c>
      <c r="AH371" s="39" t="str">
        <f t="shared" ref="AH371" si="2438">IF(S370="","",IF(AG371&gt;AI370,"＞",IF(AG371=AI370,"=","＜")))</f>
        <v/>
      </c>
      <c r="AI371" s="42"/>
      <c r="AJ371" s="44"/>
      <c r="AK371" s="39" t="str">
        <f>IF(S370="","",IF(AND(T371=1,AE371&gt;1),"NG",IF(AH371="＞","OK","NG")))</f>
        <v/>
      </c>
    </row>
    <row r="372" spans="1:37" ht="15.75" customHeight="1" x14ac:dyDescent="0.15">
      <c r="A372" s="80"/>
      <c r="B372" s="81">
        <v>2</v>
      </c>
      <c r="C372" s="58" t="str">
        <f>IF(A372="","",IF(B372=1,"素　焼土　管",IF(B372=2,"合　成樹脂管",IF(B372=3,"無孔管",""))))</f>
        <v/>
      </c>
      <c r="D372" s="60"/>
      <c r="E372" s="82"/>
      <c r="F372" s="83"/>
      <c r="G372" s="83"/>
      <c r="H372" s="84"/>
      <c r="I372" s="53" t="str">
        <f>IF(A372="","",F372-G372+H372)</f>
        <v/>
      </c>
      <c r="J372" s="55" t="str">
        <f>IF(A372="",""," 1/")</f>
        <v/>
      </c>
      <c r="K372" s="85"/>
      <c r="L372" s="56" t="str">
        <f>IF(A372="","",IF(B372=1,0.013,0.012))</f>
        <v/>
      </c>
      <c r="M372" s="47" t="str">
        <f>IF(A372="","",(1/L372*(E372/100/2)^(8/3)*(1/K372*100)^(1/2)*1.65696)*100)</f>
        <v/>
      </c>
      <c r="N372" s="47" t="str">
        <f>IF(A372="","",1/L372*(E372/100/2)^(2/3)*(1/K372)^(1/2)*0.70541)</f>
        <v/>
      </c>
      <c r="O372" s="48" t="str">
        <f>IF(A372="","",ROUNDDOWN(M372/($U$3/8.64)*10000/$AJ$3,0))</f>
        <v/>
      </c>
      <c r="P372" s="49" t="str">
        <f>IF(A372="","",IF(O372&gt;Q372,"＞","＜"))</f>
        <v/>
      </c>
      <c r="Q372" s="48" t="str">
        <f>IF(A372="","",I372)</f>
        <v/>
      </c>
      <c r="R372" s="51" t="str">
        <f>IF(A372="","",IF(P372="＞","OK","NG"))</f>
        <v/>
      </c>
      <c r="S372" s="86"/>
      <c r="T372" s="87"/>
      <c r="U372" s="28" t="str">
        <f>IF(S372="","",IF(T372=1,"素焼土管",IF(T372=2,"合成樹脂管",IF(T372=3,"無孔管",""))))</f>
        <v/>
      </c>
      <c r="V372" s="29"/>
      <c r="W372" s="88"/>
      <c r="X372" s="89"/>
      <c r="Y372" s="90"/>
      <c r="Z372" s="41" t="str">
        <f>IF(S372="","",IF(AND(T373=3,I372=""),Z370+Y372,IF(AND(Z370="",I370=""),I372+Y372,IF(AND(T373=3,I372&gt;0,Z370&gt;0),I372+Z370+Y372,IF(Z370="",I370+I372+X372+Y372,IF(I372="",Z370+X372+Y372,Z370+I372+X372+Y372))))))</f>
        <v/>
      </c>
      <c r="AA372" s="45" t="str">
        <f>IF(AB372="",""," 1/")</f>
        <v/>
      </c>
      <c r="AB372" s="91"/>
      <c r="AC372" s="30" t="str">
        <f>IF(S372="","",IF(T372="","",IF(T372=1,0.013,0.012)))</f>
        <v/>
      </c>
      <c r="AD372" s="31" t="str">
        <f>IF(S372="","",IF(T372="","",(1/AC372*(W372/100/2)^(8/3)*(1/AB372*100)^(1/2)*1.65696)*100))</f>
        <v/>
      </c>
      <c r="AE372" s="31" t="str">
        <f>IF(S372="","",IF(T372="","",1/AC372*(W372/100/2)^(2/3)*(1/AB372)^(1/2)*0.70541))</f>
        <v/>
      </c>
      <c r="AF372" s="31" t="str">
        <f>IF(S372="","",IF(T372="","",ROUNDDOWN(AD372/($U$3/8.64),3)))</f>
        <v/>
      </c>
      <c r="AG372" s="32" t="str">
        <f>IF(S372="","",IF(T372="","",ROUNDDOWN(AF372*10000/$AJ$3,0)))</f>
        <v/>
      </c>
      <c r="AH372" s="33" t="str">
        <f t="shared" si="2418"/>
        <v/>
      </c>
      <c r="AI372" s="41" t="str">
        <f>IF(S372="","",Z372)</f>
        <v/>
      </c>
      <c r="AJ372" s="43" t="str">
        <f>IF(S372="","",AI372*$AJ$3/10000)</f>
        <v/>
      </c>
      <c r="AK372" s="33" t="str">
        <f>IF(S372="","",IF(T372="","",IF(AND(T372=1,AE372&gt;1),"NG",IF(AH372="＞","OK","NG"))))</f>
        <v/>
      </c>
    </row>
    <row r="373" spans="1:37" ht="15.75" customHeight="1" x14ac:dyDescent="0.15">
      <c r="A373" s="92"/>
      <c r="B373" s="93"/>
      <c r="C373" s="59"/>
      <c r="D373" s="61"/>
      <c r="E373" s="94"/>
      <c r="F373" s="95"/>
      <c r="G373" s="95"/>
      <c r="H373" s="96"/>
      <c r="I373" s="54"/>
      <c r="J373" s="46"/>
      <c r="K373" s="97"/>
      <c r="L373" s="57"/>
      <c r="M373" s="44"/>
      <c r="N373" s="44"/>
      <c r="O373" s="42"/>
      <c r="P373" s="50"/>
      <c r="Q373" s="42"/>
      <c r="R373" s="52"/>
      <c r="S373" s="98"/>
      <c r="T373" s="99">
        <v>2</v>
      </c>
      <c r="U373" s="34" t="str">
        <f>IF(S372="","",IF(T372=T373,"〃",IF(T373=1,"素焼土管",IF(T373=2,"合成樹脂管",IF(T373=3,"無孔管","")))))</f>
        <v/>
      </c>
      <c r="V373" s="35"/>
      <c r="W373" s="100"/>
      <c r="X373" s="101"/>
      <c r="Y373" s="95"/>
      <c r="Z373" s="42"/>
      <c r="AA373" s="46"/>
      <c r="AB373" s="97"/>
      <c r="AC373" s="36" t="str">
        <f>IF(S372="","",IF(T373=1,0.013,0.012))</f>
        <v/>
      </c>
      <c r="AD373" s="37" t="str">
        <f>IF(S372="","",(1/AC373*(W373/100/2)^(8/3)*(1/AB372*100)^(1/2)*1.65696)*100)</f>
        <v/>
      </c>
      <c r="AE373" s="37" t="str">
        <f>IF(S372="","",1/AC373*(W373/100/2)^(2/3)*(1/AB372)^(1/2)*0.70541)</f>
        <v/>
      </c>
      <c r="AF373" s="37" t="str">
        <f>IF(S372="","",ROUNDDOWN(AD373/($U$3/8.64),3))</f>
        <v/>
      </c>
      <c r="AG373" s="38" t="str">
        <f>IF(S372="","",ROUNDDOWN(AF373*10000/$AJ$3,0))</f>
        <v/>
      </c>
      <c r="AH373" s="39" t="str">
        <f t="shared" ref="AH373" si="2439">IF(S372="","",IF(AG373&gt;AI372,"＞",IF(AG373=AI372,"=","＜")))</f>
        <v/>
      </c>
      <c r="AI373" s="42"/>
      <c r="AJ373" s="44"/>
      <c r="AK373" s="39" t="str">
        <f>IF(S372="","",IF(AND(T373=1,AE373&gt;1),"NG",IF(AH373="＞","OK","NG")))</f>
        <v/>
      </c>
    </row>
    <row r="374" spans="1:37" ht="15.75" customHeight="1" x14ac:dyDescent="0.15">
      <c r="A374" s="80"/>
      <c r="B374" s="81">
        <v>2</v>
      </c>
      <c r="C374" s="58" t="str">
        <f>IF(A374="","",IF(B374=1,"素　焼土　管",IF(B374=2,"合　成樹脂管",IF(B374=3,"無孔管",""))))</f>
        <v/>
      </c>
      <c r="D374" s="60"/>
      <c r="E374" s="82"/>
      <c r="F374" s="83"/>
      <c r="G374" s="83"/>
      <c r="H374" s="84"/>
      <c r="I374" s="53" t="str">
        <f>IF(A374="","",F374-G374+H374)</f>
        <v/>
      </c>
      <c r="J374" s="55" t="str">
        <f>IF(A374="",""," 1/")</f>
        <v/>
      </c>
      <c r="K374" s="85"/>
      <c r="L374" s="56" t="str">
        <f>IF(A374="","",IF(B374=1,0.013,0.012))</f>
        <v/>
      </c>
      <c r="M374" s="47" t="str">
        <f>IF(A374="","",(1/L374*(E374/100/2)^(8/3)*(1/K374*100)^(1/2)*1.65696)*100)</f>
        <v/>
      </c>
      <c r="N374" s="47" t="str">
        <f>IF(A374="","",1/L374*(E374/100/2)^(2/3)*(1/K374)^(1/2)*0.70541)</f>
        <v/>
      </c>
      <c r="O374" s="48" t="str">
        <f>IF(A374="","",ROUNDDOWN(M374/($U$3/8.64)*10000/$AJ$3,0))</f>
        <v/>
      </c>
      <c r="P374" s="49" t="str">
        <f>IF(A374="","",IF(O374&gt;Q374,"＞","＜"))</f>
        <v/>
      </c>
      <c r="Q374" s="48" t="str">
        <f>IF(A374="","",I374)</f>
        <v/>
      </c>
      <c r="R374" s="51" t="str">
        <f>IF(A374="","",IF(P374="＞","OK","NG"))</f>
        <v/>
      </c>
      <c r="S374" s="86"/>
      <c r="T374" s="87"/>
      <c r="U374" s="28" t="str">
        <f>IF(S374="","",IF(T374=1,"素焼土管",IF(T374=2,"合成樹脂管",IF(T374=3,"無孔管",""))))</f>
        <v/>
      </c>
      <c r="V374" s="29"/>
      <c r="W374" s="88"/>
      <c r="X374" s="89"/>
      <c r="Y374" s="90"/>
      <c r="Z374" s="41" t="str">
        <f>IF(S374="","",IF(AND(T375=3,I374=""),Z372+Y374,IF(AND(Z372="",I372=""),I374+Y374,IF(AND(T375=3,I374&gt;0,Z372&gt;0),I374+Z372+Y374,IF(Z372="",I372+I374+X374+Y374,IF(I374="",Z372+X374+Y374,Z372+I374+X374+Y374))))))</f>
        <v/>
      </c>
      <c r="AA374" s="45" t="str">
        <f>IF(AB374="",""," 1/")</f>
        <v/>
      </c>
      <c r="AB374" s="91"/>
      <c r="AC374" s="30" t="str">
        <f>IF(S374="","",IF(T374="","",IF(T374=1,0.013,0.012)))</f>
        <v/>
      </c>
      <c r="AD374" s="31" t="str">
        <f>IF(S374="","",IF(T374="","",(1/AC374*(W374/100/2)^(8/3)*(1/AB374*100)^(1/2)*1.65696)*100))</f>
        <v/>
      </c>
      <c r="AE374" s="31" t="str">
        <f>IF(S374="","",IF(T374="","",1/AC374*(W374/100/2)^(2/3)*(1/AB374)^(1/2)*0.70541))</f>
        <v/>
      </c>
      <c r="AF374" s="31" t="str">
        <f>IF(S374="","",IF(T374="","",ROUNDDOWN(AD374/($U$3/8.64),3)))</f>
        <v/>
      </c>
      <c r="AG374" s="32" t="str">
        <f>IF(S374="","",IF(T374="","",ROUNDDOWN(AF374*10000/$AJ$3,0)))</f>
        <v/>
      </c>
      <c r="AH374" s="33" t="str">
        <f t="shared" si="2418"/>
        <v/>
      </c>
      <c r="AI374" s="41" t="str">
        <f>IF(S374="","",Z374)</f>
        <v/>
      </c>
      <c r="AJ374" s="43" t="str">
        <f>IF(S374="","",AI374*$AJ$3/10000)</f>
        <v/>
      </c>
      <c r="AK374" s="33" t="str">
        <f>IF(S374="","",IF(T374="","",IF(AND(T374=1,AE374&gt;1),"NG",IF(AH374="＞","OK","NG"))))</f>
        <v/>
      </c>
    </row>
    <row r="375" spans="1:37" ht="15.75" customHeight="1" x14ac:dyDescent="0.15">
      <c r="A375" s="92"/>
      <c r="B375" s="93"/>
      <c r="C375" s="59"/>
      <c r="D375" s="61"/>
      <c r="E375" s="94"/>
      <c r="F375" s="95"/>
      <c r="G375" s="95"/>
      <c r="H375" s="96"/>
      <c r="I375" s="54"/>
      <c r="J375" s="46"/>
      <c r="K375" s="97"/>
      <c r="L375" s="57"/>
      <c r="M375" s="44"/>
      <c r="N375" s="44"/>
      <c r="O375" s="42"/>
      <c r="P375" s="50"/>
      <c r="Q375" s="42"/>
      <c r="R375" s="52"/>
      <c r="S375" s="98"/>
      <c r="T375" s="99">
        <v>2</v>
      </c>
      <c r="U375" s="34" t="str">
        <f>IF(S374="","",IF(T374=T375,"〃",IF(T375=1,"素焼土管",IF(T375=2,"合成樹脂管",IF(T375=3,"無孔管","")))))</f>
        <v/>
      </c>
      <c r="V375" s="35"/>
      <c r="W375" s="100"/>
      <c r="X375" s="101"/>
      <c r="Y375" s="95"/>
      <c r="Z375" s="42"/>
      <c r="AA375" s="46"/>
      <c r="AB375" s="97"/>
      <c r="AC375" s="36" t="str">
        <f>IF(S374="","",IF(T375=1,0.013,0.012))</f>
        <v/>
      </c>
      <c r="AD375" s="37" t="str">
        <f>IF(S374="","",(1/AC375*(W375/100/2)^(8/3)*(1/AB374*100)^(1/2)*1.65696)*100)</f>
        <v/>
      </c>
      <c r="AE375" s="37" t="str">
        <f>IF(S374="","",1/AC375*(W375/100/2)^(2/3)*(1/AB374)^(1/2)*0.70541)</f>
        <v/>
      </c>
      <c r="AF375" s="37" t="str">
        <f>IF(S374="","",ROUNDDOWN(AD375/($U$3/8.64),3))</f>
        <v/>
      </c>
      <c r="AG375" s="38" t="str">
        <f>IF(S374="","",ROUNDDOWN(AF375*10000/$AJ$3,0))</f>
        <v/>
      </c>
      <c r="AH375" s="39" t="str">
        <f t="shared" ref="AH375" si="2440">IF(S374="","",IF(AG375&gt;AI374,"＞",IF(AG375=AI374,"=","＜")))</f>
        <v/>
      </c>
      <c r="AI375" s="42"/>
      <c r="AJ375" s="44"/>
      <c r="AK375" s="39" t="str">
        <f>IF(S374="","",IF(AND(T375=1,AE375&gt;1),"NG",IF(AH375="＞","OK","NG")))</f>
        <v/>
      </c>
    </row>
    <row r="376" spans="1:37" ht="15.75" customHeight="1" x14ac:dyDescent="0.15">
      <c r="A376" s="80"/>
      <c r="B376" s="81">
        <v>2</v>
      </c>
      <c r="C376" s="58" t="str">
        <f>IF(A376="","",IF(B376=1,"素　焼土　管",IF(B376=2,"合　成樹脂管",IF(B376=3,"無孔管",""))))</f>
        <v/>
      </c>
      <c r="D376" s="60"/>
      <c r="E376" s="82"/>
      <c r="F376" s="83"/>
      <c r="G376" s="83"/>
      <c r="H376" s="84"/>
      <c r="I376" s="53" t="str">
        <f>IF(A376="","",F376-G376+H376)</f>
        <v/>
      </c>
      <c r="J376" s="55" t="str">
        <f>IF(A376="",""," 1/")</f>
        <v/>
      </c>
      <c r="K376" s="85"/>
      <c r="L376" s="56" t="str">
        <f>IF(A376="","",IF(B376=1,0.013,0.012))</f>
        <v/>
      </c>
      <c r="M376" s="47" t="str">
        <f>IF(A376="","",(1/L376*(E376/100/2)^(8/3)*(1/K376*100)^(1/2)*1.65696)*100)</f>
        <v/>
      </c>
      <c r="N376" s="47" t="str">
        <f>IF(A376="","",1/L376*(E376/100/2)^(2/3)*(1/K376)^(1/2)*0.70541)</f>
        <v/>
      </c>
      <c r="O376" s="48" t="str">
        <f>IF(A376="","",ROUNDDOWN(M376/($U$3/8.64)*10000/$AJ$3,0))</f>
        <v/>
      </c>
      <c r="P376" s="49" t="str">
        <f>IF(A376="","",IF(O376&gt;Q376,"＞","＜"))</f>
        <v/>
      </c>
      <c r="Q376" s="48" t="str">
        <f>IF(A376="","",I376)</f>
        <v/>
      </c>
      <c r="R376" s="51" t="str">
        <f>IF(A376="","",IF(P376="＞","OK","NG"))</f>
        <v/>
      </c>
      <c r="S376" s="86"/>
      <c r="T376" s="87"/>
      <c r="U376" s="28" t="str">
        <f>IF(S376="","",IF(T376=1,"素焼土管",IF(T376=2,"合成樹脂管",IF(T376=3,"無孔管",""))))</f>
        <v/>
      </c>
      <c r="V376" s="29"/>
      <c r="W376" s="88"/>
      <c r="X376" s="89"/>
      <c r="Y376" s="90"/>
      <c r="Z376" s="41" t="str">
        <f>IF(S376="","",IF(AND(T377=3,I376=""),Z374+Y376,IF(AND(Z374="",I374=""),I376+Y376,IF(AND(T377=3,I376&gt;0,Z374&gt;0),I376+Z374+Y376,IF(Z374="",I374+I376+X376+Y376,IF(I376="",Z374+X376+Y376,Z374+I376+X376+Y376))))))</f>
        <v/>
      </c>
      <c r="AA376" s="45" t="str">
        <f>IF(AB376="",""," 1/")</f>
        <v/>
      </c>
      <c r="AB376" s="91"/>
      <c r="AC376" s="30" t="str">
        <f>IF(S376="","",IF(T376="","",IF(T376=1,0.013,0.012)))</f>
        <v/>
      </c>
      <c r="AD376" s="31" t="str">
        <f>IF(S376="","",IF(T376="","",(1/AC376*(W376/100/2)^(8/3)*(1/AB376*100)^(1/2)*1.65696)*100))</f>
        <v/>
      </c>
      <c r="AE376" s="31" t="str">
        <f>IF(S376="","",IF(T376="","",1/AC376*(W376/100/2)^(2/3)*(1/AB376)^(1/2)*0.70541))</f>
        <v/>
      </c>
      <c r="AF376" s="31" t="str">
        <f>IF(S376="","",IF(T376="","",ROUNDDOWN(AD376/($U$3/8.64),3)))</f>
        <v/>
      </c>
      <c r="AG376" s="32" t="str">
        <f>IF(S376="","",IF(T376="","",ROUNDDOWN(AF376*10000/$AJ$3,0)))</f>
        <v/>
      </c>
      <c r="AH376" s="33" t="str">
        <f t="shared" si="2418"/>
        <v/>
      </c>
      <c r="AI376" s="41" t="str">
        <f>IF(S376="","",Z376)</f>
        <v/>
      </c>
      <c r="AJ376" s="43" t="str">
        <f>IF(S376="","",AI376*$AJ$3/10000)</f>
        <v/>
      </c>
      <c r="AK376" s="33" t="str">
        <f>IF(S376="","",IF(T376="","",IF(AND(T376=1,AE376&gt;1),"NG",IF(AH376="＞","OK","NG"))))</f>
        <v/>
      </c>
    </row>
    <row r="377" spans="1:37" ht="15.75" customHeight="1" x14ac:dyDescent="0.15">
      <c r="A377" s="92"/>
      <c r="B377" s="93"/>
      <c r="C377" s="59"/>
      <c r="D377" s="61"/>
      <c r="E377" s="94"/>
      <c r="F377" s="95"/>
      <c r="G377" s="95"/>
      <c r="H377" s="96"/>
      <c r="I377" s="54"/>
      <c r="J377" s="46"/>
      <c r="K377" s="97"/>
      <c r="L377" s="57"/>
      <c r="M377" s="44"/>
      <c r="N377" s="44"/>
      <c r="O377" s="42"/>
      <c r="P377" s="50"/>
      <c r="Q377" s="42"/>
      <c r="R377" s="52"/>
      <c r="S377" s="98"/>
      <c r="T377" s="99">
        <v>2</v>
      </c>
      <c r="U377" s="34" t="str">
        <f>IF(S376="","",IF(T376=T377,"〃",IF(T377=1,"素焼土管",IF(T377=2,"合成樹脂管",IF(T377=3,"無孔管","")))))</f>
        <v/>
      </c>
      <c r="V377" s="35"/>
      <c r="W377" s="100"/>
      <c r="X377" s="101"/>
      <c r="Y377" s="95"/>
      <c r="Z377" s="42"/>
      <c r="AA377" s="46"/>
      <c r="AB377" s="97"/>
      <c r="AC377" s="36" t="str">
        <f>IF(S376="","",IF(T377=1,0.013,0.012))</f>
        <v/>
      </c>
      <c r="AD377" s="37" t="str">
        <f>IF(S376="","",(1/AC377*(W377/100/2)^(8/3)*(1/AB376*100)^(1/2)*1.65696)*100)</f>
        <v/>
      </c>
      <c r="AE377" s="37" t="str">
        <f>IF(S376="","",1/AC377*(W377/100/2)^(2/3)*(1/AB376)^(1/2)*0.70541)</f>
        <v/>
      </c>
      <c r="AF377" s="37" t="str">
        <f>IF(S376="","",ROUNDDOWN(AD377/($U$3/8.64),3))</f>
        <v/>
      </c>
      <c r="AG377" s="38" t="str">
        <f>IF(S376="","",ROUNDDOWN(AF377*10000/$AJ$3,0))</f>
        <v/>
      </c>
      <c r="AH377" s="39" t="str">
        <f t="shared" ref="AH377" si="2441">IF(S376="","",IF(AG377&gt;AI376,"＞",IF(AG377=AI376,"=","＜")))</f>
        <v/>
      </c>
      <c r="AI377" s="42"/>
      <c r="AJ377" s="44"/>
      <c r="AK377" s="39" t="str">
        <f>IF(S376="","",IF(AND(T377=1,AE377&gt;1),"NG",IF(AH377="＞","OK","NG")))</f>
        <v/>
      </c>
    </row>
    <row r="378" spans="1:37" ht="15.75" customHeight="1" x14ac:dyDescent="0.15">
      <c r="A378" s="80"/>
      <c r="B378" s="81">
        <v>2</v>
      </c>
      <c r="C378" s="58" t="str">
        <f>IF(A378="","",IF(B378=1,"素　焼土　管",IF(B378=2,"合　成樹脂管",IF(B378=3,"無孔管",""))))</f>
        <v/>
      </c>
      <c r="D378" s="60"/>
      <c r="E378" s="82"/>
      <c r="F378" s="83"/>
      <c r="G378" s="83"/>
      <c r="H378" s="84"/>
      <c r="I378" s="53" t="str">
        <f>IF(A378="","",F378-G378+H378)</f>
        <v/>
      </c>
      <c r="J378" s="55" t="str">
        <f>IF(A378="",""," 1/")</f>
        <v/>
      </c>
      <c r="K378" s="85"/>
      <c r="L378" s="56" t="str">
        <f>IF(A378="","",IF(B378=1,0.013,0.012))</f>
        <v/>
      </c>
      <c r="M378" s="47" t="str">
        <f>IF(A378="","",(1/L378*(E378/100/2)^(8/3)*(1/K378*100)^(1/2)*1.65696)*100)</f>
        <v/>
      </c>
      <c r="N378" s="47" t="str">
        <f>IF(A378="","",1/L378*(E378/100/2)^(2/3)*(1/K378)^(1/2)*0.70541)</f>
        <v/>
      </c>
      <c r="O378" s="48" t="str">
        <f>IF(A378="","",ROUNDDOWN(M378/($U$3/8.64)*10000/$AJ$3,0))</f>
        <v/>
      </c>
      <c r="P378" s="49" t="str">
        <f>IF(A378="","",IF(O378&gt;Q378,"＞","＜"))</f>
        <v/>
      </c>
      <c r="Q378" s="48" t="str">
        <f>IF(A378="","",I378)</f>
        <v/>
      </c>
      <c r="R378" s="51" t="str">
        <f>IF(A378="","",IF(P378="＞","OK","NG"))</f>
        <v/>
      </c>
      <c r="S378" s="86"/>
      <c r="T378" s="87"/>
      <c r="U378" s="28" t="str">
        <f>IF(S378="","",IF(T378=1,"素焼土管",IF(T378=2,"合成樹脂管",IF(T378=3,"無孔管",""))))</f>
        <v/>
      </c>
      <c r="V378" s="29"/>
      <c r="W378" s="88"/>
      <c r="X378" s="89"/>
      <c r="Y378" s="90"/>
      <c r="Z378" s="41" t="str">
        <f>IF(S378="","",IF(AND(T379=3,I378=""),Z376+Y378,IF(AND(Z376="",I376=""),I378+Y378,IF(AND(T379=3,I378&gt;0,Z376&gt;0),I378+Z376+Y378,IF(Z376="",I376+I378+X378+Y378,IF(I378="",Z376+X378+Y378,Z376+I378+X378+Y378))))))</f>
        <v/>
      </c>
      <c r="AA378" s="45" t="str">
        <f>IF(AB378="",""," 1/")</f>
        <v/>
      </c>
      <c r="AB378" s="91"/>
      <c r="AC378" s="30" t="str">
        <f>IF(S378="","",IF(T378="","",IF(T378=1,0.013,0.012)))</f>
        <v/>
      </c>
      <c r="AD378" s="31" t="str">
        <f>IF(S378="","",IF(T378="","",(1/AC378*(W378/100/2)^(8/3)*(1/AB378*100)^(1/2)*1.65696)*100))</f>
        <v/>
      </c>
      <c r="AE378" s="31" t="str">
        <f>IF(S378="","",IF(T378="","",1/AC378*(W378/100/2)^(2/3)*(1/AB378)^(1/2)*0.70541))</f>
        <v/>
      </c>
      <c r="AF378" s="31" t="str">
        <f>IF(S378="","",IF(T378="","",ROUNDDOWN(AD378/($U$3/8.64),3)))</f>
        <v/>
      </c>
      <c r="AG378" s="32" t="str">
        <f>IF(S378="","",IF(T378="","",ROUNDDOWN(AF378*10000/$AJ$3,0)))</f>
        <v/>
      </c>
      <c r="AH378" s="33" t="str">
        <f t="shared" si="2418"/>
        <v/>
      </c>
      <c r="AI378" s="41" t="str">
        <f>IF(S378="","",Z378)</f>
        <v/>
      </c>
      <c r="AJ378" s="43" t="str">
        <f>IF(S378="","",AI378*$AJ$3/10000)</f>
        <v/>
      </c>
      <c r="AK378" s="33" t="str">
        <f>IF(S378="","",IF(T378="","",IF(AND(T378=1,AE378&gt;1),"NG",IF(AH378="＞","OK","NG"))))</f>
        <v/>
      </c>
    </row>
    <row r="379" spans="1:37" ht="15.75" customHeight="1" x14ac:dyDescent="0.15">
      <c r="A379" s="92"/>
      <c r="B379" s="93"/>
      <c r="C379" s="59"/>
      <c r="D379" s="61"/>
      <c r="E379" s="94"/>
      <c r="F379" s="95"/>
      <c r="G379" s="95"/>
      <c r="H379" s="96"/>
      <c r="I379" s="54"/>
      <c r="J379" s="46"/>
      <c r="K379" s="97"/>
      <c r="L379" s="57"/>
      <c r="M379" s="44"/>
      <c r="N379" s="44"/>
      <c r="O379" s="42"/>
      <c r="P379" s="50"/>
      <c r="Q379" s="42"/>
      <c r="R379" s="52"/>
      <c r="S379" s="98"/>
      <c r="T379" s="99">
        <v>2</v>
      </c>
      <c r="U379" s="34" t="str">
        <f>IF(S378="","",IF(T378=T379,"〃",IF(T379=1,"素焼土管",IF(T379=2,"合成樹脂管",IF(T379=3,"無孔管","")))))</f>
        <v/>
      </c>
      <c r="V379" s="35"/>
      <c r="W379" s="100"/>
      <c r="X379" s="101"/>
      <c r="Y379" s="95"/>
      <c r="Z379" s="42"/>
      <c r="AA379" s="46"/>
      <c r="AB379" s="97"/>
      <c r="AC379" s="36" t="str">
        <f>IF(S378="","",IF(T379=1,0.013,0.012))</f>
        <v/>
      </c>
      <c r="AD379" s="37" t="str">
        <f>IF(S378="","",(1/AC379*(W379/100/2)^(8/3)*(1/AB378*100)^(1/2)*1.65696)*100)</f>
        <v/>
      </c>
      <c r="AE379" s="37" t="str">
        <f>IF(S378="","",1/AC379*(W379/100/2)^(2/3)*(1/AB378)^(1/2)*0.70541)</f>
        <v/>
      </c>
      <c r="AF379" s="37" t="str">
        <f>IF(S378="","",ROUNDDOWN(AD379/($U$3/8.64),3))</f>
        <v/>
      </c>
      <c r="AG379" s="38" t="str">
        <f>IF(S378="","",ROUNDDOWN(AF379*10000/$AJ$3,0))</f>
        <v/>
      </c>
      <c r="AH379" s="39" t="str">
        <f t="shared" ref="AH379" si="2442">IF(S378="","",IF(AG379&gt;AI378,"＞",IF(AG379=AI378,"=","＜")))</f>
        <v/>
      </c>
      <c r="AI379" s="42"/>
      <c r="AJ379" s="44"/>
      <c r="AK379" s="39" t="str">
        <f>IF(S378="","",IF(AND(T379=1,AE379&gt;1),"NG",IF(AH379="＞","OK","NG")))</f>
        <v/>
      </c>
    </row>
    <row r="380" spans="1:37" ht="15.75" customHeight="1" x14ac:dyDescent="0.15">
      <c r="A380" s="80"/>
      <c r="B380" s="81">
        <v>2</v>
      </c>
      <c r="C380" s="58" t="str">
        <f>IF(A380="","",IF(B380=1,"素　焼土　管",IF(B380=2,"合　成樹脂管",IF(B380=3,"無孔管",""))))</f>
        <v/>
      </c>
      <c r="D380" s="60"/>
      <c r="E380" s="82"/>
      <c r="F380" s="83"/>
      <c r="G380" s="83"/>
      <c r="H380" s="84"/>
      <c r="I380" s="53" t="str">
        <f>IF(A380="","",F380-G380+H380)</f>
        <v/>
      </c>
      <c r="J380" s="55" t="str">
        <f>IF(A380="",""," 1/")</f>
        <v/>
      </c>
      <c r="K380" s="85"/>
      <c r="L380" s="56" t="str">
        <f>IF(A380="","",IF(B380=1,0.013,0.012))</f>
        <v/>
      </c>
      <c r="M380" s="47" t="str">
        <f>IF(A380="","",(1/L380*(E380/100/2)^(8/3)*(1/K380*100)^(1/2)*1.65696)*100)</f>
        <v/>
      </c>
      <c r="N380" s="47" t="str">
        <f>IF(A380="","",1/L380*(E380/100/2)^(2/3)*(1/K380)^(1/2)*0.70541)</f>
        <v/>
      </c>
      <c r="O380" s="48" t="str">
        <f>IF(A380="","",ROUNDDOWN(M380/($U$3/8.64)*10000/$AJ$3,0))</f>
        <v/>
      </c>
      <c r="P380" s="49" t="str">
        <f>IF(A380="","",IF(O380&gt;Q380,"＞","＜"))</f>
        <v/>
      </c>
      <c r="Q380" s="48" t="str">
        <f>IF(A380="","",I380)</f>
        <v/>
      </c>
      <c r="R380" s="51" t="str">
        <f>IF(A380="","",IF(P380="＞","OK","NG"))</f>
        <v/>
      </c>
      <c r="S380" s="86"/>
      <c r="T380" s="87"/>
      <c r="U380" s="28" t="str">
        <f>IF(S380="","",IF(T380=1,"素焼土管",IF(T380=2,"合成樹脂管",IF(T380=3,"無孔管",""))))</f>
        <v/>
      </c>
      <c r="V380" s="29"/>
      <c r="W380" s="88"/>
      <c r="X380" s="89"/>
      <c r="Y380" s="90"/>
      <c r="Z380" s="41" t="str">
        <f>IF(S380="","",IF(AND(T381=3,I380=""),Z378+Y380,IF(AND(Z378="",I378=""),I380+Y380,IF(AND(T381=3,I380&gt;0,Z378&gt;0),I380+Z378+Y380,IF(Z378="",I378+I380+X380+Y380,IF(I380="",Z378+X380+Y380,Z378+I380+X380+Y380))))))</f>
        <v/>
      </c>
      <c r="AA380" s="45" t="str">
        <f>IF(AB380="",""," 1/")</f>
        <v/>
      </c>
      <c r="AB380" s="91"/>
      <c r="AC380" s="30" t="str">
        <f>IF(S380="","",IF(T380="","",IF(T380=1,0.013,0.012)))</f>
        <v/>
      </c>
      <c r="AD380" s="31" t="str">
        <f>IF(S380="","",IF(T380="","",(1/AC380*(W380/100/2)^(8/3)*(1/AB380*100)^(1/2)*1.65696)*100))</f>
        <v/>
      </c>
      <c r="AE380" s="31" t="str">
        <f>IF(S380="","",IF(T380="","",1/AC380*(W380/100/2)^(2/3)*(1/AB380)^(1/2)*0.70541))</f>
        <v/>
      </c>
      <c r="AF380" s="31" t="str">
        <f>IF(S380="","",IF(T380="","",ROUNDDOWN(AD380/($U$3/8.64),3)))</f>
        <v/>
      </c>
      <c r="AG380" s="32" t="str">
        <f>IF(S380="","",IF(T380="","",ROUNDDOWN(AF380*10000/$AJ$3,0)))</f>
        <v/>
      </c>
      <c r="AH380" s="33" t="str">
        <f t="shared" si="2418"/>
        <v/>
      </c>
      <c r="AI380" s="41" t="str">
        <f>IF(S380="","",Z380)</f>
        <v/>
      </c>
      <c r="AJ380" s="43" t="str">
        <f>IF(S380="","",AI380*$AJ$3/10000)</f>
        <v/>
      </c>
      <c r="AK380" s="33" t="str">
        <f>IF(S380="","",IF(T380="","",IF(AND(T380=1,AE380&gt;1),"NG",IF(AH380="＞","OK","NG"))))</f>
        <v/>
      </c>
    </row>
    <row r="381" spans="1:37" ht="15.75" customHeight="1" x14ac:dyDescent="0.15">
      <c r="A381" s="92"/>
      <c r="B381" s="93"/>
      <c r="C381" s="59"/>
      <c r="D381" s="61"/>
      <c r="E381" s="94"/>
      <c r="F381" s="95"/>
      <c r="G381" s="95"/>
      <c r="H381" s="96"/>
      <c r="I381" s="54"/>
      <c r="J381" s="46"/>
      <c r="K381" s="97"/>
      <c r="L381" s="57"/>
      <c r="M381" s="44"/>
      <c r="N381" s="44"/>
      <c r="O381" s="42"/>
      <c r="P381" s="50"/>
      <c r="Q381" s="42"/>
      <c r="R381" s="52"/>
      <c r="S381" s="98"/>
      <c r="T381" s="99">
        <v>2</v>
      </c>
      <c r="U381" s="34" t="str">
        <f>IF(S380="","",IF(T380=T381,"〃",IF(T381=1,"素焼土管",IF(T381=2,"合成樹脂管",IF(T381=3,"無孔管","")))))</f>
        <v/>
      </c>
      <c r="V381" s="35"/>
      <c r="W381" s="100"/>
      <c r="X381" s="101"/>
      <c r="Y381" s="95"/>
      <c r="Z381" s="42"/>
      <c r="AA381" s="46"/>
      <c r="AB381" s="97"/>
      <c r="AC381" s="36" t="str">
        <f>IF(S380="","",IF(T381=1,0.013,0.012))</f>
        <v/>
      </c>
      <c r="AD381" s="37" t="str">
        <f>IF(S380="","",(1/AC381*(W381/100/2)^(8/3)*(1/AB380*100)^(1/2)*1.65696)*100)</f>
        <v/>
      </c>
      <c r="AE381" s="37" t="str">
        <f>IF(S380="","",1/AC381*(W381/100/2)^(2/3)*(1/AB380)^(1/2)*0.70541)</f>
        <v/>
      </c>
      <c r="AF381" s="37" t="str">
        <f>IF(S380="","",ROUNDDOWN(AD381/($U$3/8.64),3))</f>
        <v/>
      </c>
      <c r="AG381" s="38" t="str">
        <f>IF(S380="","",ROUNDDOWN(AF381*10000/$AJ$3,0))</f>
        <v/>
      </c>
      <c r="AH381" s="39" t="str">
        <f t="shared" ref="AH381" si="2443">IF(S380="","",IF(AG381&gt;AI380,"＞",IF(AG381=AI380,"=","＜")))</f>
        <v/>
      </c>
      <c r="AI381" s="42"/>
      <c r="AJ381" s="44"/>
      <c r="AK381" s="39" t="str">
        <f>IF(S380="","",IF(AND(T381=1,AE381&gt;1),"NG",IF(AH381="＞","OK","NG")))</f>
        <v/>
      </c>
    </row>
    <row r="382" spans="1:37" ht="15.75" customHeight="1" x14ac:dyDescent="0.15">
      <c r="A382" s="80"/>
      <c r="B382" s="81">
        <v>2</v>
      </c>
      <c r="C382" s="58" t="str">
        <f>IF(A382="","",IF(B382=1,"素　焼土　管",IF(B382=2,"合　成樹脂管",IF(B382=3,"無孔管",""))))</f>
        <v/>
      </c>
      <c r="D382" s="60"/>
      <c r="E382" s="82"/>
      <c r="F382" s="83"/>
      <c r="G382" s="83"/>
      <c r="H382" s="84"/>
      <c r="I382" s="53" t="str">
        <f>IF(A382="","",F382-G382+H382)</f>
        <v/>
      </c>
      <c r="J382" s="55" t="str">
        <f>IF(A382="",""," 1/")</f>
        <v/>
      </c>
      <c r="K382" s="85"/>
      <c r="L382" s="56" t="str">
        <f>IF(A382="","",IF(B382=1,0.013,0.012))</f>
        <v/>
      </c>
      <c r="M382" s="47" t="str">
        <f>IF(A382="","",(1/L382*(E382/100/2)^(8/3)*(1/K382*100)^(1/2)*1.65696)*100)</f>
        <v/>
      </c>
      <c r="N382" s="47" t="str">
        <f>IF(A382="","",1/L382*(E382/100/2)^(2/3)*(1/K382)^(1/2)*0.70541)</f>
        <v/>
      </c>
      <c r="O382" s="48" t="str">
        <f>IF(A382="","",ROUNDDOWN(M382/($U$3/8.64)*10000/$AJ$3,0))</f>
        <v/>
      </c>
      <c r="P382" s="49" t="str">
        <f>IF(A382="","",IF(O382&gt;Q382,"＞","＜"))</f>
        <v/>
      </c>
      <c r="Q382" s="48" t="str">
        <f>IF(A382="","",I382)</f>
        <v/>
      </c>
      <c r="R382" s="51" t="str">
        <f>IF(A382="","",IF(P382="＞","OK","NG"))</f>
        <v/>
      </c>
      <c r="S382" s="86"/>
      <c r="T382" s="87"/>
      <c r="U382" s="28" t="str">
        <f>IF(S382="","",IF(T382=1,"素焼土管",IF(T382=2,"合成樹脂管",IF(T382=3,"無孔管",""))))</f>
        <v/>
      </c>
      <c r="V382" s="29"/>
      <c r="W382" s="88"/>
      <c r="X382" s="89"/>
      <c r="Y382" s="90"/>
      <c r="Z382" s="41" t="str">
        <f>IF(S382="","",IF(AND(T383=3,I382=""),Z380+Y382,IF(AND(Z380="",I380=""),I382+Y382,IF(AND(T383=3,I382&gt;0,Z380&gt;0),I382+Z380+Y382,IF(Z380="",I380+I382+X382+Y382,IF(I382="",Z380+X382+Y382,Z380+I382+X382+Y382))))))</f>
        <v/>
      </c>
      <c r="AA382" s="45" t="str">
        <f>IF(AB382="",""," 1/")</f>
        <v/>
      </c>
      <c r="AB382" s="91"/>
      <c r="AC382" s="30" t="str">
        <f>IF(S382="","",IF(T382="","",IF(T382=1,0.013,0.012)))</f>
        <v/>
      </c>
      <c r="AD382" s="31" t="str">
        <f>IF(S382="","",IF(T382="","",(1/AC382*(W382/100/2)^(8/3)*(1/AB382*100)^(1/2)*1.65696)*100))</f>
        <v/>
      </c>
      <c r="AE382" s="31" t="str">
        <f>IF(S382="","",IF(T382="","",1/AC382*(W382/100/2)^(2/3)*(1/AB382)^(1/2)*0.70541))</f>
        <v/>
      </c>
      <c r="AF382" s="31" t="str">
        <f>IF(S382="","",IF(T382="","",ROUNDDOWN(AD382/($U$3/8.64),3)))</f>
        <v/>
      </c>
      <c r="AG382" s="32" t="str">
        <f>IF(S382="","",IF(T382="","",ROUNDDOWN(AF382*10000/$AJ$3,0)))</f>
        <v/>
      </c>
      <c r="AH382" s="33" t="str">
        <f t="shared" si="2418"/>
        <v/>
      </c>
      <c r="AI382" s="41" t="str">
        <f>IF(S382="","",Z382)</f>
        <v/>
      </c>
      <c r="AJ382" s="43" t="str">
        <f>IF(S382="","",AI382*$AJ$3/10000)</f>
        <v/>
      </c>
      <c r="AK382" s="33" t="str">
        <f>IF(S382="","",IF(T382="","",IF(AND(T382=1,AE382&gt;1),"NG",IF(AH382="＞","OK","NG"))))</f>
        <v/>
      </c>
    </row>
    <row r="383" spans="1:37" ht="15.75" customHeight="1" x14ac:dyDescent="0.15">
      <c r="A383" s="92"/>
      <c r="B383" s="93"/>
      <c r="C383" s="59"/>
      <c r="D383" s="61"/>
      <c r="E383" s="94"/>
      <c r="F383" s="95"/>
      <c r="G383" s="95"/>
      <c r="H383" s="96"/>
      <c r="I383" s="54"/>
      <c r="J383" s="46"/>
      <c r="K383" s="97"/>
      <c r="L383" s="57"/>
      <c r="M383" s="44"/>
      <c r="N383" s="44"/>
      <c r="O383" s="42"/>
      <c r="P383" s="50"/>
      <c r="Q383" s="42"/>
      <c r="R383" s="52"/>
      <c r="S383" s="98"/>
      <c r="T383" s="99">
        <v>2</v>
      </c>
      <c r="U383" s="34" t="str">
        <f>IF(S382="","",IF(T382=T383,"〃",IF(T383=1,"素焼土管",IF(T383=2,"合成樹脂管",IF(T383=3,"無孔管","")))))</f>
        <v/>
      </c>
      <c r="V383" s="35"/>
      <c r="W383" s="100"/>
      <c r="X383" s="101"/>
      <c r="Y383" s="95"/>
      <c r="Z383" s="42"/>
      <c r="AA383" s="46"/>
      <c r="AB383" s="97"/>
      <c r="AC383" s="36" t="str">
        <f>IF(S382="","",IF(T383=1,0.013,0.012))</f>
        <v/>
      </c>
      <c r="AD383" s="37" t="str">
        <f>IF(S382="","",(1/AC383*(W383/100/2)^(8/3)*(1/AB382*100)^(1/2)*1.65696)*100)</f>
        <v/>
      </c>
      <c r="AE383" s="37" t="str">
        <f>IF(S382="","",1/AC383*(W383/100/2)^(2/3)*(1/AB382)^(1/2)*0.70541)</f>
        <v/>
      </c>
      <c r="AF383" s="37" t="str">
        <f>IF(S382="","",ROUNDDOWN(AD383/($U$3/8.64),3))</f>
        <v/>
      </c>
      <c r="AG383" s="38" t="str">
        <f>IF(S382="","",ROUNDDOWN(AF383*10000/$AJ$3,0))</f>
        <v/>
      </c>
      <c r="AH383" s="39" t="str">
        <f t="shared" ref="AH383" si="2444">IF(S382="","",IF(AG383&gt;AI382,"＞",IF(AG383=AI382,"=","＜")))</f>
        <v/>
      </c>
      <c r="AI383" s="42"/>
      <c r="AJ383" s="44"/>
      <c r="AK383" s="39" t="str">
        <f>IF(S382="","",IF(AND(T383=1,AE383&gt;1),"NG",IF(AH383="＞","OK","NG")))</f>
        <v/>
      </c>
    </row>
    <row r="384" spans="1:37" ht="15.75" customHeight="1" x14ac:dyDescent="0.15">
      <c r="A384" s="80"/>
      <c r="B384" s="81">
        <v>2</v>
      </c>
      <c r="C384" s="58" t="str">
        <f>IF(A384="","",IF(B384=1,"素　焼土　管",IF(B384=2,"合　成樹脂管",IF(B384=3,"無孔管",""))))</f>
        <v/>
      </c>
      <c r="D384" s="60"/>
      <c r="E384" s="82"/>
      <c r="F384" s="83"/>
      <c r="G384" s="83"/>
      <c r="H384" s="84"/>
      <c r="I384" s="53" t="str">
        <f>IF(A384="","",F384-G384+H384)</f>
        <v/>
      </c>
      <c r="J384" s="55" t="str">
        <f>IF(A384="",""," 1/")</f>
        <v/>
      </c>
      <c r="K384" s="85"/>
      <c r="L384" s="56" t="str">
        <f>IF(A384="","",IF(B384=1,0.013,0.012))</f>
        <v/>
      </c>
      <c r="M384" s="47" t="str">
        <f>IF(A384="","",(1/L384*(E384/100/2)^(8/3)*(1/K384*100)^(1/2)*1.65696)*100)</f>
        <v/>
      </c>
      <c r="N384" s="47" t="str">
        <f>IF(A384="","",1/L384*(E384/100/2)^(2/3)*(1/K384)^(1/2)*0.70541)</f>
        <v/>
      </c>
      <c r="O384" s="48" t="str">
        <f>IF(A384="","",ROUNDDOWN(M384/($U$3/8.64)*10000/$AJ$3,0))</f>
        <v/>
      </c>
      <c r="P384" s="49" t="str">
        <f>IF(A384="","",IF(O384&gt;Q384,"＞","＜"))</f>
        <v/>
      </c>
      <c r="Q384" s="48" t="str">
        <f>IF(A384="","",I384)</f>
        <v/>
      </c>
      <c r="R384" s="51" t="str">
        <f>IF(A384="","",IF(P384="＞","OK","NG"))</f>
        <v/>
      </c>
      <c r="S384" s="86"/>
      <c r="T384" s="87"/>
      <c r="U384" s="28" t="str">
        <f>IF(S384="","",IF(T384=1,"素焼土管",IF(T384=2,"合成樹脂管",IF(T384=3,"無孔管",""))))</f>
        <v/>
      </c>
      <c r="V384" s="29"/>
      <c r="W384" s="88"/>
      <c r="X384" s="89"/>
      <c r="Y384" s="90"/>
      <c r="Z384" s="41" t="str">
        <f>IF(S384="","",IF(AND(T385=3,I384=""),Z382+Y384,IF(AND(Z382="",I382=""),I384+Y384,IF(AND(T385=3,I384&gt;0,Z382&gt;0),I384+Z382+Y384,IF(Z382="",I382+I384+X384+Y384,IF(I384="",Z382+X384+Y384,Z382+I384+X384+Y384))))))</f>
        <v/>
      </c>
      <c r="AA384" s="45" t="str">
        <f>IF(AB384="",""," 1/")</f>
        <v/>
      </c>
      <c r="AB384" s="91"/>
      <c r="AC384" s="30" t="str">
        <f>IF(S384="","",IF(T384="","",IF(T384=1,0.013,0.012)))</f>
        <v/>
      </c>
      <c r="AD384" s="31" t="str">
        <f>IF(S384="","",IF(T384="","",(1/AC384*(W384/100/2)^(8/3)*(1/AB384*100)^(1/2)*1.65696)*100))</f>
        <v/>
      </c>
      <c r="AE384" s="31" t="str">
        <f>IF(S384="","",IF(T384="","",1/AC384*(W384/100/2)^(2/3)*(1/AB384)^(1/2)*0.70541))</f>
        <v/>
      </c>
      <c r="AF384" s="31" t="str">
        <f>IF(S384="","",IF(T384="","",ROUNDDOWN(AD384/($U$3/8.64),3)))</f>
        <v/>
      </c>
      <c r="AG384" s="32" t="str">
        <f>IF(S384="","",IF(T384="","",ROUNDDOWN(AF384*10000/$AJ$3,0)))</f>
        <v/>
      </c>
      <c r="AH384" s="33" t="str">
        <f t="shared" si="2418"/>
        <v/>
      </c>
      <c r="AI384" s="41" t="str">
        <f>IF(S384="","",Z384)</f>
        <v/>
      </c>
      <c r="AJ384" s="43" t="str">
        <f>IF(S384="","",AI384*$AJ$3/10000)</f>
        <v/>
      </c>
      <c r="AK384" s="33" t="str">
        <f>IF(S384="","",IF(T384="","",IF(AND(T384=1,AE384&gt;1),"NG",IF(AH384="＞","OK","NG"))))</f>
        <v/>
      </c>
    </row>
    <row r="385" spans="1:37" ht="15.75" customHeight="1" x14ac:dyDescent="0.15">
      <c r="A385" s="92"/>
      <c r="B385" s="93"/>
      <c r="C385" s="59"/>
      <c r="D385" s="61"/>
      <c r="E385" s="94"/>
      <c r="F385" s="95"/>
      <c r="G385" s="95"/>
      <c r="H385" s="96"/>
      <c r="I385" s="54"/>
      <c r="J385" s="46"/>
      <c r="K385" s="97"/>
      <c r="L385" s="57"/>
      <c r="M385" s="44"/>
      <c r="N385" s="44"/>
      <c r="O385" s="42"/>
      <c r="P385" s="50"/>
      <c r="Q385" s="42"/>
      <c r="R385" s="52"/>
      <c r="S385" s="98"/>
      <c r="T385" s="99">
        <v>2</v>
      </c>
      <c r="U385" s="34" t="str">
        <f>IF(S384="","",IF(T384=T385,"〃",IF(T385=1,"素焼土管",IF(T385=2,"合成樹脂管",IF(T385=3,"無孔管","")))))</f>
        <v/>
      </c>
      <c r="V385" s="35"/>
      <c r="W385" s="100"/>
      <c r="X385" s="101"/>
      <c r="Y385" s="95"/>
      <c r="Z385" s="42"/>
      <c r="AA385" s="46"/>
      <c r="AB385" s="97"/>
      <c r="AC385" s="36" t="str">
        <f>IF(S384="","",IF(T385=1,0.013,0.012))</f>
        <v/>
      </c>
      <c r="AD385" s="37" t="str">
        <f>IF(S384="","",(1/AC385*(W385/100/2)^(8/3)*(1/AB384*100)^(1/2)*1.65696)*100)</f>
        <v/>
      </c>
      <c r="AE385" s="37" t="str">
        <f>IF(S384="","",1/AC385*(W385/100/2)^(2/3)*(1/AB384)^(1/2)*0.70541)</f>
        <v/>
      </c>
      <c r="AF385" s="37" t="str">
        <f>IF(S384="","",ROUNDDOWN(AD385/($U$3/8.64),3))</f>
        <v/>
      </c>
      <c r="AG385" s="38" t="str">
        <f>IF(S384="","",ROUNDDOWN(AF385*10000/$AJ$3,0))</f>
        <v/>
      </c>
      <c r="AH385" s="39" t="str">
        <f t="shared" ref="AH385" si="2445">IF(S384="","",IF(AG385&gt;AI384,"＞",IF(AG385=AI384,"=","＜")))</f>
        <v/>
      </c>
      <c r="AI385" s="42"/>
      <c r="AJ385" s="44"/>
      <c r="AK385" s="39" t="str">
        <f>IF(S384="","",IF(AND(T385=1,AE385&gt;1),"NG",IF(AH385="＞","OK","NG")))</f>
        <v/>
      </c>
    </row>
    <row r="386" spans="1:37" ht="15.75" customHeight="1" x14ac:dyDescent="0.15">
      <c r="A386" s="80"/>
      <c r="B386" s="81">
        <v>2</v>
      </c>
      <c r="C386" s="58" t="str">
        <f>IF(A386="","",IF(B386=1,"素　焼土　管",IF(B386=2,"合　成樹脂管",IF(B386=3,"無孔管",""))))</f>
        <v/>
      </c>
      <c r="D386" s="60"/>
      <c r="E386" s="82"/>
      <c r="F386" s="83"/>
      <c r="G386" s="83"/>
      <c r="H386" s="84"/>
      <c r="I386" s="53" t="str">
        <f>IF(A386="","",F386-G386+H386)</f>
        <v/>
      </c>
      <c r="J386" s="55" t="str">
        <f>IF(A386="",""," 1/")</f>
        <v/>
      </c>
      <c r="K386" s="85"/>
      <c r="L386" s="56" t="str">
        <f>IF(A386="","",IF(B386=1,0.013,0.012))</f>
        <v/>
      </c>
      <c r="M386" s="47" t="str">
        <f>IF(A386="","",(1/L386*(E386/100/2)^(8/3)*(1/K386*100)^(1/2)*1.65696)*100)</f>
        <v/>
      </c>
      <c r="N386" s="47" t="str">
        <f>IF(A386="","",1/L386*(E386/100/2)^(2/3)*(1/K386)^(1/2)*0.70541)</f>
        <v/>
      </c>
      <c r="O386" s="48" t="str">
        <f>IF(A386="","",ROUNDDOWN(M386/($U$3/8.64)*10000/$AJ$3,0))</f>
        <v/>
      </c>
      <c r="P386" s="49" t="str">
        <f>IF(A386="","",IF(O386&gt;Q386,"＞","＜"))</f>
        <v/>
      </c>
      <c r="Q386" s="48" t="str">
        <f>IF(A386="","",I386)</f>
        <v/>
      </c>
      <c r="R386" s="51" t="str">
        <f>IF(A386="","",IF(P386="＞","OK","NG"))</f>
        <v/>
      </c>
      <c r="S386" s="86"/>
      <c r="T386" s="87"/>
      <c r="U386" s="28" t="str">
        <f>IF(S386="","",IF(T386=1,"素焼土管",IF(T386=2,"合成樹脂管",IF(T386=3,"無孔管",""))))</f>
        <v/>
      </c>
      <c r="V386" s="29"/>
      <c r="W386" s="88"/>
      <c r="X386" s="89"/>
      <c r="Y386" s="90"/>
      <c r="Z386" s="41" t="str">
        <f>IF(S386="","",IF(AND(T387=3,I386=""),Z384+Y386,IF(AND(Z384="",I384=""),I386+Y386,IF(AND(T387=3,I386&gt;0,Z384&gt;0),I386+Z384+Y386,IF(Z384="",I384+I386+X386+Y386,IF(I386="",Z384+X386+Y386,Z384+I386+X386+Y386))))))</f>
        <v/>
      </c>
      <c r="AA386" s="45" t="str">
        <f>IF(AB386="",""," 1/")</f>
        <v/>
      </c>
      <c r="AB386" s="91"/>
      <c r="AC386" s="30" t="str">
        <f>IF(S386="","",IF(T386="","",IF(T386=1,0.013,0.012)))</f>
        <v/>
      </c>
      <c r="AD386" s="31" t="str">
        <f>IF(S386="","",IF(T386="","",(1/AC386*(W386/100/2)^(8/3)*(1/AB386*100)^(1/2)*1.65696)*100))</f>
        <v/>
      </c>
      <c r="AE386" s="31" t="str">
        <f>IF(S386="","",IF(T386="","",1/AC386*(W386/100/2)^(2/3)*(1/AB386)^(1/2)*0.70541))</f>
        <v/>
      </c>
      <c r="AF386" s="31" t="str">
        <f>IF(S386="","",IF(T386="","",ROUNDDOWN(AD386/($U$3/8.64),3)))</f>
        <v/>
      </c>
      <c r="AG386" s="32" t="str">
        <f>IF(S386="","",IF(T386="","",ROUNDDOWN(AF386*10000/$AJ$3,0)))</f>
        <v/>
      </c>
      <c r="AH386" s="33" t="str">
        <f t="shared" si="2418"/>
        <v/>
      </c>
      <c r="AI386" s="41" t="str">
        <f>IF(S386="","",Z386)</f>
        <v/>
      </c>
      <c r="AJ386" s="43" t="str">
        <f>IF(S386="","",AI386*$AJ$3/10000)</f>
        <v/>
      </c>
      <c r="AK386" s="33" t="str">
        <f>IF(S386="","",IF(T386="","",IF(AND(T386=1,AE386&gt;1),"NG",IF(AH386="＞","OK","NG"))))</f>
        <v/>
      </c>
    </row>
    <row r="387" spans="1:37" ht="15.75" customHeight="1" x14ac:dyDescent="0.15">
      <c r="A387" s="92"/>
      <c r="B387" s="93"/>
      <c r="C387" s="59"/>
      <c r="D387" s="61"/>
      <c r="E387" s="94"/>
      <c r="F387" s="95"/>
      <c r="G387" s="95"/>
      <c r="H387" s="96"/>
      <c r="I387" s="54"/>
      <c r="J387" s="46"/>
      <c r="K387" s="97"/>
      <c r="L387" s="57"/>
      <c r="M387" s="44"/>
      <c r="N387" s="44"/>
      <c r="O387" s="42"/>
      <c r="P387" s="50"/>
      <c r="Q387" s="42"/>
      <c r="R387" s="52"/>
      <c r="S387" s="98"/>
      <c r="T387" s="99">
        <v>2</v>
      </c>
      <c r="U387" s="34" t="str">
        <f>IF(S386="","",IF(T386=T387,"〃",IF(T387=1,"素焼土管",IF(T387=2,"合成樹脂管",IF(T387=3,"無孔管","")))))</f>
        <v/>
      </c>
      <c r="V387" s="35"/>
      <c r="W387" s="100"/>
      <c r="X387" s="101"/>
      <c r="Y387" s="95"/>
      <c r="Z387" s="42"/>
      <c r="AA387" s="46"/>
      <c r="AB387" s="97"/>
      <c r="AC387" s="36" t="str">
        <f>IF(S386="","",IF(T387=1,0.013,0.012))</f>
        <v/>
      </c>
      <c r="AD387" s="37" t="str">
        <f>IF(S386="","",(1/AC387*(W387/100/2)^(8/3)*(1/AB386*100)^(1/2)*1.65696)*100)</f>
        <v/>
      </c>
      <c r="AE387" s="37" t="str">
        <f>IF(S386="","",1/AC387*(W387/100/2)^(2/3)*(1/AB386)^(1/2)*0.70541)</f>
        <v/>
      </c>
      <c r="AF387" s="37" t="str">
        <f>IF(S386="","",ROUNDDOWN(AD387/($U$3/8.64),3))</f>
        <v/>
      </c>
      <c r="AG387" s="38" t="str">
        <f>IF(S386="","",ROUNDDOWN(AF387*10000/$AJ$3,0))</f>
        <v/>
      </c>
      <c r="AH387" s="39" t="str">
        <f t="shared" ref="AH387" si="2446">IF(S386="","",IF(AG387&gt;AI386,"＞",IF(AG387=AI386,"=","＜")))</f>
        <v/>
      </c>
      <c r="AI387" s="42"/>
      <c r="AJ387" s="44"/>
      <c r="AK387" s="39" t="str">
        <f>IF(S386="","",IF(AND(T387=1,AE387&gt;1),"NG",IF(AH387="＞","OK","NG")))</f>
        <v/>
      </c>
    </row>
    <row r="388" spans="1:37" ht="15.75" customHeight="1" x14ac:dyDescent="0.15">
      <c r="A388" s="80"/>
      <c r="B388" s="81">
        <v>2</v>
      </c>
      <c r="C388" s="58" t="str">
        <f>IF(A388="","",IF(B388=1,"素　焼土　管",IF(B388=2,"合　成樹脂管",IF(B388=3,"無孔管",""))))</f>
        <v/>
      </c>
      <c r="D388" s="60"/>
      <c r="E388" s="82"/>
      <c r="F388" s="83"/>
      <c r="G388" s="83"/>
      <c r="H388" s="84"/>
      <c r="I388" s="53" t="str">
        <f>IF(A388="","",F388-G388+H388)</f>
        <v/>
      </c>
      <c r="J388" s="55" t="str">
        <f>IF(A388="",""," 1/")</f>
        <v/>
      </c>
      <c r="K388" s="85"/>
      <c r="L388" s="56" t="str">
        <f>IF(A388="","",IF(B388=1,0.013,0.012))</f>
        <v/>
      </c>
      <c r="M388" s="47" t="str">
        <f>IF(A388="","",(1/L388*(E388/100/2)^(8/3)*(1/K388*100)^(1/2)*1.65696)*100)</f>
        <v/>
      </c>
      <c r="N388" s="47" t="str">
        <f>IF(A388="","",1/L388*(E388/100/2)^(2/3)*(1/K388)^(1/2)*0.70541)</f>
        <v/>
      </c>
      <c r="O388" s="48" t="str">
        <f>IF(A388="","",ROUNDDOWN(M388/($U$3/8.64)*10000/$AJ$3,0))</f>
        <v/>
      </c>
      <c r="P388" s="49" t="str">
        <f>IF(A388="","",IF(O388&gt;Q388,"＞","＜"))</f>
        <v/>
      </c>
      <c r="Q388" s="48" t="str">
        <f>IF(A388="","",I388)</f>
        <v/>
      </c>
      <c r="R388" s="51" t="str">
        <f>IF(A388="","",IF(P388="＞","OK","NG"))</f>
        <v/>
      </c>
      <c r="S388" s="86"/>
      <c r="T388" s="87"/>
      <c r="U388" s="28" t="str">
        <f>IF(S388="","",IF(T388=1,"素焼土管",IF(T388=2,"合成樹脂管",IF(T388=3,"無孔管",""))))</f>
        <v/>
      </c>
      <c r="V388" s="29"/>
      <c r="W388" s="88"/>
      <c r="X388" s="89"/>
      <c r="Y388" s="90"/>
      <c r="Z388" s="41" t="str">
        <f>IF(S388="","",IF(AND(T389=3,I388=""),Z386+Y388,IF(AND(Z386="",I386=""),I388+Y388,IF(AND(T389=3,I388&gt;0,Z386&gt;0),I388+Z386+Y388,IF(Z386="",I386+I388+X388+Y388,IF(I388="",Z386+X388+Y388,Z386+I388+X388+Y388))))))</f>
        <v/>
      </c>
      <c r="AA388" s="45" t="str">
        <f>IF(AB388="",""," 1/")</f>
        <v/>
      </c>
      <c r="AB388" s="91"/>
      <c r="AC388" s="30" t="str">
        <f>IF(S388="","",IF(T388="","",IF(T388=1,0.013,0.012)))</f>
        <v/>
      </c>
      <c r="AD388" s="31" t="str">
        <f>IF(S388="","",IF(T388="","",(1/AC388*(W388/100/2)^(8/3)*(1/AB388*100)^(1/2)*1.65696)*100))</f>
        <v/>
      </c>
      <c r="AE388" s="31" t="str">
        <f>IF(S388="","",IF(T388="","",1/AC388*(W388/100/2)^(2/3)*(1/AB388)^(1/2)*0.70541))</f>
        <v/>
      </c>
      <c r="AF388" s="31" t="str">
        <f>IF(S388="","",IF(T388="","",ROUNDDOWN(AD388/($U$3/8.64),3)))</f>
        <v/>
      </c>
      <c r="AG388" s="32" t="str">
        <f>IF(S388="","",IF(T388="","",ROUNDDOWN(AF388*10000/$AJ$3,0)))</f>
        <v/>
      </c>
      <c r="AH388" s="33" t="str">
        <f t="shared" si="2418"/>
        <v/>
      </c>
      <c r="AI388" s="41" t="str">
        <f>IF(S388="","",Z388)</f>
        <v/>
      </c>
      <c r="AJ388" s="43" t="str">
        <f>IF(S388="","",AI388*$AJ$3/10000)</f>
        <v/>
      </c>
      <c r="AK388" s="33" t="str">
        <f>IF(S388="","",IF(T388="","",IF(AND(T388=1,AE388&gt;1),"NG",IF(AH388="＞","OK","NG"))))</f>
        <v/>
      </c>
    </row>
    <row r="389" spans="1:37" ht="15.75" customHeight="1" x14ac:dyDescent="0.15">
      <c r="A389" s="92"/>
      <c r="B389" s="93"/>
      <c r="C389" s="59"/>
      <c r="D389" s="61"/>
      <c r="E389" s="94"/>
      <c r="F389" s="95"/>
      <c r="G389" s="95"/>
      <c r="H389" s="96"/>
      <c r="I389" s="54"/>
      <c r="J389" s="46"/>
      <c r="K389" s="97"/>
      <c r="L389" s="57"/>
      <c r="M389" s="44"/>
      <c r="N389" s="44"/>
      <c r="O389" s="42"/>
      <c r="P389" s="50"/>
      <c r="Q389" s="42"/>
      <c r="R389" s="52"/>
      <c r="S389" s="98"/>
      <c r="T389" s="99">
        <v>2</v>
      </c>
      <c r="U389" s="34" t="str">
        <f>IF(S388="","",IF(T388=T389,"〃",IF(T389=1,"素焼土管",IF(T389=2,"合成樹脂管",IF(T389=3,"無孔管","")))))</f>
        <v/>
      </c>
      <c r="V389" s="35"/>
      <c r="W389" s="100"/>
      <c r="X389" s="101"/>
      <c r="Y389" s="95"/>
      <c r="Z389" s="42"/>
      <c r="AA389" s="46"/>
      <c r="AB389" s="97"/>
      <c r="AC389" s="36" t="str">
        <f>IF(S388="","",IF(T389=1,0.013,0.012))</f>
        <v/>
      </c>
      <c r="AD389" s="37" t="str">
        <f>IF(S388="","",(1/AC389*(W389/100/2)^(8/3)*(1/AB388*100)^(1/2)*1.65696)*100)</f>
        <v/>
      </c>
      <c r="AE389" s="37" t="str">
        <f>IF(S388="","",1/AC389*(W389/100/2)^(2/3)*(1/AB388)^(1/2)*0.70541)</f>
        <v/>
      </c>
      <c r="AF389" s="37" t="str">
        <f>IF(S388="","",ROUNDDOWN(AD389/($U$3/8.64),3))</f>
        <v/>
      </c>
      <c r="AG389" s="38" t="str">
        <f>IF(S388="","",ROUNDDOWN(AF389*10000/$AJ$3,0))</f>
        <v/>
      </c>
      <c r="AH389" s="39" t="str">
        <f t="shared" ref="AH389" si="2447">IF(S388="","",IF(AG389&gt;AI388,"＞",IF(AG389=AI388,"=","＜")))</f>
        <v/>
      </c>
      <c r="AI389" s="42"/>
      <c r="AJ389" s="44"/>
      <c r="AK389" s="39" t="str">
        <f>IF(S388="","",IF(AND(T389=1,AE389&gt;1),"NG",IF(AH389="＞","OK","NG")))</f>
        <v/>
      </c>
    </row>
    <row r="390" spans="1:37" ht="15.75" customHeight="1" x14ac:dyDescent="0.15">
      <c r="A390" s="80"/>
      <c r="B390" s="81">
        <v>2</v>
      </c>
      <c r="C390" s="58" t="str">
        <f>IF(A390="","",IF(B390=1,"素　焼土　管",IF(B390=2,"合　成樹脂管",IF(B390=3,"無孔管",""))))</f>
        <v/>
      </c>
      <c r="D390" s="60"/>
      <c r="E390" s="82"/>
      <c r="F390" s="83"/>
      <c r="G390" s="83"/>
      <c r="H390" s="84"/>
      <c r="I390" s="53" t="str">
        <f>IF(A390="","",F390-G390+H390)</f>
        <v/>
      </c>
      <c r="J390" s="55" t="str">
        <f>IF(A390="",""," 1/")</f>
        <v/>
      </c>
      <c r="K390" s="85"/>
      <c r="L390" s="56" t="str">
        <f>IF(A390="","",IF(B390=1,0.013,0.012))</f>
        <v/>
      </c>
      <c r="M390" s="47" t="str">
        <f>IF(A390="","",(1/L390*(E390/100/2)^(8/3)*(1/K390*100)^(1/2)*1.65696)*100)</f>
        <v/>
      </c>
      <c r="N390" s="47" t="str">
        <f>IF(A390="","",1/L390*(E390/100/2)^(2/3)*(1/K390)^(1/2)*0.70541)</f>
        <v/>
      </c>
      <c r="O390" s="48" t="str">
        <f>IF(A390="","",ROUNDDOWN(M390/($U$3/8.64)*10000/$AJ$3,0))</f>
        <v/>
      </c>
      <c r="P390" s="49" t="str">
        <f>IF(A390="","",IF(O390&gt;Q390,"＞","＜"))</f>
        <v/>
      </c>
      <c r="Q390" s="48" t="str">
        <f>IF(A390="","",I390)</f>
        <v/>
      </c>
      <c r="R390" s="51" t="str">
        <f>IF(A390="","",IF(P390="＞","OK","NG"))</f>
        <v/>
      </c>
      <c r="S390" s="86"/>
      <c r="T390" s="87"/>
      <c r="U390" s="28" t="str">
        <f>IF(S390="","",IF(T390=1,"素焼土管",IF(T390=2,"合成樹脂管",IF(T390=3,"無孔管",""))))</f>
        <v/>
      </c>
      <c r="V390" s="29"/>
      <c r="W390" s="88"/>
      <c r="X390" s="89"/>
      <c r="Y390" s="90"/>
      <c r="Z390" s="41" t="str">
        <f>IF(S390="","",IF(AND(T391=3,I390=""),Z388+Y390,IF(AND(Z388="",I388=""),I390+Y390,IF(AND(T391=3,I390&gt;0,Z388&gt;0),I390+Z388+Y390,IF(Z388="",I388+I390+X390+Y390,IF(I390="",Z388+X390+Y390,Z388+I390+X390+Y390))))))</f>
        <v/>
      </c>
      <c r="AA390" s="45" t="str">
        <f>IF(AB390="",""," 1/")</f>
        <v/>
      </c>
      <c r="AB390" s="91"/>
      <c r="AC390" s="30" t="str">
        <f>IF(S390="","",IF(T390="","",IF(T390=1,0.013,0.012)))</f>
        <v/>
      </c>
      <c r="AD390" s="31" t="str">
        <f>IF(S390="","",IF(T390="","",(1/AC390*(W390/100/2)^(8/3)*(1/AB390*100)^(1/2)*1.65696)*100))</f>
        <v/>
      </c>
      <c r="AE390" s="31" t="str">
        <f>IF(S390="","",IF(T390="","",1/AC390*(W390/100/2)^(2/3)*(1/AB390)^(1/2)*0.70541))</f>
        <v/>
      </c>
      <c r="AF390" s="31" t="str">
        <f>IF(S390="","",IF(T390="","",ROUNDDOWN(AD390/($U$3/8.64),3)))</f>
        <v/>
      </c>
      <c r="AG390" s="32" t="str">
        <f>IF(S390="","",IF(T390="","",ROUNDDOWN(AF390*10000/$AJ$3,0)))</f>
        <v/>
      </c>
      <c r="AH390" s="33" t="str">
        <f t="shared" si="2418"/>
        <v/>
      </c>
      <c r="AI390" s="41" t="str">
        <f>IF(S390="","",Z390)</f>
        <v/>
      </c>
      <c r="AJ390" s="43" t="str">
        <f>IF(S390="","",AI390*$AJ$3/10000)</f>
        <v/>
      </c>
      <c r="AK390" s="33" t="str">
        <f>IF(S390="","",IF(T390="","",IF(AND(T390=1,AE390&gt;1),"NG",IF(AH390="＞","OK","NG"))))</f>
        <v/>
      </c>
    </row>
    <row r="391" spans="1:37" ht="15.75" customHeight="1" x14ac:dyDescent="0.15">
      <c r="A391" s="92"/>
      <c r="B391" s="93"/>
      <c r="C391" s="59"/>
      <c r="D391" s="61"/>
      <c r="E391" s="94"/>
      <c r="F391" s="95"/>
      <c r="G391" s="95"/>
      <c r="H391" s="96"/>
      <c r="I391" s="54"/>
      <c r="J391" s="46"/>
      <c r="K391" s="97"/>
      <c r="L391" s="57"/>
      <c r="M391" s="44"/>
      <c r="N391" s="44"/>
      <c r="O391" s="42"/>
      <c r="P391" s="50"/>
      <c r="Q391" s="42"/>
      <c r="R391" s="52"/>
      <c r="S391" s="98"/>
      <c r="T391" s="99">
        <v>2</v>
      </c>
      <c r="U391" s="34" t="str">
        <f>IF(S390="","",IF(T390=T391,"〃",IF(T391=1,"素焼土管",IF(T391=2,"合成樹脂管",IF(T391=3,"無孔管","")))))</f>
        <v/>
      </c>
      <c r="V391" s="35"/>
      <c r="W391" s="100"/>
      <c r="X391" s="101"/>
      <c r="Y391" s="95"/>
      <c r="Z391" s="42"/>
      <c r="AA391" s="46"/>
      <c r="AB391" s="97"/>
      <c r="AC391" s="36" t="str">
        <f>IF(S390="","",IF(T391=1,0.013,0.012))</f>
        <v/>
      </c>
      <c r="AD391" s="37" t="str">
        <f>IF(S390="","",(1/AC391*(W391/100/2)^(8/3)*(1/AB390*100)^(1/2)*1.65696)*100)</f>
        <v/>
      </c>
      <c r="AE391" s="37" t="str">
        <f>IF(S390="","",1/AC391*(W391/100/2)^(2/3)*(1/AB390)^(1/2)*0.70541)</f>
        <v/>
      </c>
      <c r="AF391" s="37" t="str">
        <f>IF(S390="","",ROUNDDOWN(AD391/($U$3/8.64),3))</f>
        <v/>
      </c>
      <c r="AG391" s="38" t="str">
        <f>IF(S390="","",ROUNDDOWN(AF391*10000/$AJ$3,0))</f>
        <v/>
      </c>
      <c r="AH391" s="39" t="str">
        <f t="shared" ref="AH391" si="2448">IF(S390="","",IF(AG391&gt;AI390,"＞",IF(AG391=AI390,"=","＜")))</f>
        <v/>
      </c>
      <c r="AI391" s="42"/>
      <c r="AJ391" s="44"/>
      <c r="AK391" s="39" t="str">
        <f>IF(S390="","",IF(AND(T391=1,AE391&gt;1),"NG",IF(AH391="＞","OK","NG")))</f>
        <v/>
      </c>
    </row>
    <row r="392" spans="1:37" ht="15.75" customHeight="1" x14ac:dyDescent="0.15">
      <c r="A392" s="80"/>
      <c r="B392" s="81">
        <v>2</v>
      </c>
      <c r="C392" s="58" t="str">
        <f>IF(A392="","",IF(B392=1,"素　焼土　管",IF(B392=2,"合　成樹脂管",IF(B392=3,"無孔管",""))))</f>
        <v/>
      </c>
      <c r="D392" s="60"/>
      <c r="E392" s="82"/>
      <c r="F392" s="83"/>
      <c r="G392" s="83"/>
      <c r="H392" s="84"/>
      <c r="I392" s="53" t="str">
        <f>IF(A392="","",F392-G392+H392)</f>
        <v/>
      </c>
      <c r="J392" s="55" t="str">
        <f>IF(A392="",""," 1/")</f>
        <v/>
      </c>
      <c r="K392" s="85"/>
      <c r="L392" s="56" t="str">
        <f>IF(A392="","",IF(B392=1,0.013,0.012))</f>
        <v/>
      </c>
      <c r="M392" s="47" t="str">
        <f>IF(A392="","",(1/L392*(E392/100/2)^(8/3)*(1/K392*100)^(1/2)*1.65696)*100)</f>
        <v/>
      </c>
      <c r="N392" s="47" t="str">
        <f>IF(A392="","",1/L392*(E392/100/2)^(2/3)*(1/K392)^(1/2)*0.70541)</f>
        <v/>
      </c>
      <c r="O392" s="48" t="str">
        <f>IF(A392="","",ROUNDDOWN(M392/($U$3/8.64)*10000/$AJ$3,0))</f>
        <v/>
      </c>
      <c r="P392" s="49" t="str">
        <f>IF(A392="","",IF(O392&gt;Q392,"＞","＜"))</f>
        <v/>
      </c>
      <c r="Q392" s="48" t="str">
        <f>IF(A392="","",I392)</f>
        <v/>
      </c>
      <c r="R392" s="51" t="str">
        <f>IF(A392="","",IF(P392="＞","OK","NG"))</f>
        <v/>
      </c>
      <c r="S392" s="86"/>
      <c r="T392" s="87"/>
      <c r="U392" s="28" t="str">
        <f>IF(S392="","",IF(T392=1,"素焼土管",IF(T392=2,"合成樹脂管",IF(T392=3,"無孔管",""))))</f>
        <v/>
      </c>
      <c r="V392" s="29"/>
      <c r="W392" s="88"/>
      <c r="X392" s="89"/>
      <c r="Y392" s="90"/>
      <c r="Z392" s="41" t="str">
        <f>IF(S392="","",IF(AND(T393=3,I392=""),Z390+Y392,IF(AND(Z390="",I390=""),I392+Y392,IF(AND(T393=3,I392&gt;0,Z390&gt;0),I392+Z390+Y392,IF(Z390="",I390+I392+X392+Y392,IF(I392="",Z390+X392+Y392,Z390+I392+X392+Y392))))))</f>
        <v/>
      </c>
      <c r="AA392" s="45" t="str">
        <f>IF(AB392="",""," 1/")</f>
        <v/>
      </c>
      <c r="AB392" s="91"/>
      <c r="AC392" s="30" t="str">
        <f>IF(S392="","",IF(T392="","",IF(T392=1,0.013,0.012)))</f>
        <v/>
      </c>
      <c r="AD392" s="31" t="str">
        <f>IF(S392="","",IF(T392="","",(1/AC392*(W392/100/2)^(8/3)*(1/AB392*100)^(1/2)*1.65696)*100))</f>
        <v/>
      </c>
      <c r="AE392" s="31" t="str">
        <f>IF(S392="","",IF(T392="","",1/AC392*(W392/100/2)^(2/3)*(1/AB392)^(1/2)*0.70541))</f>
        <v/>
      </c>
      <c r="AF392" s="31" t="str">
        <f>IF(S392="","",IF(T392="","",ROUNDDOWN(AD392/($U$3/8.64),3)))</f>
        <v/>
      </c>
      <c r="AG392" s="32" t="str">
        <f>IF(S392="","",IF(T392="","",ROUNDDOWN(AF392*10000/$AJ$3,0)))</f>
        <v/>
      </c>
      <c r="AH392" s="33" t="str">
        <f t="shared" si="2418"/>
        <v/>
      </c>
      <c r="AI392" s="41" t="str">
        <f>IF(S392="","",Z392)</f>
        <v/>
      </c>
      <c r="AJ392" s="43" t="str">
        <f>IF(S392="","",AI392*$AJ$3/10000)</f>
        <v/>
      </c>
      <c r="AK392" s="33" t="str">
        <f>IF(S392="","",IF(T392="","",IF(AND(T392=1,AE392&gt;1),"NG",IF(AH392="＞","OK","NG"))))</f>
        <v/>
      </c>
    </row>
    <row r="393" spans="1:37" ht="15.75" customHeight="1" x14ac:dyDescent="0.15">
      <c r="A393" s="92"/>
      <c r="B393" s="93"/>
      <c r="C393" s="59"/>
      <c r="D393" s="61"/>
      <c r="E393" s="94"/>
      <c r="F393" s="95"/>
      <c r="G393" s="95"/>
      <c r="H393" s="96"/>
      <c r="I393" s="54"/>
      <c r="J393" s="46"/>
      <c r="K393" s="97"/>
      <c r="L393" s="57"/>
      <c r="M393" s="44"/>
      <c r="N393" s="44"/>
      <c r="O393" s="42"/>
      <c r="P393" s="50"/>
      <c r="Q393" s="42"/>
      <c r="R393" s="52"/>
      <c r="S393" s="98"/>
      <c r="T393" s="99">
        <v>2</v>
      </c>
      <c r="U393" s="34" t="str">
        <f>IF(S392="","",IF(T392=T393,"〃",IF(T393=1,"素焼土管",IF(T393=2,"合成樹脂管",IF(T393=3,"無孔管","")))))</f>
        <v/>
      </c>
      <c r="V393" s="35"/>
      <c r="W393" s="100"/>
      <c r="X393" s="101"/>
      <c r="Y393" s="95"/>
      <c r="Z393" s="42"/>
      <c r="AA393" s="46"/>
      <c r="AB393" s="97"/>
      <c r="AC393" s="36" t="str">
        <f>IF(S392="","",IF(T393=1,0.013,0.012))</f>
        <v/>
      </c>
      <c r="AD393" s="37" t="str">
        <f>IF(S392="","",(1/AC393*(W393/100/2)^(8/3)*(1/AB392*100)^(1/2)*1.65696)*100)</f>
        <v/>
      </c>
      <c r="AE393" s="37" t="str">
        <f>IF(S392="","",1/AC393*(W393/100/2)^(2/3)*(1/AB392)^(1/2)*0.70541)</f>
        <v/>
      </c>
      <c r="AF393" s="37" t="str">
        <f>IF(S392="","",ROUNDDOWN(AD393/($U$3/8.64),3))</f>
        <v/>
      </c>
      <c r="AG393" s="38" t="str">
        <f>IF(S392="","",ROUNDDOWN(AF393*10000/$AJ$3,0))</f>
        <v/>
      </c>
      <c r="AH393" s="39" t="str">
        <f t="shared" ref="AH393" si="2449">IF(S392="","",IF(AG393&gt;AI392,"＞",IF(AG393=AI392,"=","＜")))</f>
        <v/>
      </c>
      <c r="AI393" s="42"/>
      <c r="AJ393" s="44"/>
      <c r="AK393" s="39" t="str">
        <f>IF(S392="","",IF(AND(T393=1,AE393&gt;1),"NG",IF(AH393="＞","OK","NG")))</f>
        <v/>
      </c>
    </row>
    <row r="394" spans="1:37" ht="15.75" customHeight="1" x14ac:dyDescent="0.15">
      <c r="A394" s="80"/>
      <c r="B394" s="81">
        <v>2</v>
      </c>
      <c r="C394" s="58" t="str">
        <f>IF(A394="","",IF(B394=1,"素　焼土　管",IF(B394=2,"合　成樹脂管",IF(B394=3,"無孔管",""))))</f>
        <v/>
      </c>
      <c r="D394" s="60"/>
      <c r="E394" s="82"/>
      <c r="F394" s="83"/>
      <c r="G394" s="83"/>
      <c r="H394" s="84"/>
      <c r="I394" s="53" t="str">
        <f>IF(A394="","",F394-G394+H394)</f>
        <v/>
      </c>
      <c r="J394" s="55" t="str">
        <f>IF(A394="",""," 1/")</f>
        <v/>
      </c>
      <c r="K394" s="85"/>
      <c r="L394" s="56" t="str">
        <f>IF(A394="","",IF(B394=1,0.013,0.012))</f>
        <v/>
      </c>
      <c r="M394" s="47" t="str">
        <f>IF(A394="","",(1/L394*(E394/100/2)^(8/3)*(1/K394*100)^(1/2)*1.65696)*100)</f>
        <v/>
      </c>
      <c r="N394" s="47" t="str">
        <f>IF(A394="","",1/L394*(E394/100/2)^(2/3)*(1/K394)^(1/2)*0.70541)</f>
        <v/>
      </c>
      <c r="O394" s="48" t="str">
        <f>IF(A394="","",ROUNDDOWN(M394/($U$3/8.64)*10000/$AJ$3,0))</f>
        <v/>
      </c>
      <c r="P394" s="49" t="str">
        <f>IF(A394="","",IF(O394&gt;Q394,"＞","＜"))</f>
        <v/>
      </c>
      <c r="Q394" s="48" t="str">
        <f>IF(A394="","",I394)</f>
        <v/>
      </c>
      <c r="R394" s="51" t="str">
        <f>IF(A394="","",IF(P394="＞","OK","NG"))</f>
        <v/>
      </c>
      <c r="S394" s="86"/>
      <c r="T394" s="87"/>
      <c r="U394" s="28" t="str">
        <f>IF(S394="","",IF(T394=1,"素焼土管",IF(T394=2,"合成樹脂管",IF(T394=3,"無孔管",""))))</f>
        <v/>
      </c>
      <c r="V394" s="29"/>
      <c r="W394" s="88"/>
      <c r="X394" s="89"/>
      <c r="Y394" s="90"/>
      <c r="Z394" s="41" t="str">
        <f>IF(S394="","",IF(AND(T395=3,I394=""),Z392+Y394,IF(AND(Z392="",I392=""),I394+Y394,IF(AND(T395=3,I394&gt;0,Z392&gt;0),I394+Z392+Y394,IF(Z392="",I392+I394+X394+Y394,IF(I394="",Z392+X394+Y394,Z392+I394+X394+Y394))))))</f>
        <v/>
      </c>
      <c r="AA394" s="45" t="str">
        <f>IF(AB394="",""," 1/")</f>
        <v/>
      </c>
      <c r="AB394" s="91"/>
      <c r="AC394" s="30" t="str">
        <f>IF(S394="","",IF(T394="","",IF(T394=1,0.013,0.012)))</f>
        <v/>
      </c>
      <c r="AD394" s="31" t="str">
        <f>IF(S394="","",IF(T394="","",(1/AC394*(W394/100/2)^(8/3)*(1/AB394*100)^(1/2)*1.65696)*100))</f>
        <v/>
      </c>
      <c r="AE394" s="31" t="str">
        <f>IF(S394="","",IF(T394="","",1/AC394*(W394/100/2)^(2/3)*(1/AB394)^(1/2)*0.70541))</f>
        <v/>
      </c>
      <c r="AF394" s="31" t="str">
        <f>IF(S394="","",IF(T394="","",ROUNDDOWN(AD394/($U$3/8.64),3)))</f>
        <v/>
      </c>
      <c r="AG394" s="32" t="str">
        <f>IF(S394="","",IF(T394="","",ROUNDDOWN(AF394*10000/$AJ$3,0)))</f>
        <v/>
      </c>
      <c r="AH394" s="33" t="str">
        <f t="shared" si="2418"/>
        <v/>
      </c>
      <c r="AI394" s="41" t="str">
        <f>IF(S394="","",Z394)</f>
        <v/>
      </c>
      <c r="AJ394" s="43" t="str">
        <f>IF(S394="","",AI394*$AJ$3/10000)</f>
        <v/>
      </c>
      <c r="AK394" s="33" t="str">
        <f>IF(S394="","",IF(T394="","",IF(AND(T394=1,AE394&gt;1),"NG",IF(AH394="＞","OK","NG"))))</f>
        <v/>
      </c>
    </row>
    <row r="395" spans="1:37" ht="15.75" customHeight="1" x14ac:dyDescent="0.15">
      <c r="A395" s="92"/>
      <c r="B395" s="93"/>
      <c r="C395" s="59"/>
      <c r="D395" s="61"/>
      <c r="E395" s="94"/>
      <c r="F395" s="95"/>
      <c r="G395" s="95"/>
      <c r="H395" s="96"/>
      <c r="I395" s="54"/>
      <c r="J395" s="46"/>
      <c r="K395" s="97"/>
      <c r="L395" s="57"/>
      <c r="M395" s="44"/>
      <c r="N395" s="44"/>
      <c r="O395" s="42"/>
      <c r="P395" s="50"/>
      <c r="Q395" s="42"/>
      <c r="R395" s="52"/>
      <c r="S395" s="98"/>
      <c r="T395" s="99">
        <v>2</v>
      </c>
      <c r="U395" s="34" t="str">
        <f>IF(S394="","",IF(T394=T395,"〃",IF(T395=1,"素焼土管",IF(T395=2,"合成樹脂管",IF(T395=3,"無孔管","")))))</f>
        <v/>
      </c>
      <c r="V395" s="35"/>
      <c r="W395" s="100"/>
      <c r="X395" s="101"/>
      <c r="Y395" s="95"/>
      <c r="Z395" s="42"/>
      <c r="AA395" s="46"/>
      <c r="AB395" s="97"/>
      <c r="AC395" s="36" t="str">
        <f>IF(S394="","",IF(T395=1,0.013,0.012))</f>
        <v/>
      </c>
      <c r="AD395" s="37" t="str">
        <f>IF(S394="","",(1/AC395*(W395/100/2)^(8/3)*(1/AB394*100)^(1/2)*1.65696)*100)</f>
        <v/>
      </c>
      <c r="AE395" s="37" t="str">
        <f>IF(S394="","",1/AC395*(W395/100/2)^(2/3)*(1/AB394)^(1/2)*0.70541)</f>
        <v/>
      </c>
      <c r="AF395" s="37" t="str">
        <f>IF(S394="","",ROUNDDOWN(AD395/($U$3/8.64),3))</f>
        <v/>
      </c>
      <c r="AG395" s="38" t="str">
        <f>IF(S394="","",ROUNDDOWN(AF395*10000/$AJ$3,0))</f>
        <v/>
      </c>
      <c r="AH395" s="39" t="str">
        <f t="shared" ref="AH395" si="2450">IF(S394="","",IF(AG395&gt;AI394,"＞",IF(AG395=AI394,"=","＜")))</f>
        <v/>
      </c>
      <c r="AI395" s="42"/>
      <c r="AJ395" s="44"/>
      <c r="AK395" s="39" t="str">
        <f>IF(S394="","",IF(AND(T395=1,AE395&gt;1),"NG",IF(AH395="＞","OK","NG")))</f>
        <v/>
      </c>
    </row>
    <row r="396" spans="1:37" ht="15.75" customHeight="1" x14ac:dyDescent="0.15">
      <c r="A396" s="80"/>
      <c r="B396" s="81">
        <v>2</v>
      </c>
      <c r="C396" s="58" t="str">
        <f>IF(A396="","",IF(B396=1,"素　焼土　管",IF(B396=2,"合　成樹脂管",IF(B396=3,"無孔管",""))))</f>
        <v/>
      </c>
      <c r="D396" s="60"/>
      <c r="E396" s="82"/>
      <c r="F396" s="83"/>
      <c r="G396" s="83"/>
      <c r="H396" s="84"/>
      <c r="I396" s="53" t="str">
        <f>IF(A396="","",F396-G396+H396)</f>
        <v/>
      </c>
      <c r="J396" s="55" t="str">
        <f>IF(A396="",""," 1/")</f>
        <v/>
      </c>
      <c r="K396" s="85"/>
      <c r="L396" s="56" t="str">
        <f>IF(A396="","",IF(B396=1,0.013,0.012))</f>
        <v/>
      </c>
      <c r="M396" s="47" t="str">
        <f>IF(A396="","",(1/L396*(E396/100/2)^(8/3)*(1/K396*100)^(1/2)*1.65696)*100)</f>
        <v/>
      </c>
      <c r="N396" s="47" t="str">
        <f>IF(A396="","",1/L396*(E396/100/2)^(2/3)*(1/K396)^(1/2)*0.70541)</f>
        <v/>
      </c>
      <c r="O396" s="48" t="str">
        <f>IF(A396="","",ROUNDDOWN(M396/($U$3/8.64)*10000/$AJ$3,0))</f>
        <v/>
      </c>
      <c r="P396" s="49" t="str">
        <f>IF(A396="","",IF(O396&gt;Q396,"＞","＜"))</f>
        <v/>
      </c>
      <c r="Q396" s="48" t="str">
        <f>IF(A396="","",I396)</f>
        <v/>
      </c>
      <c r="R396" s="51" t="str">
        <f>IF(A396="","",IF(P396="＞","OK","NG"))</f>
        <v/>
      </c>
      <c r="S396" s="86"/>
      <c r="T396" s="87"/>
      <c r="U396" s="28" t="str">
        <f>IF(S396="","",IF(T396=1,"素焼土管",IF(T396=2,"合成樹脂管",IF(T396=3,"無孔管",""))))</f>
        <v/>
      </c>
      <c r="V396" s="29"/>
      <c r="W396" s="88"/>
      <c r="X396" s="89"/>
      <c r="Y396" s="90"/>
      <c r="Z396" s="41" t="str">
        <f>IF(S396="","",IF(AND(T397=3,I396=""),Z394+Y396,IF(AND(Z394="",I394=""),I396+Y396,IF(AND(T397=3,I396&gt;0,Z394&gt;0),I396+Z394+Y396,IF(Z394="",I394+I396+X396+Y396,IF(I396="",Z394+X396+Y396,Z394+I396+X396+Y396))))))</f>
        <v/>
      </c>
      <c r="AA396" s="45" t="str">
        <f>IF(AB396="",""," 1/")</f>
        <v/>
      </c>
      <c r="AB396" s="91"/>
      <c r="AC396" s="30" t="str">
        <f>IF(S396="","",IF(T396="","",IF(T396=1,0.013,0.012)))</f>
        <v/>
      </c>
      <c r="AD396" s="31" t="str">
        <f>IF(S396="","",IF(T396="","",(1/AC396*(W396/100/2)^(8/3)*(1/AB396*100)^(1/2)*1.65696)*100))</f>
        <v/>
      </c>
      <c r="AE396" s="31" t="str">
        <f>IF(S396="","",IF(T396="","",1/AC396*(W396/100/2)^(2/3)*(1/AB396)^(1/2)*0.70541))</f>
        <v/>
      </c>
      <c r="AF396" s="31" t="str">
        <f>IF(S396="","",IF(T396="","",ROUNDDOWN(AD396/($U$3/8.64),3)))</f>
        <v/>
      </c>
      <c r="AG396" s="32" t="str">
        <f>IF(S396="","",IF(T396="","",ROUNDDOWN(AF396*10000/$AJ$3,0)))</f>
        <v/>
      </c>
      <c r="AH396" s="33" t="str">
        <f t="shared" ref="AH396:AH458" si="2451">IF(S396="","",IF(T396="","",IF(AG396&gt;AI396,"＞","＜")))</f>
        <v/>
      </c>
      <c r="AI396" s="41" t="str">
        <f>IF(S396="","",Z396)</f>
        <v/>
      </c>
      <c r="AJ396" s="43" t="str">
        <f>IF(S396="","",AI396*$AJ$3/10000)</f>
        <v/>
      </c>
      <c r="AK396" s="33" t="str">
        <f>IF(S396="","",IF(T396="","",IF(AND(T396=1,AE396&gt;1),"NG",IF(AH396="＞","OK","NG"))))</f>
        <v/>
      </c>
    </row>
    <row r="397" spans="1:37" ht="15.75" customHeight="1" x14ac:dyDescent="0.15">
      <c r="A397" s="92"/>
      <c r="B397" s="93"/>
      <c r="C397" s="59"/>
      <c r="D397" s="61"/>
      <c r="E397" s="94"/>
      <c r="F397" s="95"/>
      <c r="G397" s="95"/>
      <c r="H397" s="96"/>
      <c r="I397" s="54"/>
      <c r="J397" s="46"/>
      <c r="K397" s="97"/>
      <c r="L397" s="57"/>
      <c r="M397" s="44"/>
      <c r="N397" s="44"/>
      <c r="O397" s="42"/>
      <c r="P397" s="50"/>
      <c r="Q397" s="42"/>
      <c r="R397" s="52"/>
      <c r="S397" s="98"/>
      <c r="T397" s="99">
        <v>2</v>
      </c>
      <c r="U397" s="34" t="str">
        <f>IF(S396="","",IF(T396=T397,"〃",IF(T397=1,"素焼土管",IF(T397=2,"合成樹脂管",IF(T397=3,"無孔管","")))))</f>
        <v/>
      </c>
      <c r="V397" s="35"/>
      <c r="W397" s="100"/>
      <c r="X397" s="101"/>
      <c r="Y397" s="95"/>
      <c r="Z397" s="42"/>
      <c r="AA397" s="46"/>
      <c r="AB397" s="97"/>
      <c r="AC397" s="36" t="str">
        <f>IF(S396="","",IF(T397=1,0.013,0.012))</f>
        <v/>
      </c>
      <c r="AD397" s="37" t="str">
        <f>IF(S396="","",(1/AC397*(W397/100/2)^(8/3)*(1/AB396*100)^(1/2)*1.65696)*100)</f>
        <v/>
      </c>
      <c r="AE397" s="37" t="str">
        <f>IF(S396="","",1/AC397*(W397/100/2)^(2/3)*(1/AB396)^(1/2)*0.70541)</f>
        <v/>
      </c>
      <c r="AF397" s="37" t="str">
        <f>IF(S396="","",ROUNDDOWN(AD397/($U$3/8.64),3))</f>
        <v/>
      </c>
      <c r="AG397" s="38" t="str">
        <f>IF(S396="","",ROUNDDOWN(AF397*10000/$AJ$3,0))</f>
        <v/>
      </c>
      <c r="AH397" s="39" t="str">
        <f t="shared" ref="AH397" si="2452">IF(S396="","",IF(AG397&gt;AI396,"＞",IF(AG397=AI396,"=","＜")))</f>
        <v/>
      </c>
      <c r="AI397" s="42"/>
      <c r="AJ397" s="44"/>
      <c r="AK397" s="39" t="str">
        <f>IF(S396="","",IF(AND(T397=1,AE397&gt;1),"NG",IF(AH397="＞","OK","NG")))</f>
        <v/>
      </c>
    </row>
    <row r="398" spans="1:37" ht="15.75" customHeight="1" x14ac:dyDescent="0.15">
      <c r="A398" s="80"/>
      <c r="B398" s="81">
        <v>2</v>
      </c>
      <c r="C398" s="58" t="str">
        <f>IF(A398="","",IF(B398=1,"素　焼土　管",IF(B398=2,"合　成樹脂管",IF(B398=3,"無孔管",""))))</f>
        <v/>
      </c>
      <c r="D398" s="60"/>
      <c r="E398" s="82"/>
      <c r="F398" s="83"/>
      <c r="G398" s="83"/>
      <c r="H398" s="84"/>
      <c r="I398" s="53" t="str">
        <f>IF(A398="","",F398-G398+H398)</f>
        <v/>
      </c>
      <c r="J398" s="55" t="str">
        <f>IF(A398="",""," 1/")</f>
        <v/>
      </c>
      <c r="K398" s="85"/>
      <c r="L398" s="56" t="str">
        <f>IF(A398="","",IF(B398=1,0.013,0.012))</f>
        <v/>
      </c>
      <c r="M398" s="47" t="str">
        <f>IF(A398="","",(1/L398*(E398/100/2)^(8/3)*(1/K398*100)^(1/2)*1.65696)*100)</f>
        <v/>
      </c>
      <c r="N398" s="47" t="str">
        <f>IF(A398="","",1/L398*(E398/100/2)^(2/3)*(1/K398)^(1/2)*0.70541)</f>
        <v/>
      </c>
      <c r="O398" s="48" t="str">
        <f>IF(A398="","",ROUNDDOWN(M398/($U$3/8.64)*10000/$AJ$3,0))</f>
        <v/>
      </c>
      <c r="P398" s="49" t="str">
        <f>IF(A398="","",IF(O398&gt;Q398,"＞","＜"))</f>
        <v/>
      </c>
      <c r="Q398" s="48" t="str">
        <f>IF(A398="","",I398)</f>
        <v/>
      </c>
      <c r="R398" s="51" t="str">
        <f>IF(A398="","",IF(P398="＞","OK","NG"))</f>
        <v/>
      </c>
      <c r="S398" s="86"/>
      <c r="T398" s="87"/>
      <c r="U398" s="28" t="str">
        <f>IF(S398="","",IF(T398=1,"素焼土管",IF(T398=2,"合成樹脂管",IF(T398=3,"無孔管",""))))</f>
        <v/>
      </c>
      <c r="V398" s="29"/>
      <c r="W398" s="88"/>
      <c r="X398" s="89"/>
      <c r="Y398" s="90"/>
      <c r="Z398" s="41" t="str">
        <f>IF(S398="","",IF(AND(T399=3,I398=""),Z396+Y398,IF(AND(Z396="",I396=""),I398+Y398,IF(AND(T399=3,I398&gt;0,Z396&gt;0),I398+Z396+Y398,IF(Z396="",I396+I398+X398+Y398,IF(I398="",Z396+X398+Y398,Z396+I398+X398+Y398))))))</f>
        <v/>
      </c>
      <c r="AA398" s="45" t="str">
        <f>IF(AB398="",""," 1/")</f>
        <v/>
      </c>
      <c r="AB398" s="91"/>
      <c r="AC398" s="30" t="str">
        <f>IF(S398="","",IF(T398="","",IF(T398=1,0.013,0.012)))</f>
        <v/>
      </c>
      <c r="AD398" s="31" t="str">
        <f>IF(S398="","",IF(T398="","",(1/AC398*(W398/100/2)^(8/3)*(1/AB398*100)^(1/2)*1.65696)*100))</f>
        <v/>
      </c>
      <c r="AE398" s="31" t="str">
        <f>IF(S398="","",IF(T398="","",1/AC398*(W398/100/2)^(2/3)*(1/AB398)^(1/2)*0.70541))</f>
        <v/>
      </c>
      <c r="AF398" s="31" t="str">
        <f>IF(S398="","",IF(T398="","",ROUNDDOWN(AD398/($U$3/8.64),3)))</f>
        <v/>
      </c>
      <c r="AG398" s="32" t="str">
        <f>IF(S398="","",IF(T398="","",ROUNDDOWN(AF398*10000/$AJ$3,0)))</f>
        <v/>
      </c>
      <c r="AH398" s="33" t="str">
        <f t="shared" si="2451"/>
        <v/>
      </c>
      <c r="AI398" s="41" t="str">
        <f>IF(S398="","",Z398)</f>
        <v/>
      </c>
      <c r="AJ398" s="43" t="str">
        <f>IF(S398="","",AI398*$AJ$3/10000)</f>
        <v/>
      </c>
      <c r="AK398" s="33" t="str">
        <f>IF(S398="","",IF(T398="","",IF(AND(T398=1,AE398&gt;1),"NG",IF(AH398="＞","OK","NG"))))</f>
        <v/>
      </c>
    </row>
    <row r="399" spans="1:37" ht="15.75" customHeight="1" x14ac:dyDescent="0.15">
      <c r="A399" s="92"/>
      <c r="B399" s="93"/>
      <c r="C399" s="59"/>
      <c r="D399" s="61"/>
      <c r="E399" s="94"/>
      <c r="F399" s="95"/>
      <c r="G399" s="95"/>
      <c r="H399" s="96"/>
      <c r="I399" s="54"/>
      <c r="J399" s="46"/>
      <c r="K399" s="97"/>
      <c r="L399" s="57"/>
      <c r="M399" s="44"/>
      <c r="N399" s="44"/>
      <c r="O399" s="42"/>
      <c r="P399" s="50"/>
      <c r="Q399" s="42"/>
      <c r="R399" s="52"/>
      <c r="S399" s="98"/>
      <c r="T399" s="99">
        <v>2</v>
      </c>
      <c r="U399" s="34" t="str">
        <f>IF(S398="","",IF(T398=T399,"〃",IF(T399=1,"素焼土管",IF(T399=2,"合成樹脂管",IF(T399=3,"無孔管","")))))</f>
        <v/>
      </c>
      <c r="V399" s="35"/>
      <c r="W399" s="100"/>
      <c r="X399" s="101"/>
      <c r="Y399" s="95"/>
      <c r="Z399" s="42"/>
      <c r="AA399" s="46"/>
      <c r="AB399" s="97"/>
      <c r="AC399" s="36" t="str">
        <f>IF(S398="","",IF(T399=1,0.013,0.012))</f>
        <v/>
      </c>
      <c r="AD399" s="37" t="str">
        <f>IF(S398="","",(1/AC399*(W399/100/2)^(8/3)*(1/AB398*100)^(1/2)*1.65696)*100)</f>
        <v/>
      </c>
      <c r="AE399" s="37" t="str">
        <f>IF(S398="","",1/AC399*(W399/100/2)^(2/3)*(1/AB398)^(1/2)*0.70541)</f>
        <v/>
      </c>
      <c r="AF399" s="37" t="str">
        <f>IF(S398="","",ROUNDDOWN(AD399/($U$3/8.64),3))</f>
        <v/>
      </c>
      <c r="AG399" s="38" t="str">
        <f>IF(S398="","",ROUNDDOWN(AF399*10000/$AJ$3,0))</f>
        <v/>
      </c>
      <c r="AH399" s="39" t="str">
        <f t="shared" ref="AH399" si="2453">IF(S398="","",IF(AG399&gt;AI398,"＞",IF(AG399=AI398,"=","＜")))</f>
        <v/>
      </c>
      <c r="AI399" s="42"/>
      <c r="AJ399" s="44"/>
      <c r="AK399" s="39" t="str">
        <f>IF(S398="","",IF(AND(T399=1,AE399&gt;1),"NG",IF(AH399="＞","OK","NG")))</f>
        <v/>
      </c>
    </row>
    <row r="400" spans="1:37" ht="15.75" customHeight="1" x14ac:dyDescent="0.15">
      <c r="A400" s="80"/>
      <c r="B400" s="81">
        <v>2</v>
      </c>
      <c r="C400" s="58" t="str">
        <f>IF(A400="","",IF(B400=1,"素　焼土　管",IF(B400=2,"合　成樹脂管",IF(B400=3,"無孔管",""))))</f>
        <v/>
      </c>
      <c r="D400" s="60"/>
      <c r="E400" s="82"/>
      <c r="F400" s="83"/>
      <c r="G400" s="83"/>
      <c r="H400" s="84"/>
      <c r="I400" s="53" t="str">
        <f>IF(A400="","",F400-G400+H400)</f>
        <v/>
      </c>
      <c r="J400" s="55" t="str">
        <f>IF(A400="",""," 1/")</f>
        <v/>
      </c>
      <c r="K400" s="85"/>
      <c r="L400" s="56" t="str">
        <f>IF(A400="","",IF(B400=1,0.013,0.012))</f>
        <v/>
      </c>
      <c r="M400" s="47" t="str">
        <f>IF(A400="","",(1/L400*(E400/100/2)^(8/3)*(1/K400*100)^(1/2)*1.65696)*100)</f>
        <v/>
      </c>
      <c r="N400" s="47" t="str">
        <f>IF(A400="","",1/L400*(E400/100/2)^(2/3)*(1/K400)^(1/2)*0.70541)</f>
        <v/>
      </c>
      <c r="O400" s="48" t="str">
        <f>IF(A400="","",ROUNDDOWN(M400/($U$3/8.64)*10000/$AJ$3,0))</f>
        <v/>
      </c>
      <c r="P400" s="49" t="str">
        <f>IF(A400="","",IF(O400&gt;Q400,"＞","＜"))</f>
        <v/>
      </c>
      <c r="Q400" s="48" t="str">
        <f>IF(A400="","",I400)</f>
        <v/>
      </c>
      <c r="R400" s="51" t="str">
        <f>IF(A400="","",IF(P400="＞","OK","NG"))</f>
        <v/>
      </c>
      <c r="S400" s="86"/>
      <c r="T400" s="87"/>
      <c r="U400" s="28" t="str">
        <f>IF(S400="","",IF(T400=1,"素焼土管",IF(T400=2,"合成樹脂管",IF(T400=3,"無孔管",""))))</f>
        <v/>
      </c>
      <c r="V400" s="29"/>
      <c r="W400" s="88"/>
      <c r="X400" s="89"/>
      <c r="Y400" s="90"/>
      <c r="Z400" s="41" t="str">
        <f>IF(S400="","",IF(AND(T401=3,I400=""),Z398+Y400,IF(AND(Z398="",I398=""),I400+Y400,IF(AND(T401=3,I400&gt;0,Z398&gt;0),I400+Z398+Y400,IF(Z398="",I398+I400+X400+Y400,IF(I400="",Z398+X400+Y400,Z398+I400+X400+Y400))))))</f>
        <v/>
      </c>
      <c r="AA400" s="45" t="str">
        <f>IF(AB400="",""," 1/")</f>
        <v/>
      </c>
      <c r="AB400" s="91"/>
      <c r="AC400" s="30" t="str">
        <f>IF(S400="","",IF(T400="","",IF(T400=1,0.013,0.012)))</f>
        <v/>
      </c>
      <c r="AD400" s="31" t="str">
        <f>IF(S400="","",IF(T400="","",(1/AC400*(W400/100/2)^(8/3)*(1/AB400*100)^(1/2)*1.65696)*100))</f>
        <v/>
      </c>
      <c r="AE400" s="31" t="str">
        <f>IF(S400="","",IF(T400="","",1/AC400*(W400/100/2)^(2/3)*(1/AB400)^(1/2)*0.70541))</f>
        <v/>
      </c>
      <c r="AF400" s="31" t="str">
        <f>IF(S400="","",IF(T400="","",ROUNDDOWN(AD400/($U$3/8.64),3)))</f>
        <v/>
      </c>
      <c r="AG400" s="32" t="str">
        <f>IF(S400="","",IF(T400="","",ROUNDDOWN(AF400*10000/$AJ$3,0)))</f>
        <v/>
      </c>
      <c r="AH400" s="33" t="str">
        <f t="shared" si="2451"/>
        <v/>
      </c>
      <c r="AI400" s="41" t="str">
        <f>IF(S400="","",Z400)</f>
        <v/>
      </c>
      <c r="AJ400" s="43" t="str">
        <f>IF(S400="","",AI400*$AJ$3/10000)</f>
        <v/>
      </c>
      <c r="AK400" s="33" t="str">
        <f>IF(S400="","",IF(T400="","",IF(AND(T400=1,AE400&gt;1),"NG",IF(AH400="＞","OK","NG"))))</f>
        <v/>
      </c>
    </row>
    <row r="401" spans="1:37" ht="15.75" customHeight="1" x14ac:dyDescent="0.15">
      <c r="A401" s="92"/>
      <c r="B401" s="93"/>
      <c r="C401" s="59"/>
      <c r="D401" s="61"/>
      <c r="E401" s="94"/>
      <c r="F401" s="95"/>
      <c r="G401" s="95"/>
      <c r="H401" s="96"/>
      <c r="I401" s="54"/>
      <c r="J401" s="46"/>
      <c r="K401" s="97"/>
      <c r="L401" s="57"/>
      <c r="M401" s="44"/>
      <c r="N401" s="44"/>
      <c r="O401" s="42"/>
      <c r="P401" s="50"/>
      <c r="Q401" s="42"/>
      <c r="R401" s="52"/>
      <c r="S401" s="98"/>
      <c r="T401" s="99">
        <v>2</v>
      </c>
      <c r="U401" s="34" t="str">
        <f>IF(S400="","",IF(T400=T401,"〃",IF(T401=1,"素焼土管",IF(T401=2,"合成樹脂管",IF(T401=3,"無孔管","")))))</f>
        <v/>
      </c>
      <c r="V401" s="35"/>
      <c r="W401" s="100"/>
      <c r="X401" s="101"/>
      <c r="Y401" s="95"/>
      <c r="Z401" s="42"/>
      <c r="AA401" s="46"/>
      <c r="AB401" s="97"/>
      <c r="AC401" s="36" t="str">
        <f>IF(S400="","",IF(T401=1,0.013,0.012))</f>
        <v/>
      </c>
      <c r="AD401" s="37" t="str">
        <f>IF(S400="","",(1/AC401*(W401/100/2)^(8/3)*(1/AB400*100)^(1/2)*1.65696)*100)</f>
        <v/>
      </c>
      <c r="AE401" s="37" t="str">
        <f>IF(S400="","",1/AC401*(W401/100/2)^(2/3)*(1/AB400)^(1/2)*0.70541)</f>
        <v/>
      </c>
      <c r="AF401" s="37" t="str">
        <f>IF(S400="","",ROUNDDOWN(AD401/($U$3/8.64),3))</f>
        <v/>
      </c>
      <c r="AG401" s="38" t="str">
        <f>IF(S400="","",ROUNDDOWN(AF401*10000/$AJ$3,0))</f>
        <v/>
      </c>
      <c r="AH401" s="39" t="str">
        <f t="shared" ref="AH401" si="2454">IF(S400="","",IF(AG401&gt;AI400,"＞",IF(AG401=AI400,"=","＜")))</f>
        <v/>
      </c>
      <c r="AI401" s="42"/>
      <c r="AJ401" s="44"/>
      <c r="AK401" s="39" t="str">
        <f>IF(S400="","",IF(AND(T401=1,AE401&gt;1),"NG",IF(AH401="＞","OK","NG")))</f>
        <v/>
      </c>
    </row>
    <row r="402" spans="1:37" ht="15.75" customHeight="1" x14ac:dyDescent="0.15">
      <c r="A402" s="80"/>
      <c r="B402" s="81">
        <v>2</v>
      </c>
      <c r="C402" s="58" t="str">
        <f>IF(A402="","",IF(B402=1,"素　焼土　管",IF(B402=2,"合　成樹脂管",IF(B402=3,"無孔管",""))))</f>
        <v/>
      </c>
      <c r="D402" s="60"/>
      <c r="E402" s="82"/>
      <c r="F402" s="83"/>
      <c r="G402" s="83"/>
      <c r="H402" s="84"/>
      <c r="I402" s="53" t="str">
        <f>IF(A402="","",F402-G402+H402)</f>
        <v/>
      </c>
      <c r="J402" s="55" t="str">
        <f>IF(A402="",""," 1/")</f>
        <v/>
      </c>
      <c r="K402" s="85"/>
      <c r="L402" s="56" t="str">
        <f>IF(A402="","",IF(B402=1,0.013,0.012))</f>
        <v/>
      </c>
      <c r="M402" s="47" t="str">
        <f>IF(A402="","",(1/L402*(E402/100/2)^(8/3)*(1/K402*100)^(1/2)*1.65696)*100)</f>
        <v/>
      </c>
      <c r="N402" s="47" t="str">
        <f>IF(A402="","",1/L402*(E402/100/2)^(2/3)*(1/K402)^(1/2)*0.70541)</f>
        <v/>
      </c>
      <c r="O402" s="48" t="str">
        <f>IF(A402="","",ROUNDDOWN(M402/($U$3/8.64)*10000/$AJ$3,0))</f>
        <v/>
      </c>
      <c r="P402" s="49" t="str">
        <f>IF(A402="","",IF(O402&gt;Q402,"＞","＜"))</f>
        <v/>
      </c>
      <c r="Q402" s="48" t="str">
        <f>IF(A402="","",I402)</f>
        <v/>
      </c>
      <c r="R402" s="51" t="str">
        <f>IF(A402="","",IF(P402="＞","OK","NG"))</f>
        <v/>
      </c>
      <c r="S402" s="86"/>
      <c r="T402" s="87"/>
      <c r="U402" s="28" t="str">
        <f>IF(S402="","",IF(T402=1,"素焼土管",IF(T402=2,"合成樹脂管",IF(T402=3,"無孔管",""))))</f>
        <v/>
      </c>
      <c r="V402" s="29"/>
      <c r="W402" s="88"/>
      <c r="X402" s="89"/>
      <c r="Y402" s="90"/>
      <c r="Z402" s="41" t="str">
        <f>IF(S402="","",IF(AND(T403=3,I402=""),Z400+Y402,IF(AND(Z400="",I400=""),I402+Y402,IF(AND(T403=3,I402&gt;0,Z400&gt;0),I402+Z400+Y402,IF(Z400="",I400+I402+X402+Y402,IF(I402="",Z400+X402+Y402,Z400+I402+X402+Y402))))))</f>
        <v/>
      </c>
      <c r="AA402" s="45" t="str">
        <f>IF(AB402="",""," 1/")</f>
        <v/>
      </c>
      <c r="AB402" s="91"/>
      <c r="AC402" s="30" t="str">
        <f>IF(S402="","",IF(T402="","",IF(T402=1,0.013,0.012)))</f>
        <v/>
      </c>
      <c r="AD402" s="31" t="str">
        <f>IF(S402="","",IF(T402="","",(1/AC402*(W402/100/2)^(8/3)*(1/AB402*100)^(1/2)*1.65696)*100))</f>
        <v/>
      </c>
      <c r="AE402" s="31" t="str">
        <f>IF(S402="","",IF(T402="","",1/AC402*(W402/100/2)^(2/3)*(1/AB402)^(1/2)*0.70541))</f>
        <v/>
      </c>
      <c r="AF402" s="31" t="str">
        <f>IF(S402="","",IF(T402="","",ROUNDDOWN(AD402/($U$3/8.64),3)))</f>
        <v/>
      </c>
      <c r="AG402" s="32" t="str">
        <f>IF(S402="","",IF(T402="","",ROUNDDOWN(AF402*10000/$AJ$3,0)))</f>
        <v/>
      </c>
      <c r="AH402" s="33" t="str">
        <f t="shared" si="2451"/>
        <v/>
      </c>
      <c r="AI402" s="41" t="str">
        <f>IF(S402="","",Z402)</f>
        <v/>
      </c>
      <c r="AJ402" s="43" t="str">
        <f>IF(S402="","",AI402*$AJ$3/10000)</f>
        <v/>
      </c>
      <c r="AK402" s="33" t="str">
        <f>IF(S402="","",IF(T402="","",IF(AND(T402=1,AE402&gt;1),"NG",IF(AH402="＞","OK","NG"))))</f>
        <v/>
      </c>
    </row>
    <row r="403" spans="1:37" ht="15.75" customHeight="1" x14ac:dyDescent="0.15">
      <c r="A403" s="92"/>
      <c r="B403" s="93"/>
      <c r="C403" s="59"/>
      <c r="D403" s="61"/>
      <c r="E403" s="94"/>
      <c r="F403" s="95"/>
      <c r="G403" s="95"/>
      <c r="H403" s="96"/>
      <c r="I403" s="54"/>
      <c r="J403" s="46"/>
      <c r="K403" s="97"/>
      <c r="L403" s="57"/>
      <c r="M403" s="44"/>
      <c r="N403" s="44"/>
      <c r="O403" s="42"/>
      <c r="P403" s="50"/>
      <c r="Q403" s="42"/>
      <c r="R403" s="52"/>
      <c r="S403" s="98"/>
      <c r="T403" s="99">
        <v>2</v>
      </c>
      <c r="U403" s="34" t="str">
        <f>IF(S402="","",IF(T402=T403,"〃",IF(T403=1,"素焼土管",IF(T403=2,"合成樹脂管",IF(T403=3,"無孔管","")))))</f>
        <v/>
      </c>
      <c r="V403" s="35"/>
      <c r="W403" s="100"/>
      <c r="X403" s="101"/>
      <c r="Y403" s="95"/>
      <c r="Z403" s="42"/>
      <c r="AA403" s="46"/>
      <c r="AB403" s="97"/>
      <c r="AC403" s="36" t="str">
        <f>IF(S402="","",IF(T403=1,0.013,0.012))</f>
        <v/>
      </c>
      <c r="AD403" s="37" t="str">
        <f>IF(S402="","",(1/AC403*(W403/100/2)^(8/3)*(1/AB402*100)^(1/2)*1.65696)*100)</f>
        <v/>
      </c>
      <c r="AE403" s="37" t="str">
        <f>IF(S402="","",1/AC403*(W403/100/2)^(2/3)*(1/AB402)^(1/2)*0.70541)</f>
        <v/>
      </c>
      <c r="AF403" s="37" t="str">
        <f>IF(S402="","",ROUNDDOWN(AD403/($U$3/8.64),3))</f>
        <v/>
      </c>
      <c r="AG403" s="38" t="str">
        <f>IF(S402="","",ROUNDDOWN(AF403*10000/$AJ$3,0))</f>
        <v/>
      </c>
      <c r="AH403" s="39" t="str">
        <f t="shared" ref="AH403" si="2455">IF(S402="","",IF(AG403&gt;AI402,"＞",IF(AG403=AI402,"=","＜")))</f>
        <v/>
      </c>
      <c r="AI403" s="42"/>
      <c r="AJ403" s="44"/>
      <c r="AK403" s="39" t="str">
        <f>IF(S402="","",IF(AND(T403=1,AE403&gt;1),"NG",IF(AH403="＞","OK","NG")))</f>
        <v/>
      </c>
    </row>
    <row r="404" spans="1:37" ht="15.75" customHeight="1" x14ac:dyDescent="0.15">
      <c r="A404" s="80"/>
      <c r="B404" s="81">
        <v>2</v>
      </c>
      <c r="C404" s="58" t="str">
        <f>IF(A404="","",IF(B404=1,"素　焼土　管",IF(B404=2,"合　成樹脂管",IF(B404=3,"無孔管",""))))</f>
        <v/>
      </c>
      <c r="D404" s="60"/>
      <c r="E404" s="82"/>
      <c r="F404" s="83"/>
      <c r="G404" s="83"/>
      <c r="H404" s="84"/>
      <c r="I404" s="53" t="str">
        <f>IF(A404="","",F404-G404+H404)</f>
        <v/>
      </c>
      <c r="J404" s="55" t="str">
        <f>IF(A404="",""," 1/")</f>
        <v/>
      </c>
      <c r="K404" s="85"/>
      <c r="L404" s="56" t="str">
        <f>IF(A404="","",IF(B404=1,0.013,0.012))</f>
        <v/>
      </c>
      <c r="M404" s="47" t="str">
        <f>IF(A404="","",(1/L404*(E404/100/2)^(8/3)*(1/K404*100)^(1/2)*1.65696)*100)</f>
        <v/>
      </c>
      <c r="N404" s="47" t="str">
        <f>IF(A404="","",1/L404*(E404/100/2)^(2/3)*(1/K404)^(1/2)*0.70541)</f>
        <v/>
      </c>
      <c r="O404" s="48" t="str">
        <f>IF(A404="","",ROUNDDOWN(M404/($U$3/8.64)*10000/$AJ$3,0))</f>
        <v/>
      </c>
      <c r="P404" s="49" t="str">
        <f>IF(A404="","",IF(O404&gt;Q404,"＞","＜"))</f>
        <v/>
      </c>
      <c r="Q404" s="48" t="str">
        <f>IF(A404="","",I404)</f>
        <v/>
      </c>
      <c r="R404" s="51" t="str">
        <f>IF(A404="","",IF(P404="＞","OK","NG"))</f>
        <v/>
      </c>
      <c r="S404" s="86"/>
      <c r="T404" s="87"/>
      <c r="U404" s="28" t="str">
        <f>IF(S404="","",IF(T404=1,"素焼土管",IF(T404=2,"合成樹脂管",IF(T404=3,"無孔管",""))))</f>
        <v/>
      </c>
      <c r="V404" s="29"/>
      <c r="W404" s="88"/>
      <c r="X404" s="89"/>
      <c r="Y404" s="90"/>
      <c r="Z404" s="41" t="str">
        <f>IF(S404="","",IF(AND(T405=3,I404=""),Z402+Y404,IF(AND(Z402="",I402=""),I404+Y404,IF(AND(T405=3,I404&gt;0,Z402&gt;0),I404+Z402+Y404,IF(Z402="",I402+I404+X404+Y404,IF(I404="",Z402+X404+Y404,Z402+I404+X404+Y404))))))</f>
        <v/>
      </c>
      <c r="AA404" s="45" t="str">
        <f>IF(AB404="",""," 1/")</f>
        <v/>
      </c>
      <c r="AB404" s="91"/>
      <c r="AC404" s="30" t="str">
        <f>IF(S404="","",IF(T404="","",IF(T404=1,0.013,0.012)))</f>
        <v/>
      </c>
      <c r="AD404" s="31" t="str">
        <f>IF(S404="","",IF(T404="","",(1/AC404*(W404/100/2)^(8/3)*(1/AB404*100)^(1/2)*1.65696)*100))</f>
        <v/>
      </c>
      <c r="AE404" s="31" t="str">
        <f>IF(S404="","",IF(T404="","",1/AC404*(W404/100/2)^(2/3)*(1/AB404)^(1/2)*0.70541))</f>
        <v/>
      </c>
      <c r="AF404" s="31" t="str">
        <f>IF(S404="","",IF(T404="","",ROUNDDOWN(AD404/($U$3/8.64),3)))</f>
        <v/>
      </c>
      <c r="AG404" s="32" t="str">
        <f>IF(S404="","",IF(T404="","",ROUNDDOWN(AF404*10000/$AJ$3,0)))</f>
        <v/>
      </c>
      <c r="AH404" s="33" t="str">
        <f t="shared" si="2451"/>
        <v/>
      </c>
      <c r="AI404" s="41" t="str">
        <f>IF(S404="","",Z404)</f>
        <v/>
      </c>
      <c r="AJ404" s="43" t="str">
        <f>IF(S404="","",AI404*$AJ$3/10000)</f>
        <v/>
      </c>
      <c r="AK404" s="33" t="str">
        <f>IF(S404="","",IF(T404="","",IF(AND(T404=1,AE404&gt;1),"NG",IF(AH404="＞","OK","NG"))))</f>
        <v/>
      </c>
    </row>
    <row r="405" spans="1:37" ht="15.75" customHeight="1" x14ac:dyDescent="0.15">
      <c r="A405" s="92"/>
      <c r="B405" s="93"/>
      <c r="C405" s="59"/>
      <c r="D405" s="61"/>
      <c r="E405" s="94"/>
      <c r="F405" s="95"/>
      <c r="G405" s="95"/>
      <c r="H405" s="96"/>
      <c r="I405" s="54"/>
      <c r="J405" s="46"/>
      <c r="K405" s="97"/>
      <c r="L405" s="57"/>
      <c r="M405" s="44"/>
      <c r="N405" s="44"/>
      <c r="O405" s="42"/>
      <c r="P405" s="50"/>
      <c r="Q405" s="42"/>
      <c r="R405" s="52"/>
      <c r="S405" s="98"/>
      <c r="T405" s="99">
        <v>2</v>
      </c>
      <c r="U405" s="34" t="str">
        <f>IF(S404="","",IF(T404=T405,"〃",IF(T405=1,"素焼土管",IF(T405=2,"合成樹脂管",IF(T405=3,"無孔管","")))))</f>
        <v/>
      </c>
      <c r="V405" s="35"/>
      <c r="W405" s="100"/>
      <c r="X405" s="101"/>
      <c r="Y405" s="95"/>
      <c r="Z405" s="42"/>
      <c r="AA405" s="46"/>
      <c r="AB405" s="97"/>
      <c r="AC405" s="36" t="str">
        <f>IF(S404="","",IF(T405=1,0.013,0.012))</f>
        <v/>
      </c>
      <c r="AD405" s="37" t="str">
        <f>IF(S404="","",(1/AC405*(W405/100/2)^(8/3)*(1/AB404*100)^(1/2)*1.65696)*100)</f>
        <v/>
      </c>
      <c r="AE405" s="37" t="str">
        <f>IF(S404="","",1/AC405*(W405/100/2)^(2/3)*(1/AB404)^(1/2)*0.70541)</f>
        <v/>
      </c>
      <c r="AF405" s="37" t="str">
        <f>IF(S404="","",ROUNDDOWN(AD405/($U$3/8.64),3))</f>
        <v/>
      </c>
      <c r="AG405" s="38" t="str">
        <f>IF(S404="","",ROUNDDOWN(AF405*10000/$AJ$3,0))</f>
        <v/>
      </c>
      <c r="AH405" s="39" t="str">
        <f t="shared" ref="AH405" si="2456">IF(S404="","",IF(AG405&gt;AI404,"＞",IF(AG405=AI404,"=","＜")))</f>
        <v/>
      </c>
      <c r="AI405" s="42"/>
      <c r="AJ405" s="44"/>
      <c r="AK405" s="39" t="str">
        <f>IF(S404="","",IF(AND(T405=1,AE405&gt;1),"NG",IF(AH405="＞","OK","NG")))</f>
        <v/>
      </c>
    </row>
    <row r="406" spans="1:37" ht="15.75" customHeight="1" x14ac:dyDescent="0.15">
      <c r="A406" s="80"/>
      <c r="B406" s="81">
        <v>2</v>
      </c>
      <c r="C406" s="58" t="str">
        <f>IF(A406="","",IF(B406=1,"素　焼土　管",IF(B406=2,"合　成樹脂管",IF(B406=3,"無孔管",""))))</f>
        <v/>
      </c>
      <c r="D406" s="60"/>
      <c r="E406" s="82"/>
      <c r="F406" s="83"/>
      <c r="G406" s="83"/>
      <c r="H406" s="84"/>
      <c r="I406" s="53" t="str">
        <f>IF(A406="","",F406-G406+H406)</f>
        <v/>
      </c>
      <c r="J406" s="55" t="str">
        <f>IF(A406="",""," 1/")</f>
        <v/>
      </c>
      <c r="K406" s="85"/>
      <c r="L406" s="56" t="str">
        <f>IF(A406="","",IF(B406=1,0.013,0.012))</f>
        <v/>
      </c>
      <c r="M406" s="47" t="str">
        <f>IF(A406="","",(1/L406*(E406/100/2)^(8/3)*(1/K406*100)^(1/2)*1.65696)*100)</f>
        <v/>
      </c>
      <c r="N406" s="47" t="str">
        <f>IF(A406="","",1/L406*(E406/100/2)^(2/3)*(1/K406)^(1/2)*0.70541)</f>
        <v/>
      </c>
      <c r="O406" s="48" t="str">
        <f>IF(A406="","",ROUNDDOWN(M406/($U$3/8.64)*10000/$AJ$3,0))</f>
        <v/>
      </c>
      <c r="P406" s="49" t="str">
        <f>IF(A406="","",IF(O406&gt;Q406,"＞","＜"))</f>
        <v/>
      </c>
      <c r="Q406" s="48" t="str">
        <f>IF(A406="","",I406)</f>
        <v/>
      </c>
      <c r="R406" s="51" t="str">
        <f>IF(A406="","",IF(P406="＞","OK","NG"))</f>
        <v/>
      </c>
      <c r="S406" s="86"/>
      <c r="T406" s="87"/>
      <c r="U406" s="28" t="str">
        <f>IF(S406="","",IF(T406=1,"素焼土管",IF(T406=2,"合成樹脂管",IF(T406=3,"無孔管",""))))</f>
        <v/>
      </c>
      <c r="V406" s="29"/>
      <c r="W406" s="88"/>
      <c r="X406" s="89"/>
      <c r="Y406" s="90"/>
      <c r="Z406" s="41" t="str">
        <f>IF(S406="","",IF(AND(T407=3,I406=""),Z404+Y406,IF(AND(Z404="",I404=""),I406+Y406,IF(AND(T407=3,I406&gt;0,Z404&gt;0),I406+Z404+Y406,IF(Z404="",I404+I406+X406+Y406,IF(I406="",Z404+X406+Y406,Z404+I406+X406+Y406))))))</f>
        <v/>
      </c>
      <c r="AA406" s="45" t="str">
        <f>IF(AB406="",""," 1/")</f>
        <v/>
      </c>
      <c r="AB406" s="91"/>
      <c r="AC406" s="30" t="str">
        <f>IF(S406="","",IF(T406="","",IF(T406=1,0.013,0.012)))</f>
        <v/>
      </c>
      <c r="AD406" s="31" t="str">
        <f>IF(S406="","",IF(T406="","",(1/AC406*(W406/100/2)^(8/3)*(1/AB406*100)^(1/2)*1.65696)*100))</f>
        <v/>
      </c>
      <c r="AE406" s="31" t="str">
        <f>IF(S406="","",IF(T406="","",1/AC406*(W406/100/2)^(2/3)*(1/AB406)^(1/2)*0.70541))</f>
        <v/>
      </c>
      <c r="AF406" s="31" t="str">
        <f>IF(S406="","",IF(T406="","",ROUNDDOWN(AD406/($U$3/8.64),3)))</f>
        <v/>
      </c>
      <c r="AG406" s="32" t="str">
        <f>IF(S406="","",IF(T406="","",ROUNDDOWN(AF406*10000/$AJ$3,0)))</f>
        <v/>
      </c>
      <c r="AH406" s="33" t="str">
        <f t="shared" si="2451"/>
        <v/>
      </c>
      <c r="AI406" s="41" t="str">
        <f>IF(S406="","",Z406)</f>
        <v/>
      </c>
      <c r="AJ406" s="43" t="str">
        <f>IF(S406="","",AI406*$AJ$3/10000)</f>
        <v/>
      </c>
      <c r="AK406" s="33" t="str">
        <f>IF(S406="","",IF(T406="","",IF(AND(T406=1,AE406&gt;1),"NG",IF(AH406="＞","OK","NG"))))</f>
        <v/>
      </c>
    </row>
    <row r="407" spans="1:37" ht="15.75" customHeight="1" x14ac:dyDescent="0.15">
      <c r="A407" s="92"/>
      <c r="B407" s="93"/>
      <c r="C407" s="59"/>
      <c r="D407" s="61"/>
      <c r="E407" s="94"/>
      <c r="F407" s="95"/>
      <c r="G407" s="95"/>
      <c r="H407" s="96"/>
      <c r="I407" s="54"/>
      <c r="J407" s="46"/>
      <c r="K407" s="97"/>
      <c r="L407" s="57"/>
      <c r="M407" s="44"/>
      <c r="N407" s="44"/>
      <c r="O407" s="42"/>
      <c r="P407" s="50"/>
      <c r="Q407" s="42"/>
      <c r="R407" s="52"/>
      <c r="S407" s="98"/>
      <c r="T407" s="99">
        <v>2</v>
      </c>
      <c r="U407" s="34" t="str">
        <f>IF(S406="","",IF(T406=T407,"〃",IF(T407=1,"素焼土管",IF(T407=2,"合成樹脂管",IF(T407=3,"無孔管","")))))</f>
        <v/>
      </c>
      <c r="V407" s="35"/>
      <c r="W407" s="100"/>
      <c r="X407" s="101"/>
      <c r="Y407" s="95"/>
      <c r="Z407" s="42"/>
      <c r="AA407" s="46"/>
      <c r="AB407" s="97"/>
      <c r="AC407" s="36" t="str">
        <f>IF(S406="","",IF(T407=1,0.013,0.012))</f>
        <v/>
      </c>
      <c r="AD407" s="37" t="str">
        <f>IF(S406="","",(1/AC407*(W407/100/2)^(8/3)*(1/AB406*100)^(1/2)*1.65696)*100)</f>
        <v/>
      </c>
      <c r="AE407" s="37" t="str">
        <f>IF(S406="","",1/AC407*(W407/100/2)^(2/3)*(1/AB406)^(1/2)*0.70541)</f>
        <v/>
      </c>
      <c r="AF407" s="37" t="str">
        <f>IF(S406="","",ROUNDDOWN(AD407/($U$3/8.64),3))</f>
        <v/>
      </c>
      <c r="AG407" s="38" t="str">
        <f>IF(S406="","",ROUNDDOWN(AF407*10000/$AJ$3,0))</f>
        <v/>
      </c>
      <c r="AH407" s="39" t="str">
        <f t="shared" ref="AH407" si="2457">IF(S406="","",IF(AG407&gt;AI406,"＞",IF(AG407=AI406,"=","＜")))</f>
        <v/>
      </c>
      <c r="AI407" s="42"/>
      <c r="AJ407" s="44"/>
      <c r="AK407" s="39" t="str">
        <f>IF(S406="","",IF(AND(T407=1,AE407&gt;1),"NG",IF(AH407="＞","OK","NG")))</f>
        <v/>
      </c>
    </row>
    <row r="408" spans="1:37" ht="15.75" customHeight="1" x14ac:dyDescent="0.15">
      <c r="A408" s="80"/>
      <c r="B408" s="81">
        <v>2</v>
      </c>
      <c r="C408" s="58" t="str">
        <f>IF(A408="","",IF(B408=1,"素　焼土　管",IF(B408=2,"合　成樹脂管",IF(B408=3,"無孔管",""))))</f>
        <v/>
      </c>
      <c r="D408" s="60"/>
      <c r="E408" s="82"/>
      <c r="F408" s="83"/>
      <c r="G408" s="83"/>
      <c r="H408" s="84"/>
      <c r="I408" s="53" t="str">
        <f>IF(A408="","",F408-G408+H408)</f>
        <v/>
      </c>
      <c r="J408" s="55" t="str">
        <f>IF(A408="",""," 1/")</f>
        <v/>
      </c>
      <c r="K408" s="85"/>
      <c r="L408" s="56" t="str">
        <f>IF(A408="","",IF(B408=1,0.013,0.012))</f>
        <v/>
      </c>
      <c r="M408" s="47" t="str">
        <f>IF(A408="","",(1/L408*(E408/100/2)^(8/3)*(1/K408*100)^(1/2)*1.65696)*100)</f>
        <v/>
      </c>
      <c r="N408" s="47" t="str">
        <f>IF(A408="","",1/L408*(E408/100/2)^(2/3)*(1/K408)^(1/2)*0.70541)</f>
        <v/>
      </c>
      <c r="O408" s="48" t="str">
        <f>IF(A408="","",ROUNDDOWN(M408/($U$3/8.64)*10000/$AJ$3,0))</f>
        <v/>
      </c>
      <c r="P408" s="49" t="str">
        <f>IF(A408="","",IF(O408&gt;Q408,"＞","＜"))</f>
        <v/>
      </c>
      <c r="Q408" s="48" t="str">
        <f>IF(A408="","",I408)</f>
        <v/>
      </c>
      <c r="R408" s="51" t="str">
        <f>IF(A408="","",IF(P408="＞","OK","NG"))</f>
        <v/>
      </c>
      <c r="S408" s="86"/>
      <c r="T408" s="87"/>
      <c r="U408" s="28" t="str">
        <f>IF(S408="","",IF(T408=1,"素焼土管",IF(T408=2,"合成樹脂管",IF(T408=3,"無孔管",""))))</f>
        <v/>
      </c>
      <c r="V408" s="29"/>
      <c r="W408" s="88"/>
      <c r="X408" s="89"/>
      <c r="Y408" s="90"/>
      <c r="Z408" s="41" t="str">
        <f>IF(S408="","",IF(AND(T409=3,I408=""),Z406+Y408,IF(AND(Z406="",I406=""),I408+Y408,IF(AND(T409=3,I408&gt;0,Z406&gt;0),I408+Z406+Y408,IF(Z406="",I406+I408+X408+Y408,IF(I408="",Z406+X408+Y408,Z406+I408+X408+Y408))))))</f>
        <v/>
      </c>
      <c r="AA408" s="45" t="str">
        <f>IF(AB408="",""," 1/")</f>
        <v/>
      </c>
      <c r="AB408" s="91"/>
      <c r="AC408" s="30" t="str">
        <f>IF(S408="","",IF(T408="","",IF(T408=1,0.013,0.012)))</f>
        <v/>
      </c>
      <c r="AD408" s="31" t="str">
        <f>IF(S408="","",IF(T408="","",(1/AC408*(W408/100/2)^(8/3)*(1/AB408*100)^(1/2)*1.65696)*100))</f>
        <v/>
      </c>
      <c r="AE408" s="31" t="str">
        <f>IF(S408="","",IF(T408="","",1/AC408*(W408/100/2)^(2/3)*(1/AB408)^(1/2)*0.70541))</f>
        <v/>
      </c>
      <c r="AF408" s="31" t="str">
        <f>IF(S408="","",IF(T408="","",ROUNDDOWN(AD408/($U$3/8.64),3)))</f>
        <v/>
      </c>
      <c r="AG408" s="32" t="str">
        <f>IF(S408="","",IF(T408="","",ROUNDDOWN(AF408*10000/$AJ$3,0)))</f>
        <v/>
      </c>
      <c r="AH408" s="33" t="str">
        <f t="shared" si="2451"/>
        <v/>
      </c>
      <c r="AI408" s="41" t="str">
        <f>IF(S408="","",Z408)</f>
        <v/>
      </c>
      <c r="AJ408" s="43" t="str">
        <f>IF(S408="","",AI408*$AJ$3/10000)</f>
        <v/>
      </c>
      <c r="AK408" s="33" t="str">
        <f>IF(S408="","",IF(T408="","",IF(AND(T408=1,AE408&gt;1),"NG",IF(AH408="＞","OK","NG"))))</f>
        <v/>
      </c>
    </row>
    <row r="409" spans="1:37" ht="15.75" customHeight="1" x14ac:dyDescent="0.15">
      <c r="A409" s="92"/>
      <c r="B409" s="93"/>
      <c r="C409" s="59"/>
      <c r="D409" s="61"/>
      <c r="E409" s="94"/>
      <c r="F409" s="95"/>
      <c r="G409" s="95"/>
      <c r="H409" s="96"/>
      <c r="I409" s="54"/>
      <c r="J409" s="46"/>
      <c r="K409" s="97"/>
      <c r="L409" s="57"/>
      <c r="M409" s="44"/>
      <c r="N409" s="44"/>
      <c r="O409" s="42"/>
      <c r="P409" s="50"/>
      <c r="Q409" s="42"/>
      <c r="R409" s="52"/>
      <c r="S409" s="98"/>
      <c r="T409" s="99">
        <v>2</v>
      </c>
      <c r="U409" s="34" t="str">
        <f>IF(S408="","",IF(T408=T409,"〃",IF(T409=1,"素焼土管",IF(T409=2,"合成樹脂管",IF(T409=3,"無孔管","")))))</f>
        <v/>
      </c>
      <c r="V409" s="35"/>
      <c r="W409" s="100"/>
      <c r="X409" s="101"/>
      <c r="Y409" s="95"/>
      <c r="Z409" s="42"/>
      <c r="AA409" s="46"/>
      <c r="AB409" s="97"/>
      <c r="AC409" s="36" t="str">
        <f>IF(S408="","",IF(T409=1,0.013,0.012))</f>
        <v/>
      </c>
      <c r="AD409" s="37" t="str">
        <f>IF(S408="","",(1/AC409*(W409/100/2)^(8/3)*(1/AB408*100)^(1/2)*1.65696)*100)</f>
        <v/>
      </c>
      <c r="AE409" s="37" t="str">
        <f>IF(S408="","",1/AC409*(W409/100/2)^(2/3)*(1/AB408)^(1/2)*0.70541)</f>
        <v/>
      </c>
      <c r="AF409" s="37" t="str">
        <f>IF(S408="","",ROUNDDOWN(AD409/($U$3/8.64),3))</f>
        <v/>
      </c>
      <c r="AG409" s="38" t="str">
        <f>IF(S408="","",ROUNDDOWN(AF409*10000/$AJ$3,0))</f>
        <v/>
      </c>
      <c r="AH409" s="39" t="str">
        <f t="shared" ref="AH409" si="2458">IF(S408="","",IF(AG409&gt;AI408,"＞",IF(AG409=AI408,"=","＜")))</f>
        <v/>
      </c>
      <c r="AI409" s="42"/>
      <c r="AJ409" s="44"/>
      <c r="AK409" s="39" t="str">
        <f>IF(S408="","",IF(AND(T409=1,AE409&gt;1),"NG",IF(AH409="＞","OK","NG")))</f>
        <v/>
      </c>
    </row>
    <row r="410" spans="1:37" ht="15.75" customHeight="1" x14ac:dyDescent="0.15">
      <c r="A410" s="80"/>
      <c r="B410" s="81">
        <v>2</v>
      </c>
      <c r="C410" s="58" t="str">
        <f>IF(A410="","",IF(B410=1,"素　焼土　管",IF(B410=2,"合　成樹脂管",IF(B410=3,"無孔管",""))))</f>
        <v/>
      </c>
      <c r="D410" s="60"/>
      <c r="E410" s="82"/>
      <c r="F410" s="83"/>
      <c r="G410" s="83"/>
      <c r="H410" s="84"/>
      <c r="I410" s="53" t="str">
        <f>IF(A410="","",F410-G410+H410)</f>
        <v/>
      </c>
      <c r="J410" s="55" t="str">
        <f>IF(A410="",""," 1/")</f>
        <v/>
      </c>
      <c r="K410" s="85"/>
      <c r="L410" s="56" t="str">
        <f>IF(A410="","",IF(B410=1,0.013,0.012))</f>
        <v/>
      </c>
      <c r="M410" s="47" t="str">
        <f>IF(A410="","",(1/L410*(E410/100/2)^(8/3)*(1/K410*100)^(1/2)*1.65696)*100)</f>
        <v/>
      </c>
      <c r="N410" s="47" t="str">
        <f>IF(A410="","",1/L410*(E410/100/2)^(2/3)*(1/K410)^(1/2)*0.70541)</f>
        <v/>
      </c>
      <c r="O410" s="48" t="str">
        <f>IF(A410="","",ROUNDDOWN(M410/($U$3/8.64)*10000/$AJ$3,0))</f>
        <v/>
      </c>
      <c r="P410" s="49" t="str">
        <f>IF(A410="","",IF(O410&gt;Q410,"＞","＜"))</f>
        <v/>
      </c>
      <c r="Q410" s="48" t="str">
        <f>IF(A410="","",I410)</f>
        <v/>
      </c>
      <c r="R410" s="51" t="str">
        <f>IF(A410="","",IF(P410="＞","OK","NG"))</f>
        <v/>
      </c>
      <c r="S410" s="86"/>
      <c r="T410" s="87"/>
      <c r="U410" s="28" t="str">
        <f>IF(S410="","",IF(T410=1,"素焼土管",IF(T410=2,"合成樹脂管",IF(T410=3,"無孔管",""))))</f>
        <v/>
      </c>
      <c r="V410" s="29"/>
      <c r="W410" s="88"/>
      <c r="X410" s="89"/>
      <c r="Y410" s="90"/>
      <c r="Z410" s="41" t="str">
        <f>IF(S410="","",IF(AND(T411=3,I410=""),Z408+Y410,IF(AND(Z408="",I408=""),I410+Y410,IF(AND(T411=3,I410&gt;0,Z408&gt;0),I410+Z408+Y410,IF(Z408="",I408+I410+X410+Y410,IF(I410="",Z408+X410+Y410,Z408+I410+X410+Y410))))))</f>
        <v/>
      </c>
      <c r="AA410" s="45" t="str">
        <f>IF(AB410="",""," 1/")</f>
        <v/>
      </c>
      <c r="AB410" s="91"/>
      <c r="AC410" s="30" t="str">
        <f>IF(S410="","",IF(T410="","",IF(T410=1,0.013,0.012)))</f>
        <v/>
      </c>
      <c r="AD410" s="31" t="str">
        <f>IF(S410="","",IF(T410="","",(1/AC410*(W410/100/2)^(8/3)*(1/AB410*100)^(1/2)*1.65696)*100))</f>
        <v/>
      </c>
      <c r="AE410" s="31" t="str">
        <f>IF(S410="","",IF(T410="","",1/AC410*(W410/100/2)^(2/3)*(1/AB410)^(1/2)*0.70541))</f>
        <v/>
      </c>
      <c r="AF410" s="31" t="str">
        <f>IF(S410="","",IF(T410="","",ROUNDDOWN(AD410/($U$3/8.64),3)))</f>
        <v/>
      </c>
      <c r="AG410" s="32" t="str">
        <f>IF(S410="","",IF(T410="","",ROUNDDOWN(AF410*10000/$AJ$3,0)))</f>
        <v/>
      </c>
      <c r="AH410" s="33" t="str">
        <f t="shared" si="2451"/>
        <v/>
      </c>
      <c r="AI410" s="41" t="str">
        <f>IF(S410="","",Z410)</f>
        <v/>
      </c>
      <c r="AJ410" s="43" t="str">
        <f>IF(S410="","",AI410*$AJ$3/10000)</f>
        <v/>
      </c>
      <c r="AK410" s="33" t="str">
        <f>IF(S410="","",IF(T410="","",IF(AND(T410=1,AE410&gt;1),"NG",IF(AH410="＞","OK","NG"))))</f>
        <v/>
      </c>
    </row>
    <row r="411" spans="1:37" ht="15.75" customHeight="1" x14ac:dyDescent="0.15">
      <c r="A411" s="92"/>
      <c r="B411" s="93"/>
      <c r="C411" s="59"/>
      <c r="D411" s="61"/>
      <c r="E411" s="94"/>
      <c r="F411" s="95"/>
      <c r="G411" s="95"/>
      <c r="H411" s="96"/>
      <c r="I411" s="54"/>
      <c r="J411" s="46"/>
      <c r="K411" s="97"/>
      <c r="L411" s="57"/>
      <c r="M411" s="44"/>
      <c r="N411" s="44"/>
      <c r="O411" s="42"/>
      <c r="P411" s="50"/>
      <c r="Q411" s="42"/>
      <c r="R411" s="52"/>
      <c r="S411" s="98"/>
      <c r="T411" s="99">
        <v>2</v>
      </c>
      <c r="U411" s="34" t="str">
        <f>IF(S410="","",IF(T410=T411,"〃",IF(T411=1,"素焼土管",IF(T411=2,"合成樹脂管",IF(T411=3,"無孔管","")))))</f>
        <v/>
      </c>
      <c r="V411" s="35"/>
      <c r="W411" s="100"/>
      <c r="X411" s="101"/>
      <c r="Y411" s="95"/>
      <c r="Z411" s="42"/>
      <c r="AA411" s="46"/>
      <c r="AB411" s="97"/>
      <c r="AC411" s="36" t="str">
        <f>IF(S410="","",IF(T411=1,0.013,0.012))</f>
        <v/>
      </c>
      <c r="AD411" s="37" t="str">
        <f>IF(S410="","",(1/AC411*(W411/100/2)^(8/3)*(1/AB410*100)^(1/2)*1.65696)*100)</f>
        <v/>
      </c>
      <c r="AE411" s="37" t="str">
        <f>IF(S410="","",1/AC411*(W411/100/2)^(2/3)*(1/AB410)^(1/2)*0.70541)</f>
        <v/>
      </c>
      <c r="AF411" s="37" t="str">
        <f>IF(S410="","",ROUNDDOWN(AD411/($U$3/8.64),3))</f>
        <v/>
      </c>
      <c r="AG411" s="38" t="str">
        <f>IF(S410="","",ROUNDDOWN(AF411*10000/$AJ$3,0))</f>
        <v/>
      </c>
      <c r="AH411" s="39" t="str">
        <f t="shared" ref="AH411" si="2459">IF(S410="","",IF(AG411&gt;AI410,"＞",IF(AG411=AI410,"=","＜")))</f>
        <v/>
      </c>
      <c r="AI411" s="42"/>
      <c r="AJ411" s="44"/>
      <c r="AK411" s="39" t="str">
        <f>IF(S410="","",IF(AND(T411=1,AE411&gt;1),"NG",IF(AH411="＞","OK","NG")))</f>
        <v/>
      </c>
    </row>
    <row r="412" spans="1:37" ht="15.75" customHeight="1" x14ac:dyDescent="0.15">
      <c r="A412" s="80"/>
      <c r="B412" s="81">
        <v>2</v>
      </c>
      <c r="C412" s="58" t="str">
        <f>IF(A412="","",IF(B412=1,"素　焼土　管",IF(B412=2,"合　成樹脂管",IF(B412=3,"無孔管",""))))</f>
        <v/>
      </c>
      <c r="D412" s="60"/>
      <c r="E412" s="82"/>
      <c r="F412" s="83"/>
      <c r="G412" s="83"/>
      <c r="H412" s="84"/>
      <c r="I412" s="53" t="str">
        <f>IF(A412="","",F412-G412+H412)</f>
        <v/>
      </c>
      <c r="J412" s="55" t="str">
        <f>IF(A412="",""," 1/")</f>
        <v/>
      </c>
      <c r="K412" s="85"/>
      <c r="L412" s="56" t="str">
        <f>IF(A412="","",IF(B412=1,0.013,0.012))</f>
        <v/>
      </c>
      <c r="M412" s="47" t="str">
        <f>IF(A412="","",(1/L412*(E412/100/2)^(8/3)*(1/K412*100)^(1/2)*1.65696)*100)</f>
        <v/>
      </c>
      <c r="N412" s="47" t="str">
        <f>IF(A412="","",1/L412*(E412/100/2)^(2/3)*(1/K412)^(1/2)*0.70541)</f>
        <v/>
      </c>
      <c r="O412" s="48" t="str">
        <f>IF(A412="","",ROUNDDOWN(M412/($U$3/8.64)*10000/$AJ$3,0))</f>
        <v/>
      </c>
      <c r="P412" s="49" t="str">
        <f>IF(A412="","",IF(O412&gt;Q412,"＞","＜"))</f>
        <v/>
      </c>
      <c r="Q412" s="48" t="str">
        <f>IF(A412="","",I412)</f>
        <v/>
      </c>
      <c r="R412" s="51" t="str">
        <f>IF(A412="","",IF(P412="＞","OK","NG"))</f>
        <v/>
      </c>
      <c r="S412" s="86"/>
      <c r="T412" s="87"/>
      <c r="U412" s="28" t="str">
        <f>IF(S412="","",IF(T412=1,"素焼土管",IF(T412=2,"合成樹脂管",IF(T412=3,"無孔管",""))))</f>
        <v/>
      </c>
      <c r="V412" s="29"/>
      <c r="W412" s="88"/>
      <c r="X412" s="89"/>
      <c r="Y412" s="90"/>
      <c r="Z412" s="41" t="str">
        <f>IF(S412="","",IF(AND(T413=3,I412=""),Z410+Y412,IF(AND(Z410="",I410=""),I412+Y412,IF(AND(T413=3,I412&gt;0,Z410&gt;0),I412+Z410+Y412,IF(Z410="",I410+I412+X412+Y412,IF(I412="",Z410+X412+Y412,Z410+I412+X412+Y412))))))</f>
        <v/>
      </c>
      <c r="AA412" s="45" t="str">
        <f>IF(AB412="",""," 1/")</f>
        <v/>
      </c>
      <c r="AB412" s="91"/>
      <c r="AC412" s="30" t="str">
        <f>IF(S412="","",IF(T412="","",IF(T412=1,0.013,0.012)))</f>
        <v/>
      </c>
      <c r="AD412" s="31" t="str">
        <f>IF(S412="","",IF(T412="","",(1/AC412*(W412/100/2)^(8/3)*(1/AB412*100)^(1/2)*1.65696)*100))</f>
        <v/>
      </c>
      <c r="AE412" s="31" t="str">
        <f>IF(S412="","",IF(T412="","",1/AC412*(W412/100/2)^(2/3)*(1/AB412)^(1/2)*0.70541))</f>
        <v/>
      </c>
      <c r="AF412" s="31" t="str">
        <f>IF(S412="","",IF(T412="","",ROUNDDOWN(AD412/($U$3/8.64),3)))</f>
        <v/>
      </c>
      <c r="AG412" s="32" t="str">
        <f>IF(S412="","",IF(T412="","",ROUNDDOWN(AF412*10000/$AJ$3,0)))</f>
        <v/>
      </c>
      <c r="AH412" s="33" t="str">
        <f t="shared" si="2451"/>
        <v/>
      </c>
      <c r="AI412" s="41" t="str">
        <f>IF(S412="","",Z412)</f>
        <v/>
      </c>
      <c r="AJ412" s="43" t="str">
        <f>IF(S412="","",AI412*$AJ$3/10000)</f>
        <v/>
      </c>
      <c r="AK412" s="33" t="str">
        <f>IF(S412="","",IF(T412="","",IF(AND(T412=1,AE412&gt;1),"NG",IF(AH412="＞","OK","NG"))))</f>
        <v/>
      </c>
    </row>
    <row r="413" spans="1:37" ht="15.75" customHeight="1" x14ac:dyDescent="0.15">
      <c r="A413" s="92"/>
      <c r="B413" s="93"/>
      <c r="C413" s="59"/>
      <c r="D413" s="61"/>
      <c r="E413" s="94"/>
      <c r="F413" s="95"/>
      <c r="G413" s="95"/>
      <c r="H413" s="96"/>
      <c r="I413" s="54"/>
      <c r="J413" s="46"/>
      <c r="K413" s="97"/>
      <c r="L413" s="57"/>
      <c r="M413" s="44"/>
      <c r="N413" s="44"/>
      <c r="O413" s="42"/>
      <c r="P413" s="50"/>
      <c r="Q413" s="42"/>
      <c r="R413" s="52"/>
      <c r="S413" s="98"/>
      <c r="T413" s="99">
        <v>2</v>
      </c>
      <c r="U413" s="34" t="str">
        <f>IF(S412="","",IF(T412=T413,"〃",IF(T413=1,"素焼土管",IF(T413=2,"合成樹脂管",IF(T413=3,"無孔管","")))))</f>
        <v/>
      </c>
      <c r="V413" s="35"/>
      <c r="W413" s="100"/>
      <c r="X413" s="101"/>
      <c r="Y413" s="95"/>
      <c r="Z413" s="42"/>
      <c r="AA413" s="46"/>
      <c r="AB413" s="97"/>
      <c r="AC413" s="36" t="str">
        <f>IF(S412="","",IF(T413=1,0.013,0.012))</f>
        <v/>
      </c>
      <c r="AD413" s="37" t="str">
        <f>IF(S412="","",(1/AC413*(W413/100/2)^(8/3)*(1/AB412*100)^(1/2)*1.65696)*100)</f>
        <v/>
      </c>
      <c r="AE413" s="37" t="str">
        <f>IF(S412="","",1/AC413*(W413/100/2)^(2/3)*(1/AB412)^(1/2)*0.70541)</f>
        <v/>
      </c>
      <c r="AF413" s="37" t="str">
        <f>IF(S412="","",ROUNDDOWN(AD413/($U$3/8.64),3))</f>
        <v/>
      </c>
      <c r="AG413" s="38" t="str">
        <f>IF(S412="","",ROUNDDOWN(AF413*10000/$AJ$3,0))</f>
        <v/>
      </c>
      <c r="AH413" s="39" t="str">
        <f t="shared" ref="AH413" si="2460">IF(S412="","",IF(AG413&gt;AI412,"＞",IF(AG413=AI412,"=","＜")))</f>
        <v/>
      </c>
      <c r="AI413" s="42"/>
      <c r="AJ413" s="44"/>
      <c r="AK413" s="39" t="str">
        <f>IF(S412="","",IF(AND(T413=1,AE413&gt;1),"NG",IF(AH413="＞","OK","NG")))</f>
        <v/>
      </c>
    </row>
    <row r="414" spans="1:37" ht="15.75" customHeight="1" x14ac:dyDescent="0.15">
      <c r="A414" s="80"/>
      <c r="B414" s="81">
        <v>2</v>
      </c>
      <c r="C414" s="58" t="str">
        <f>IF(A414="","",IF(B414=1,"素　焼土　管",IF(B414=2,"合　成樹脂管",IF(B414=3,"無孔管",""))))</f>
        <v/>
      </c>
      <c r="D414" s="60"/>
      <c r="E414" s="82"/>
      <c r="F414" s="83"/>
      <c r="G414" s="83"/>
      <c r="H414" s="84"/>
      <c r="I414" s="53" t="str">
        <f>IF(A414="","",F414-G414+H414)</f>
        <v/>
      </c>
      <c r="J414" s="55" t="str">
        <f>IF(A414="",""," 1/")</f>
        <v/>
      </c>
      <c r="K414" s="85"/>
      <c r="L414" s="56" t="str">
        <f>IF(A414="","",IF(B414=1,0.013,0.012))</f>
        <v/>
      </c>
      <c r="M414" s="47" t="str">
        <f>IF(A414="","",(1/L414*(E414/100/2)^(8/3)*(1/K414*100)^(1/2)*1.65696)*100)</f>
        <v/>
      </c>
      <c r="N414" s="47" t="str">
        <f>IF(A414="","",1/L414*(E414/100/2)^(2/3)*(1/K414)^(1/2)*0.70541)</f>
        <v/>
      </c>
      <c r="O414" s="48" t="str">
        <f>IF(A414="","",ROUNDDOWN(M414/($U$3/8.64)*10000/$AJ$3,0))</f>
        <v/>
      </c>
      <c r="P414" s="49" t="str">
        <f>IF(A414="","",IF(O414&gt;Q414,"＞","＜"))</f>
        <v/>
      </c>
      <c r="Q414" s="48" t="str">
        <f>IF(A414="","",I414)</f>
        <v/>
      </c>
      <c r="R414" s="51" t="str">
        <f>IF(A414="","",IF(P414="＞","OK","NG"))</f>
        <v/>
      </c>
      <c r="S414" s="86"/>
      <c r="T414" s="87"/>
      <c r="U414" s="28" t="str">
        <f>IF(S414="","",IF(T414=1,"素焼土管",IF(T414=2,"合成樹脂管",IF(T414=3,"無孔管",""))))</f>
        <v/>
      </c>
      <c r="V414" s="29"/>
      <c r="W414" s="88"/>
      <c r="X414" s="89"/>
      <c r="Y414" s="90"/>
      <c r="Z414" s="41" t="str">
        <f>IF(S414="","",IF(AND(T415=3,I414=""),Z412+Y414,IF(AND(Z412="",I412=""),I414+Y414,IF(AND(T415=3,I414&gt;0,Z412&gt;0),I414+Z412+Y414,IF(Z412="",I412+I414+X414+Y414,IF(I414="",Z412+X414+Y414,Z412+I414+X414+Y414))))))</f>
        <v/>
      </c>
      <c r="AA414" s="45" t="str">
        <f>IF(AB414="",""," 1/")</f>
        <v/>
      </c>
      <c r="AB414" s="91"/>
      <c r="AC414" s="30" t="str">
        <f>IF(S414="","",IF(T414="","",IF(T414=1,0.013,0.012)))</f>
        <v/>
      </c>
      <c r="AD414" s="31" t="str">
        <f>IF(S414="","",IF(T414="","",(1/AC414*(W414/100/2)^(8/3)*(1/AB414*100)^(1/2)*1.65696)*100))</f>
        <v/>
      </c>
      <c r="AE414" s="31" t="str">
        <f>IF(S414="","",IF(T414="","",1/AC414*(W414/100/2)^(2/3)*(1/AB414)^(1/2)*0.70541))</f>
        <v/>
      </c>
      <c r="AF414" s="31" t="str">
        <f>IF(S414="","",IF(T414="","",ROUNDDOWN(AD414/($U$3/8.64),3)))</f>
        <v/>
      </c>
      <c r="AG414" s="32" t="str">
        <f>IF(S414="","",IF(T414="","",ROUNDDOWN(AF414*10000/$AJ$3,0)))</f>
        <v/>
      </c>
      <c r="AH414" s="33" t="str">
        <f t="shared" si="2451"/>
        <v/>
      </c>
      <c r="AI414" s="41" t="str">
        <f>IF(S414="","",Z414)</f>
        <v/>
      </c>
      <c r="AJ414" s="43" t="str">
        <f>IF(S414="","",AI414*$AJ$3/10000)</f>
        <v/>
      </c>
      <c r="AK414" s="33" t="str">
        <f>IF(S414="","",IF(T414="","",IF(AND(T414=1,AE414&gt;1),"NG",IF(AH414="＞","OK","NG"))))</f>
        <v/>
      </c>
    </row>
    <row r="415" spans="1:37" ht="15.75" customHeight="1" x14ac:dyDescent="0.15">
      <c r="A415" s="92"/>
      <c r="B415" s="93"/>
      <c r="C415" s="59"/>
      <c r="D415" s="61"/>
      <c r="E415" s="94"/>
      <c r="F415" s="95"/>
      <c r="G415" s="95"/>
      <c r="H415" s="96"/>
      <c r="I415" s="54"/>
      <c r="J415" s="46"/>
      <c r="K415" s="97"/>
      <c r="L415" s="57"/>
      <c r="M415" s="44"/>
      <c r="N415" s="44"/>
      <c r="O415" s="42"/>
      <c r="P415" s="50"/>
      <c r="Q415" s="42"/>
      <c r="R415" s="52"/>
      <c r="S415" s="98"/>
      <c r="T415" s="99">
        <v>2</v>
      </c>
      <c r="U415" s="34" t="str">
        <f>IF(S414="","",IF(T414=T415,"〃",IF(T415=1,"素焼土管",IF(T415=2,"合成樹脂管",IF(T415=3,"無孔管","")))))</f>
        <v/>
      </c>
      <c r="V415" s="35"/>
      <c r="W415" s="100"/>
      <c r="X415" s="101"/>
      <c r="Y415" s="95"/>
      <c r="Z415" s="42"/>
      <c r="AA415" s="46"/>
      <c r="AB415" s="97"/>
      <c r="AC415" s="36" t="str">
        <f>IF(S414="","",IF(T415=1,0.013,0.012))</f>
        <v/>
      </c>
      <c r="AD415" s="37" t="str">
        <f>IF(S414="","",(1/AC415*(W415/100/2)^(8/3)*(1/AB414*100)^(1/2)*1.65696)*100)</f>
        <v/>
      </c>
      <c r="AE415" s="37" t="str">
        <f>IF(S414="","",1/AC415*(W415/100/2)^(2/3)*(1/AB414)^(1/2)*0.70541)</f>
        <v/>
      </c>
      <c r="AF415" s="37" t="str">
        <f>IF(S414="","",ROUNDDOWN(AD415/($U$3/8.64),3))</f>
        <v/>
      </c>
      <c r="AG415" s="38" t="str">
        <f>IF(S414="","",ROUNDDOWN(AF415*10000/$AJ$3,0))</f>
        <v/>
      </c>
      <c r="AH415" s="39" t="str">
        <f t="shared" ref="AH415" si="2461">IF(S414="","",IF(AG415&gt;AI414,"＞",IF(AG415=AI414,"=","＜")))</f>
        <v/>
      </c>
      <c r="AI415" s="42"/>
      <c r="AJ415" s="44"/>
      <c r="AK415" s="39" t="str">
        <f>IF(S414="","",IF(AND(T415=1,AE415&gt;1),"NG",IF(AH415="＞","OK","NG")))</f>
        <v/>
      </c>
    </row>
    <row r="416" spans="1:37" ht="15.75" customHeight="1" x14ac:dyDescent="0.15">
      <c r="A416" s="80"/>
      <c r="B416" s="81">
        <v>2</v>
      </c>
      <c r="C416" s="58" t="str">
        <f>IF(A416="","",IF(B416=1,"素　焼土　管",IF(B416=2,"合　成樹脂管",IF(B416=3,"無孔管",""))))</f>
        <v/>
      </c>
      <c r="D416" s="60"/>
      <c r="E416" s="82"/>
      <c r="F416" s="83"/>
      <c r="G416" s="83"/>
      <c r="H416" s="84"/>
      <c r="I416" s="53" t="str">
        <f>IF(A416="","",F416-G416+H416)</f>
        <v/>
      </c>
      <c r="J416" s="55" t="str">
        <f>IF(A416="",""," 1/")</f>
        <v/>
      </c>
      <c r="K416" s="85"/>
      <c r="L416" s="56" t="str">
        <f>IF(A416="","",IF(B416=1,0.013,0.012))</f>
        <v/>
      </c>
      <c r="M416" s="47" t="str">
        <f>IF(A416="","",(1/L416*(E416/100/2)^(8/3)*(1/K416*100)^(1/2)*1.65696)*100)</f>
        <v/>
      </c>
      <c r="N416" s="47" t="str">
        <f>IF(A416="","",1/L416*(E416/100/2)^(2/3)*(1/K416)^(1/2)*0.70541)</f>
        <v/>
      </c>
      <c r="O416" s="48" t="str">
        <f>IF(A416="","",ROUNDDOWN(M416/($U$3/8.64)*10000/$AJ$3,0))</f>
        <v/>
      </c>
      <c r="P416" s="49" t="str">
        <f>IF(A416="","",IF(O416&gt;Q416,"＞","＜"))</f>
        <v/>
      </c>
      <c r="Q416" s="48" t="str">
        <f>IF(A416="","",I416)</f>
        <v/>
      </c>
      <c r="R416" s="51" t="str">
        <f>IF(A416="","",IF(P416="＞","OK","NG"))</f>
        <v/>
      </c>
      <c r="S416" s="86"/>
      <c r="T416" s="87"/>
      <c r="U416" s="28" t="str">
        <f>IF(S416="","",IF(T416=1,"素焼土管",IF(T416=2,"合成樹脂管",IF(T416=3,"無孔管",""))))</f>
        <v/>
      </c>
      <c r="V416" s="29"/>
      <c r="W416" s="88"/>
      <c r="X416" s="89"/>
      <c r="Y416" s="90"/>
      <c r="Z416" s="41" t="str">
        <f>IF(S416="","",IF(AND(T417=3,I416=""),Z414+Y416,IF(AND(Z414="",I414=""),I416+Y416,IF(AND(T417=3,I416&gt;0,Z414&gt;0),I416+Z414+Y416,IF(Z414="",I414+I416+X416+Y416,IF(I416="",Z414+X416+Y416,Z414+I416+X416+Y416))))))</f>
        <v/>
      </c>
      <c r="AA416" s="45" t="str">
        <f>IF(AB416="",""," 1/")</f>
        <v/>
      </c>
      <c r="AB416" s="91"/>
      <c r="AC416" s="30" t="str">
        <f>IF(S416="","",IF(T416="","",IF(T416=1,0.013,0.012)))</f>
        <v/>
      </c>
      <c r="AD416" s="31" t="str">
        <f>IF(S416="","",IF(T416="","",(1/AC416*(W416/100/2)^(8/3)*(1/AB416*100)^(1/2)*1.65696)*100))</f>
        <v/>
      </c>
      <c r="AE416" s="31" t="str">
        <f>IF(S416="","",IF(T416="","",1/AC416*(W416/100/2)^(2/3)*(1/AB416)^(1/2)*0.70541))</f>
        <v/>
      </c>
      <c r="AF416" s="31" t="str">
        <f>IF(S416="","",IF(T416="","",ROUNDDOWN(AD416/($U$3/8.64),3)))</f>
        <v/>
      </c>
      <c r="AG416" s="32" t="str">
        <f>IF(S416="","",IF(T416="","",ROUNDDOWN(AF416*10000/$AJ$3,0)))</f>
        <v/>
      </c>
      <c r="AH416" s="33" t="str">
        <f t="shared" si="2451"/>
        <v/>
      </c>
      <c r="AI416" s="41" t="str">
        <f>IF(S416="","",Z416)</f>
        <v/>
      </c>
      <c r="AJ416" s="43" t="str">
        <f>IF(S416="","",AI416*$AJ$3/10000)</f>
        <v/>
      </c>
      <c r="AK416" s="33" t="str">
        <f>IF(S416="","",IF(T416="","",IF(AND(T416=1,AE416&gt;1),"NG",IF(AH416="＞","OK","NG"))))</f>
        <v/>
      </c>
    </row>
    <row r="417" spans="1:37" ht="15.75" customHeight="1" x14ac:dyDescent="0.15">
      <c r="A417" s="92"/>
      <c r="B417" s="93"/>
      <c r="C417" s="59"/>
      <c r="D417" s="61"/>
      <c r="E417" s="94"/>
      <c r="F417" s="95"/>
      <c r="G417" s="95"/>
      <c r="H417" s="96"/>
      <c r="I417" s="54"/>
      <c r="J417" s="46"/>
      <c r="K417" s="97"/>
      <c r="L417" s="57"/>
      <c r="M417" s="44"/>
      <c r="N417" s="44"/>
      <c r="O417" s="42"/>
      <c r="P417" s="50"/>
      <c r="Q417" s="42"/>
      <c r="R417" s="52"/>
      <c r="S417" s="98"/>
      <c r="T417" s="99">
        <v>2</v>
      </c>
      <c r="U417" s="34" t="str">
        <f>IF(S416="","",IF(T416=T417,"〃",IF(T417=1,"素焼土管",IF(T417=2,"合成樹脂管",IF(T417=3,"無孔管","")))))</f>
        <v/>
      </c>
      <c r="V417" s="35"/>
      <c r="W417" s="100"/>
      <c r="X417" s="101"/>
      <c r="Y417" s="95"/>
      <c r="Z417" s="42"/>
      <c r="AA417" s="46"/>
      <c r="AB417" s="97"/>
      <c r="AC417" s="36" t="str">
        <f>IF(S416="","",IF(T417=1,0.013,0.012))</f>
        <v/>
      </c>
      <c r="AD417" s="37" t="str">
        <f>IF(S416="","",(1/AC417*(W417/100/2)^(8/3)*(1/AB416*100)^(1/2)*1.65696)*100)</f>
        <v/>
      </c>
      <c r="AE417" s="37" t="str">
        <f>IF(S416="","",1/AC417*(W417/100/2)^(2/3)*(1/AB416)^(1/2)*0.70541)</f>
        <v/>
      </c>
      <c r="AF417" s="37" t="str">
        <f>IF(S416="","",ROUNDDOWN(AD417/($U$3/8.64),3))</f>
        <v/>
      </c>
      <c r="AG417" s="38" t="str">
        <f>IF(S416="","",ROUNDDOWN(AF417*10000/$AJ$3,0))</f>
        <v/>
      </c>
      <c r="AH417" s="39" t="str">
        <f t="shared" ref="AH417" si="2462">IF(S416="","",IF(AG417&gt;AI416,"＞",IF(AG417=AI416,"=","＜")))</f>
        <v/>
      </c>
      <c r="AI417" s="42"/>
      <c r="AJ417" s="44"/>
      <c r="AK417" s="39" t="str">
        <f>IF(S416="","",IF(AND(T417=1,AE417&gt;1),"NG",IF(AH417="＞","OK","NG")))</f>
        <v/>
      </c>
    </row>
    <row r="418" spans="1:37" ht="15.75" customHeight="1" x14ac:dyDescent="0.15">
      <c r="A418" s="80"/>
      <c r="B418" s="81">
        <v>2</v>
      </c>
      <c r="C418" s="58" t="str">
        <f>IF(A418="","",IF(B418=1,"素　焼土　管",IF(B418=2,"合　成樹脂管",IF(B418=3,"無孔管",""))))</f>
        <v/>
      </c>
      <c r="D418" s="60"/>
      <c r="E418" s="82"/>
      <c r="F418" s="83"/>
      <c r="G418" s="83"/>
      <c r="H418" s="84"/>
      <c r="I418" s="53" t="str">
        <f>IF(A418="","",F418-G418+H418)</f>
        <v/>
      </c>
      <c r="J418" s="55" t="str">
        <f>IF(A418="",""," 1/")</f>
        <v/>
      </c>
      <c r="K418" s="85"/>
      <c r="L418" s="56" t="str">
        <f>IF(A418="","",IF(B418=1,0.013,0.012))</f>
        <v/>
      </c>
      <c r="M418" s="47" t="str">
        <f>IF(A418="","",(1/L418*(E418/100/2)^(8/3)*(1/K418*100)^(1/2)*1.65696)*100)</f>
        <v/>
      </c>
      <c r="N418" s="47" t="str">
        <f>IF(A418="","",1/L418*(E418/100/2)^(2/3)*(1/K418)^(1/2)*0.70541)</f>
        <v/>
      </c>
      <c r="O418" s="48" t="str">
        <f>IF(A418="","",ROUNDDOWN(M418/($U$3/8.64)*10000/$AJ$3,0))</f>
        <v/>
      </c>
      <c r="P418" s="49" t="str">
        <f>IF(A418="","",IF(O418&gt;Q418,"＞","＜"))</f>
        <v/>
      </c>
      <c r="Q418" s="48" t="str">
        <f>IF(A418="","",I418)</f>
        <v/>
      </c>
      <c r="R418" s="51" t="str">
        <f>IF(A418="","",IF(P418="＞","OK","NG"))</f>
        <v/>
      </c>
      <c r="S418" s="86"/>
      <c r="T418" s="87"/>
      <c r="U418" s="28" t="str">
        <f>IF(S418="","",IF(T418=1,"素焼土管",IF(T418=2,"合成樹脂管",IF(T418=3,"無孔管",""))))</f>
        <v/>
      </c>
      <c r="V418" s="29"/>
      <c r="W418" s="88"/>
      <c r="X418" s="89"/>
      <c r="Y418" s="90"/>
      <c r="Z418" s="41" t="str">
        <f>IF(S418="","",IF(AND(T419=3,I418=""),Z416+Y418,IF(AND(Z416="",I416=""),I418+Y418,IF(AND(T419=3,I418&gt;0,Z416&gt;0),I418+Z416+Y418,IF(Z416="",I416+I418+X418+Y418,IF(I418="",Z416+X418+Y418,Z416+I418+X418+Y418))))))</f>
        <v/>
      </c>
      <c r="AA418" s="45" t="str">
        <f>IF(AB418="",""," 1/")</f>
        <v/>
      </c>
      <c r="AB418" s="91"/>
      <c r="AC418" s="30" t="str">
        <f>IF(S418="","",IF(T418="","",IF(T418=1,0.013,0.012)))</f>
        <v/>
      </c>
      <c r="AD418" s="31" t="str">
        <f>IF(S418="","",IF(T418="","",(1/AC418*(W418/100/2)^(8/3)*(1/AB418*100)^(1/2)*1.65696)*100))</f>
        <v/>
      </c>
      <c r="AE418" s="31" t="str">
        <f>IF(S418="","",IF(T418="","",1/AC418*(W418/100/2)^(2/3)*(1/AB418)^(1/2)*0.70541))</f>
        <v/>
      </c>
      <c r="AF418" s="31" t="str">
        <f>IF(S418="","",IF(T418="","",ROUNDDOWN(AD418/($U$3/8.64),3)))</f>
        <v/>
      </c>
      <c r="AG418" s="32" t="str">
        <f>IF(S418="","",IF(T418="","",ROUNDDOWN(AF418*10000/$AJ$3,0)))</f>
        <v/>
      </c>
      <c r="AH418" s="33" t="str">
        <f t="shared" si="2451"/>
        <v/>
      </c>
      <c r="AI418" s="41" t="str">
        <f>IF(S418="","",Z418)</f>
        <v/>
      </c>
      <c r="AJ418" s="43" t="str">
        <f>IF(S418="","",AI418*$AJ$3/10000)</f>
        <v/>
      </c>
      <c r="AK418" s="33" t="str">
        <f>IF(S418="","",IF(T418="","",IF(AND(T418=1,AE418&gt;1),"NG",IF(AH418="＞","OK","NG"))))</f>
        <v/>
      </c>
    </row>
    <row r="419" spans="1:37" ht="15.75" customHeight="1" x14ac:dyDescent="0.15">
      <c r="A419" s="92"/>
      <c r="B419" s="93"/>
      <c r="C419" s="59"/>
      <c r="D419" s="61"/>
      <c r="E419" s="94"/>
      <c r="F419" s="95"/>
      <c r="G419" s="95"/>
      <c r="H419" s="96"/>
      <c r="I419" s="54"/>
      <c r="J419" s="46"/>
      <c r="K419" s="97"/>
      <c r="L419" s="57"/>
      <c r="M419" s="44"/>
      <c r="N419" s="44"/>
      <c r="O419" s="42"/>
      <c r="P419" s="50"/>
      <c r="Q419" s="42"/>
      <c r="R419" s="52"/>
      <c r="S419" s="98"/>
      <c r="T419" s="99">
        <v>2</v>
      </c>
      <c r="U419" s="34" t="str">
        <f>IF(S418="","",IF(T418=T419,"〃",IF(T419=1,"素焼土管",IF(T419=2,"合成樹脂管",IF(T419=3,"無孔管","")))))</f>
        <v/>
      </c>
      <c r="V419" s="35"/>
      <c r="W419" s="100"/>
      <c r="X419" s="101"/>
      <c r="Y419" s="95"/>
      <c r="Z419" s="42"/>
      <c r="AA419" s="46"/>
      <c r="AB419" s="97"/>
      <c r="AC419" s="36" t="str">
        <f>IF(S418="","",IF(T419=1,0.013,0.012))</f>
        <v/>
      </c>
      <c r="AD419" s="37" t="str">
        <f>IF(S418="","",(1/AC419*(W419/100/2)^(8/3)*(1/AB418*100)^(1/2)*1.65696)*100)</f>
        <v/>
      </c>
      <c r="AE419" s="37" t="str">
        <f>IF(S418="","",1/AC419*(W419/100/2)^(2/3)*(1/AB418)^(1/2)*0.70541)</f>
        <v/>
      </c>
      <c r="AF419" s="37" t="str">
        <f>IF(S418="","",ROUNDDOWN(AD419/($U$3/8.64),3))</f>
        <v/>
      </c>
      <c r="AG419" s="38" t="str">
        <f>IF(S418="","",ROUNDDOWN(AF419*10000/$AJ$3,0))</f>
        <v/>
      </c>
      <c r="AH419" s="39" t="str">
        <f t="shared" ref="AH419" si="2463">IF(S418="","",IF(AG419&gt;AI418,"＞",IF(AG419=AI418,"=","＜")))</f>
        <v/>
      </c>
      <c r="AI419" s="42"/>
      <c r="AJ419" s="44"/>
      <c r="AK419" s="39" t="str">
        <f>IF(S418="","",IF(AND(T419=1,AE419&gt;1),"NG",IF(AH419="＞","OK","NG")))</f>
        <v/>
      </c>
    </row>
    <row r="420" spans="1:37" ht="15.75" customHeight="1" x14ac:dyDescent="0.15">
      <c r="A420" s="80"/>
      <c r="B420" s="81">
        <v>2</v>
      </c>
      <c r="C420" s="58" t="str">
        <f>IF(A420="","",IF(B420=1,"素　焼土　管",IF(B420=2,"合　成樹脂管",IF(B420=3,"無孔管",""))))</f>
        <v/>
      </c>
      <c r="D420" s="60"/>
      <c r="E420" s="82"/>
      <c r="F420" s="83"/>
      <c r="G420" s="83"/>
      <c r="H420" s="84"/>
      <c r="I420" s="53" t="str">
        <f>IF(A420="","",F420-G420+H420)</f>
        <v/>
      </c>
      <c r="J420" s="55" t="str">
        <f>IF(A420="",""," 1/")</f>
        <v/>
      </c>
      <c r="K420" s="85"/>
      <c r="L420" s="56" t="str">
        <f>IF(A420="","",IF(B420=1,0.013,0.012))</f>
        <v/>
      </c>
      <c r="M420" s="47" t="str">
        <f>IF(A420="","",(1/L420*(E420/100/2)^(8/3)*(1/K420*100)^(1/2)*1.65696)*100)</f>
        <v/>
      </c>
      <c r="N420" s="47" t="str">
        <f>IF(A420="","",1/L420*(E420/100/2)^(2/3)*(1/K420)^(1/2)*0.70541)</f>
        <v/>
      </c>
      <c r="O420" s="48" t="str">
        <f>IF(A420="","",ROUNDDOWN(M420/($U$3/8.64)*10000/$AJ$3,0))</f>
        <v/>
      </c>
      <c r="P420" s="49" t="str">
        <f>IF(A420="","",IF(O420&gt;Q420,"＞","＜"))</f>
        <v/>
      </c>
      <c r="Q420" s="48" t="str">
        <f>IF(A420="","",I420)</f>
        <v/>
      </c>
      <c r="R420" s="51" t="str">
        <f>IF(A420="","",IF(P420="＞","OK","NG"))</f>
        <v/>
      </c>
      <c r="S420" s="86"/>
      <c r="T420" s="87"/>
      <c r="U420" s="28" t="str">
        <f>IF(S420="","",IF(T420=1,"素焼土管",IF(T420=2,"合成樹脂管",IF(T420=3,"無孔管",""))))</f>
        <v/>
      </c>
      <c r="V420" s="29"/>
      <c r="W420" s="88"/>
      <c r="X420" s="89"/>
      <c r="Y420" s="90"/>
      <c r="Z420" s="41" t="str">
        <f>IF(S420="","",IF(AND(T421=3,I420=""),Z418+Y420,IF(AND(Z418="",I418=""),I420+Y420,IF(AND(T421=3,I420&gt;0,Z418&gt;0),I420+Z418+Y420,IF(Z418="",I418+I420+X420+Y420,IF(I420="",Z418+X420+Y420,Z418+I420+X420+Y420))))))</f>
        <v/>
      </c>
      <c r="AA420" s="45" t="str">
        <f>IF(AB420="",""," 1/")</f>
        <v/>
      </c>
      <c r="AB420" s="91"/>
      <c r="AC420" s="30" t="str">
        <f>IF(S420="","",IF(T420="","",IF(T420=1,0.013,0.012)))</f>
        <v/>
      </c>
      <c r="AD420" s="31" t="str">
        <f>IF(S420="","",IF(T420="","",(1/AC420*(W420/100/2)^(8/3)*(1/AB420*100)^(1/2)*1.65696)*100))</f>
        <v/>
      </c>
      <c r="AE420" s="31" t="str">
        <f>IF(S420="","",IF(T420="","",1/AC420*(W420/100/2)^(2/3)*(1/AB420)^(1/2)*0.70541))</f>
        <v/>
      </c>
      <c r="AF420" s="31" t="str">
        <f>IF(S420="","",IF(T420="","",ROUNDDOWN(AD420/($U$3/8.64),3)))</f>
        <v/>
      </c>
      <c r="AG420" s="32" t="str">
        <f>IF(S420="","",IF(T420="","",ROUNDDOWN(AF420*10000/$AJ$3,0)))</f>
        <v/>
      </c>
      <c r="AH420" s="33" t="str">
        <f t="shared" si="2451"/>
        <v/>
      </c>
      <c r="AI420" s="41" t="str">
        <f>IF(S420="","",Z420)</f>
        <v/>
      </c>
      <c r="AJ420" s="43" t="str">
        <f>IF(S420="","",AI420*$AJ$3/10000)</f>
        <v/>
      </c>
      <c r="AK420" s="33" t="str">
        <f>IF(S420="","",IF(T420="","",IF(AND(T420=1,AE420&gt;1),"NG",IF(AH420="＞","OK","NG"))))</f>
        <v/>
      </c>
    </row>
    <row r="421" spans="1:37" ht="15.75" customHeight="1" x14ac:dyDescent="0.15">
      <c r="A421" s="92"/>
      <c r="B421" s="93"/>
      <c r="C421" s="59"/>
      <c r="D421" s="61"/>
      <c r="E421" s="94"/>
      <c r="F421" s="95"/>
      <c r="G421" s="95"/>
      <c r="H421" s="96"/>
      <c r="I421" s="54"/>
      <c r="J421" s="46"/>
      <c r="K421" s="97"/>
      <c r="L421" s="57"/>
      <c r="M421" s="44"/>
      <c r="N421" s="44"/>
      <c r="O421" s="42"/>
      <c r="P421" s="50"/>
      <c r="Q421" s="42"/>
      <c r="R421" s="52"/>
      <c r="S421" s="98"/>
      <c r="T421" s="99">
        <v>2</v>
      </c>
      <c r="U421" s="34" t="str">
        <f>IF(S420="","",IF(T420=T421,"〃",IF(T421=1,"素焼土管",IF(T421=2,"合成樹脂管",IF(T421=3,"無孔管","")))))</f>
        <v/>
      </c>
      <c r="V421" s="35"/>
      <c r="W421" s="100"/>
      <c r="X421" s="101"/>
      <c r="Y421" s="95"/>
      <c r="Z421" s="42"/>
      <c r="AA421" s="46"/>
      <c r="AB421" s="97"/>
      <c r="AC421" s="36" t="str">
        <f>IF(S420="","",IF(T421=1,0.013,0.012))</f>
        <v/>
      </c>
      <c r="AD421" s="37" t="str">
        <f>IF(S420="","",(1/AC421*(W421/100/2)^(8/3)*(1/AB420*100)^(1/2)*1.65696)*100)</f>
        <v/>
      </c>
      <c r="AE421" s="37" t="str">
        <f>IF(S420="","",1/AC421*(W421/100/2)^(2/3)*(1/AB420)^(1/2)*0.70541)</f>
        <v/>
      </c>
      <c r="AF421" s="37" t="str">
        <f>IF(S420="","",ROUNDDOWN(AD421/($U$3/8.64),3))</f>
        <v/>
      </c>
      <c r="AG421" s="38" t="str">
        <f>IF(S420="","",ROUNDDOWN(AF421*10000/$AJ$3,0))</f>
        <v/>
      </c>
      <c r="AH421" s="39" t="str">
        <f t="shared" ref="AH421" si="2464">IF(S420="","",IF(AG421&gt;AI420,"＞",IF(AG421=AI420,"=","＜")))</f>
        <v/>
      </c>
      <c r="AI421" s="42"/>
      <c r="AJ421" s="44"/>
      <c r="AK421" s="39" t="str">
        <f>IF(S420="","",IF(AND(T421=1,AE421&gt;1),"NG",IF(AH421="＞","OK","NG")))</f>
        <v/>
      </c>
    </row>
    <row r="422" spans="1:37" ht="15.75" customHeight="1" x14ac:dyDescent="0.15">
      <c r="A422" s="80"/>
      <c r="B422" s="81">
        <v>2</v>
      </c>
      <c r="C422" s="58" t="str">
        <f>IF(A422="","",IF(B422=1,"素　焼土　管",IF(B422=2,"合　成樹脂管",IF(B422=3,"無孔管",""))))</f>
        <v/>
      </c>
      <c r="D422" s="60"/>
      <c r="E422" s="82"/>
      <c r="F422" s="83"/>
      <c r="G422" s="83"/>
      <c r="H422" s="84"/>
      <c r="I422" s="53" t="str">
        <f>IF(A422="","",F422-G422+H422)</f>
        <v/>
      </c>
      <c r="J422" s="55" t="str">
        <f>IF(A422="",""," 1/")</f>
        <v/>
      </c>
      <c r="K422" s="85"/>
      <c r="L422" s="56" t="str">
        <f>IF(A422="","",IF(B422=1,0.013,0.012))</f>
        <v/>
      </c>
      <c r="M422" s="47" t="str">
        <f>IF(A422="","",(1/L422*(E422/100/2)^(8/3)*(1/K422*100)^(1/2)*1.65696)*100)</f>
        <v/>
      </c>
      <c r="N422" s="47" t="str">
        <f>IF(A422="","",1/L422*(E422/100/2)^(2/3)*(1/K422)^(1/2)*0.70541)</f>
        <v/>
      </c>
      <c r="O422" s="48" t="str">
        <f>IF(A422="","",ROUNDDOWN(M422/($U$3/8.64)*10000/$AJ$3,0))</f>
        <v/>
      </c>
      <c r="P422" s="49" t="str">
        <f>IF(A422="","",IF(O422&gt;Q422,"＞","＜"))</f>
        <v/>
      </c>
      <c r="Q422" s="48" t="str">
        <f>IF(A422="","",I422)</f>
        <v/>
      </c>
      <c r="R422" s="51" t="str">
        <f>IF(A422="","",IF(P422="＞","OK","NG"))</f>
        <v/>
      </c>
      <c r="S422" s="86"/>
      <c r="T422" s="87"/>
      <c r="U422" s="28" t="str">
        <f>IF(S422="","",IF(T422=1,"素焼土管",IF(T422=2,"合成樹脂管",IF(T422=3,"無孔管",""))))</f>
        <v/>
      </c>
      <c r="V422" s="29"/>
      <c r="W422" s="88"/>
      <c r="X422" s="89"/>
      <c r="Y422" s="90"/>
      <c r="Z422" s="41" t="str">
        <f>IF(S422="","",IF(AND(T423=3,I422=""),Z420+Y422,IF(AND(Z420="",I420=""),I422+Y422,IF(AND(T423=3,I422&gt;0,Z420&gt;0),I422+Z420+Y422,IF(Z420="",I420+I422+X422+Y422,IF(I422="",Z420+X422+Y422,Z420+I422+X422+Y422))))))</f>
        <v/>
      </c>
      <c r="AA422" s="45" t="str">
        <f>IF(AB422="",""," 1/")</f>
        <v/>
      </c>
      <c r="AB422" s="91"/>
      <c r="AC422" s="30" t="str">
        <f>IF(S422="","",IF(T422="","",IF(T422=1,0.013,0.012)))</f>
        <v/>
      </c>
      <c r="AD422" s="31" t="str">
        <f>IF(S422="","",IF(T422="","",(1/AC422*(W422/100/2)^(8/3)*(1/AB422*100)^(1/2)*1.65696)*100))</f>
        <v/>
      </c>
      <c r="AE422" s="31" t="str">
        <f>IF(S422="","",IF(T422="","",1/AC422*(W422/100/2)^(2/3)*(1/AB422)^(1/2)*0.70541))</f>
        <v/>
      </c>
      <c r="AF422" s="31" t="str">
        <f>IF(S422="","",IF(T422="","",ROUNDDOWN(AD422/($U$3/8.64),3)))</f>
        <v/>
      </c>
      <c r="AG422" s="32" t="str">
        <f>IF(S422="","",IF(T422="","",ROUNDDOWN(AF422*10000/$AJ$3,0)))</f>
        <v/>
      </c>
      <c r="AH422" s="33" t="str">
        <f t="shared" si="2451"/>
        <v/>
      </c>
      <c r="AI422" s="41" t="str">
        <f>IF(S422="","",Z422)</f>
        <v/>
      </c>
      <c r="AJ422" s="43" t="str">
        <f>IF(S422="","",AI422*$AJ$3/10000)</f>
        <v/>
      </c>
      <c r="AK422" s="33" t="str">
        <f>IF(S422="","",IF(T422="","",IF(AND(T422=1,AE422&gt;1),"NG",IF(AH422="＞","OK","NG"))))</f>
        <v/>
      </c>
    </row>
    <row r="423" spans="1:37" ht="15.75" customHeight="1" x14ac:dyDescent="0.15">
      <c r="A423" s="92"/>
      <c r="B423" s="93"/>
      <c r="C423" s="59"/>
      <c r="D423" s="61"/>
      <c r="E423" s="94"/>
      <c r="F423" s="95"/>
      <c r="G423" s="95"/>
      <c r="H423" s="96"/>
      <c r="I423" s="54"/>
      <c r="J423" s="46"/>
      <c r="K423" s="97"/>
      <c r="L423" s="57"/>
      <c r="M423" s="44"/>
      <c r="N423" s="44"/>
      <c r="O423" s="42"/>
      <c r="P423" s="50"/>
      <c r="Q423" s="42"/>
      <c r="R423" s="52"/>
      <c r="S423" s="98"/>
      <c r="T423" s="99">
        <v>2</v>
      </c>
      <c r="U423" s="34" t="str">
        <f>IF(S422="","",IF(T422=T423,"〃",IF(T423=1,"素焼土管",IF(T423=2,"合成樹脂管",IF(T423=3,"無孔管","")))))</f>
        <v/>
      </c>
      <c r="V423" s="35"/>
      <c r="W423" s="100"/>
      <c r="X423" s="101"/>
      <c r="Y423" s="95"/>
      <c r="Z423" s="42"/>
      <c r="AA423" s="46"/>
      <c r="AB423" s="97"/>
      <c r="AC423" s="36" t="str">
        <f>IF(S422="","",IF(T423=1,0.013,0.012))</f>
        <v/>
      </c>
      <c r="AD423" s="37" t="str">
        <f>IF(S422="","",(1/AC423*(W423/100/2)^(8/3)*(1/AB422*100)^(1/2)*1.65696)*100)</f>
        <v/>
      </c>
      <c r="AE423" s="37" t="str">
        <f>IF(S422="","",1/AC423*(W423/100/2)^(2/3)*(1/AB422)^(1/2)*0.70541)</f>
        <v/>
      </c>
      <c r="AF423" s="37" t="str">
        <f>IF(S422="","",ROUNDDOWN(AD423/($U$3/8.64),3))</f>
        <v/>
      </c>
      <c r="AG423" s="38" t="str">
        <f>IF(S422="","",ROUNDDOWN(AF423*10000/$AJ$3,0))</f>
        <v/>
      </c>
      <c r="AH423" s="39" t="str">
        <f t="shared" ref="AH423" si="2465">IF(S422="","",IF(AG423&gt;AI422,"＞",IF(AG423=AI422,"=","＜")))</f>
        <v/>
      </c>
      <c r="AI423" s="42"/>
      <c r="AJ423" s="44"/>
      <c r="AK423" s="39" t="str">
        <f>IF(S422="","",IF(AND(T423=1,AE423&gt;1),"NG",IF(AH423="＞","OK","NG")))</f>
        <v/>
      </c>
    </row>
    <row r="424" spans="1:37" ht="15.75" customHeight="1" x14ac:dyDescent="0.15">
      <c r="A424" s="80"/>
      <c r="B424" s="81">
        <v>2</v>
      </c>
      <c r="C424" s="58" t="str">
        <f>IF(A424="","",IF(B424=1,"素　焼土　管",IF(B424=2,"合　成樹脂管",IF(B424=3,"無孔管",""))))</f>
        <v/>
      </c>
      <c r="D424" s="60"/>
      <c r="E424" s="82"/>
      <c r="F424" s="83"/>
      <c r="G424" s="83"/>
      <c r="H424" s="84"/>
      <c r="I424" s="53" t="str">
        <f>IF(A424="","",F424-G424+H424)</f>
        <v/>
      </c>
      <c r="J424" s="55" t="str">
        <f>IF(A424="",""," 1/")</f>
        <v/>
      </c>
      <c r="K424" s="85"/>
      <c r="L424" s="56" t="str">
        <f>IF(A424="","",IF(B424=1,0.013,0.012))</f>
        <v/>
      </c>
      <c r="M424" s="47" t="str">
        <f>IF(A424="","",(1/L424*(E424/100/2)^(8/3)*(1/K424*100)^(1/2)*1.65696)*100)</f>
        <v/>
      </c>
      <c r="N424" s="47" t="str">
        <f>IF(A424="","",1/L424*(E424/100/2)^(2/3)*(1/K424)^(1/2)*0.70541)</f>
        <v/>
      </c>
      <c r="O424" s="48" t="str">
        <f>IF(A424="","",ROUNDDOWN(M424/($U$3/8.64)*10000/$AJ$3,0))</f>
        <v/>
      </c>
      <c r="P424" s="49" t="str">
        <f>IF(A424="","",IF(O424&gt;Q424,"＞","＜"))</f>
        <v/>
      </c>
      <c r="Q424" s="48" t="str">
        <f>IF(A424="","",I424)</f>
        <v/>
      </c>
      <c r="R424" s="51" t="str">
        <f>IF(A424="","",IF(P424="＞","OK","NG"))</f>
        <v/>
      </c>
      <c r="S424" s="86"/>
      <c r="T424" s="87"/>
      <c r="U424" s="28" t="str">
        <f>IF(S424="","",IF(T424=1,"素焼土管",IF(T424=2,"合成樹脂管",IF(T424=3,"無孔管",""))))</f>
        <v/>
      </c>
      <c r="V424" s="29"/>
      <c r="W424" s="88"/>
      <c r="X424" s="89"/>
      <c r="Y424" s="90"/>
      <c r="Z424" s="41" t="str">
        <f>IF(S424="","",IF(AND(T425=3,I424=""),Z422+Y424,IF(AND(Z422="",I422=""),I424+Y424,IF(AND(T425=3,I424&gt;0,Z422&gt;0),I424+Z422+Y424,IF(Z422="",I422+I424+X424+Y424,IF(I424="",Z422+X424+Y424,Z422+I424+X424+Y424))))))</f>
        <v/>
      </c>
      <c r="AA424" s="45" t="str">
        <f>IF(AB424="",""," 1/")</f>
        <v/>
      </c>
      <c r="AB424" s="91"/>
      <c r="AC424" s="30" t="str">
        <f>IF(S424="","",IF(T424="","",IF(T424=1,0.013,0.012)))</f>
        <v/>
      </c>
      <c r="AD424" s="31" t="str">
        <f>IF(S424="","",IF(T424="","",(1/AC424*(W424/100/2)^(8/3)*(1/AB424*100)^(1/2)*1.65696)*100))</f>
        <v/>
      </c>
      <c r="AE424" s="31" t="str">
        <f>IF(S424="","",IF(T424="","",1/AC424*(W424/100/2)^(2/3)*(1/AB424)^(1/2)*0.70541))</f>
        <v/>
      </c>
      <c r="AF424" s="31" t="str">
        <f>IF(S424="","",IF(T424="","",ROUNDDOWN(AD424/($U$3/8.64),3)))</f>
        <v/>
      </c>
      <c r="AG424" s="32" t="str">
        <f>IF(S424="","",IF(T424="","",ROUNDDOWN(AF424*10000/$AJ$3,0)))</f>
        <v/>
      </c>
      <c r="AH424" s="33" t="str">
        <f t="shared" si="2451"/>
        <v/>
      </c>
      <c r="AI424" s="41" t="str">
        <f>IF(S424="","",Z424)</f>
        <v/>
      </c>
      <c r="AJ424" s="43" t="str">
        <f>IF(S424="","",AI424*$AJ$3/10000)</f>
        <v/>
      </c>
      <c r="AK424" s="33" t="str">
        <f>IF(S424="","",IF(T424="","",IF(AND(T424=1,AE424&gt;1),"NG",IF(AH424="＞","OK","NG"))))</f>
        <v/>
      </c>
    </row>
    <row r="425" spans="1:37" ht="15.75" customHeight="1" x14ac:dyDescent="0.15">
      <c r="A425" s="92"/>
      <c r="B425" s="93"/>
      <c r="C425" s="59"/>
      <c r="D425" s="61"/>
      <c r="E425" s="94"/>
      <c r="F425" s="95"/>
      <c r="G425" s="95"/>
      <c r="H425" s="96"/>
      <c r="I425" s="54"/>
      <c r="J425" s="46"/>
      <c r="K425" s="97"/>
      <c r="L425" s="57"/>
      <c r="M425" s="44"/>
      <c r="N425" s="44"/>
      <c r="O425" s="42"/>
      <c r="P425" s="50"/>
      <c r="Q425" s="42"/>
      <c r="R425" s="52"/>
      <c r="S425" s="98"/>
      <c r="T425" s="99">
        <v>2</v>
      </c>
      <c r="U425" s="34" t="str">
        <f>IF(S424="","",IF(T424=T425,"〃",IF(T425=1,"素焼土管",IF(T425=2,"合成樹脂管",IF(T425=3,"無孔管","")))))</f>
        <v/>
      </c>
      <c r="V425" s="35"/>
      <c r="W425" s="100"/>
      <c r="X425" s="101"/>
      <c r="Y425" s="95"/>
      <c r="Z425" s="42"/>
      <c r="AA425" s="46"/>
      <c r="AB425" s="97"/>
      <c r="AC425" s="36" t="str">
        <f>IF(S424="","",IF(T425=1,0.013,0.012))</f>
        <v/>
      </c>
      <c r="AD425" s="37" t="str">
        <f>IF(S424="","",(1/AC425*(W425/100/2)^(8/3)*(1/AB424*100)^(1/2)*1.65696)*100)</f>
        <v/>
      </c>
      <c r="AE425" s="37" t="str">
        <f>IF(S424="","",1/AC425*(W425/100/2)^(2/3)*(1/AB424)^(1/2)*0.70541)</f>
        <v/>
      </c>
      <c r="AF425" s="37" t="str">
        <f>IF(S424="","",ROUNDDOWN(AD425/($U$3/8.64),3))</f>
        <v/>
      </c>
      <c r="AG425" s="38" t="str">
        <f>IF(S424="","",ROUNDDOWN(AF425*10000/$AJ$3,0))</f>
        <v/>
      </c>
      <c r="AH425" s="39" t="str">
        <f t="shared" ref="AH425" si="2466">IF(S424="","",IF(AG425&gt;AI424,"＞",IF(AG425=AI424,"=","＜")))</f>
        <v/>
      </c>
      <c r="AI425" s="42"/>
      <c r="AJ425" s="44"/>
      <c r="AK425" s="39" t="str">
        <f>IF(S424="","",IF(AND(T425=1,AE425&gt;1),"NG",IF(AH425="＞","OK","NG")))</f>
        <v/>
      </c>
    </row>
    <row r="426" spans="1:37" ht="15.75" customHeight="1" x14ac:dyDescent="0.15">
      <c r="A426" s="80"/>
      <c r="B426" s="81">
        <v>2</v>
      </c>
      <c r="C426" s="58" t="str">
        <f>IF(A426="","",IF(B426=1,"素　焼土　管",IF(B426=2,"合　成樹脂管",IF(B426=3,"無孔管",""))))</f>
        <v/>
      </c>
      <c r="D426" s="60"/>
      <c r="E426" s="82"/>
      <c r="F426" s="83"/>
      <c r="G426" s="83"/>
      <c r="H426" s="84"/>
      <c r="I426" s="53" t="str">
        <f>IF(A426="","",F426-G426+H426)</f>
        <v/>
      </c>
      <c r="J426" s="55" t="str">
        <f>IF(A426="",""," 1/")</f>
        <v/>
      </c>
      <c r="K426" s="85"/>
      <c r="L426" s="56" t="str">
        <f>IF(A426="","",IF(B426=1,0.013,0.012))</f>
        <v/>
      </c>
      <c r="M426" s="47" t="str">
        <f>IF(A426="","",(1/L426*(E426/100/2)^(8/3)*(1/K426*100)^(1/2)*1.65696)*100)</f>
        <v/>
      </c>
      <c r="N426" s="47" t="str">
        <f>IF(A426="","",1/L426*(E426/100/2)^(2/3)*(1/K426)^(1/2)*0.70541)</f>
        <v/>
      </c>
      <c r="O426" s="48" t="str">
        <f>IF(A426="","",ROUNDDOWN(M426/($U$3/8.64)*10000/$AJ$3,0))</f>
        <v/>
      </c>
      <c r="P426" s="49" t="str">
        <f>IF(A426="","",IF(O426&gt;Q426,"＞","＜"))</f>
        <v/>
      </c>
      <c r="Q426" s="48" t="str">
        <f>IF(A426="","",I426)</f>
        <v/>
      </c>
      <c r="R426" s="51" t="str">
        <f>IF(A426="","",IF(P426="＞","OK","NG"))</f>
        <v/>
      </c>
      <c r="S426" s="86"/>
      <c r="T426" s="87"/>
      <c r="U426" s="28" t="str">
        <f>IF(S426="","",IF(T426=1,"素焼土管",IF(T426=2,"合成樹脂管",IF(T426=3,"無孔管",""))))</f>
        <v/>
      </c>
      <c r="V426" s="29"/>
      <c r="W426" s="88"/>
      <c r="X426" s="89"/>
      <c r="Y426" s="90"/>
      <c r="Z426" s="41" t="str">
        <f>IF(S426="","",IF(AND(T427=3,I426=""),Z424+Y426,IF(AND(Z424="",I424=""),I426+Y426,IF(AND(T427=3,I426&gt;0,Z424&gt;0),I426+Z424+Y426,IF(Z424="",I424+I426+X426+Y426,IF(I426="",Z424+X426+Y426,Z424+I426+X426+Y426))))))</f>
        <v/>
      </c>
      <c r="AA426" s="45" t="str">
        <f>IF(AB426="",""," 1/")</f>
        <v/>
      </c>
      <c r="AB426" s="91"/>
      <c r="AC426" s="30" t="str">
        <f>IF(S426="","",IF(T426="","",IF(T426=1,0.013,0.012)))</f>
        <v/>
      </c>
      <c r="AD426" s="31" t="str">
        <f>IF(S426="","",IF(T426="","",(1/AC426*(W426/100/2)^(8/3)*(1/AB426*100)^(1/2)*1.65696)*100))</f>
        <v/>
      </c>
      <c r="AE426" s="31" t="str">
        <f>IF(S426="","",IF(T426="","",1/AC426*(W426/100/2)^(2/3)*(1/AB426)^(1/2)*0.70541))</f>
        <v/>
      </c>
      <c r="AF426" s="31" t="str">
        <f>IF(S426="","",IF(T426="","",ROUNDDOWN(AD426/($U$3/8.64),3)))</f>
        <v/>
      </c>
      <c r="AG426" s="32" t="str">
        <f>IF(S426="","",IF(T426="","",ROUNDDOWN(AF426*10000/$AJ$3,0)))</f>
        <v/>
      </c>
      <c r="AH426" s="33" t="str">
        <f t="shared" si="2451"/>
        <v/>
      </c>
      <c r="AI426" s="41" t="str">
        <f>IF(S426="","",Z426)</f>
        <v/>
      </c>
      <c r="AJ426" s="43" t="str">
        <f>IF(S426="","",AI426*$AJ$3/10000)</f>
        <v/>
      </c>
      <c r="AK426" s="33" t="str">
        <f>IF(S426="","",IF(T426="","",IF(AND(T426=1,AE426&gt;1),"NG",IF(AH426="＞","OK","NG"))))</f>
        <v/>
      </c>
    </row>
    <row r="427" spans="1:37" ht="15.75" customHeight="1" x14ac:dyDescent="0.15">
      <c r="A427" s="92"/>
      <c r="B427" s="93"/>
      <c r="C427" s="59"/>
      <c r="D427" s="61"/>
      <c r="E427" s="94"/>
      <c r="F427" s="95"/>
      <c r="G427" s="95"/>
      <c r="H427" s="96"/>
      <c r="I427" s="54"/>
      <c r="J427" s="46"/>
      <c r="K427" s="97"/>
      <c r="L427" s="57"/>
      <c r="M427" s="44"/>
      <c r="N427" s="44"/>
      <c r="O427" s="42"/>
      <c r="P427" s="50"/>
      <c r="Q427" s="42"/>
      <c r="R427" s="52"/>
      <c r="S427" s="98"/>
      <c r="T427" s="99">
        <v>2</v>
      </c>
      <c r="U427" s="34" t="str">
        <f>IF(S426="","",IF(T426=T427,"〃",IF(T427=1,"素焼土管",IF(T427=2,"合成樹脂管",IF(T427=3,"無孔管","")))))</f>
        <v/>
      </c>
      <c r="V427" s="35"/>
      <c r="W427" s="100"/>
      <c r="X427" s="101"/>
      <c r="Y427" s="95"/>
      <c r="Z427" s="42"/>
      <c r="AA427" s="46"/>
      <c r="AB427" s="97"/>
      <c r="AC427" s="36" t="str">
        <f>IF(S426="","",IF(T427=1,0.013,0.012))</f>
        <v/>
      </c>
      <c r="AD427" s="37" t="str">
        <f>IF(S426="","",(1/AC427*(W427/100/2)^(8/3)*(1/AB426*100)^(1/2)*1.65696)*100)</f>
        <v/>
      </c>
      <c r="AE427" s="37" t="str">
        <f>IF(S426="","",1/AC427*(W427/100/2)^(2/3)*(1/AB426)^(1/2)*0.70541)</f>
        <v/>
      </c>
      <c r="AF427" s="37" t="str">
        <f>IF(S426="","",ROUNDDOWN(AD427/($U$3/8.64),3))</f>
        <v/>
      </c>
      <c r="AG427" s="38" t="str">
        <f>IF(S426="","",ROUNDDOWN(AF427*10000/$AJ$3,0))</f>
        <v/>
      </c>
      <c r="AH427" s="39" t="str">
        <f t="shared" ref="AH427" si="2467">IF(S426="","",IF(AG427&gt;AI426,"＞",IF(AG427=AI426,"=","＜")))</f>
        <v/>
      </c>
      <c r="AI427" s="42"/>
      <c r="AJ427" s="44"/>
      <c r="AK427" s="39" t="str">
        <f>IF(S426="","",IF(AND(T427=1,AE427&gt;1),"NG",IF(AH427="＞","OK","NG")))</f>
        <v/>
      </c>
    </row>
    <row r="428" spans="1:37" ht="15.75" customHeight="1" x14ac:dyDescent="0.15">
      <c r="A428" s="80"/>
      <c r="B428" s="81">
        <v>2</v>
      </c>
      <c r="C428" s="58" t="str">
        <f>IF(A428="","",IF(B428=1,"素　焼土　管",IF(B428=2,"合　成樹脂管",IF(B428=3,"無孔管",""))))</f>
        <v/>
      </c>
      <c r="D428" s="60"/>
      <c r="E428" s="82"/>
      <c r="F428" s="83"/>
      <c r="G428" s="83"/>
      <c r="H428" s="84"/>
      <c r="I428" s="53" t="str">
        <f>IF(A428="","",F428-G428+H428)</f>
        <v/>
      </c>
      <c r="J428" s="55" t="str">
        <f>IF(A428="",""," 1/")</f>
        <v/>
      </c>
      <c r="K428" s="85"/>
      <c r="L428" s="56" t="str">
        <f>IF(A428="","",IF(B428=1,0.013,0.012))</f>
        <v/>
      </c>
      <c r="M428" s="47" t="str">
        <f>IF(A428="","",(1/L428*(E428/100/2)^(8/3)*(1/K428*100)^(1/2)*1.65696)*100)</f>
        <v/>
      </c>
      <c r="N428" s="47" t="str">
        <f>IF(A428="","",1/L428*(E428/100/2)^(2/3)*(1/K428)^(1/2)*0.70541)</f>
        <v/>
      </c>
      <c r="O428" s="48" t="str">
        <f>IF(A428="","",ROUNDDOWN(M428/($U$3/8.64)*10000/$AJ$3,0))</f>
        <v/>
      </c>
      <c r="P428" s="49" t="str">
        <f>IF(A428="","",IF(O428&gt;Q428,"＞","＜"))</f>
        <v/>
      </c>
      <c r="Q428" s="48" t="str">
        <f>IF(A428="","",I428)</f>
        <v/>
      </c>
      <c r="R428" s="51" t="str">
        <f>IF(A428="","",IF(P428="＞","OK","NG"))</f>
        <v/>
      </c>
      <c r="S428" s="86"/>
      <c r="T428" s="87"/>
      <c r="U428" s="28" t="str">
        <f>IF(S428="","",IF(T428=1,"素焼土管",IF(T428=2,"合成樹脂管",IF(T428=3,"無孔管",""))))</f>
        <v/>
      </c>
      <c r="V428" s="29"/>
      <c r="W428" s="88"/>
      <c r="X428" s="89"/>
      <c r="Y428" s="90"/>
      <c r="Z428" s="41" t="str">
        <f>IF(S428="","",IF(AND(T429=3,I428=""),Z426+Y428,IF(AND(Z426="",I426=""),I428+Y428,IF(AND(T429=3,I428&gt;0,Z426&gt;0),I428+Z426+Y428,IF(Z426="",I426+I428+X428+Y428,IF(I428="",Z426+X428+Y428,Z426+I428+X428+Y428))))))</f>
        <v/>
      </c>
      <c r="AA428" s="45" t="str">
        <f>IF(AB428="",""," 1/")</f>
        <v/>
      </c>
      <c r="AB428" s="91"/>
      <c r="AC428" s="30" t="str">
        <f>IF(S428="","",IF(T428="","",IF(T428=1,0.013,0.012)))</f>
        <v/>
      </c>
      <c r="AD428" s="31" t="str">
        <f>IF(S428="","",IF(T428="","",(1/AC428*(W428/100/2)^(8/3)*(1/AB428*100)^(1/2)*1.65696)*100))</f>
        <v/>
      </c>
      <c r="AE428" s="31" t="str">
        <f>IF(S428="","",IF(T428="","",1/AC428*(W428/100/2)^(2/3)*(1/AB428)^(1/2)*0.70541))</f>
        <v/>
      </c>
      <c r="AF428" s="31" t="str">
        <f>IF(S428="","",IF(T428="","",ROUNDDOWN(AD428/($U$3/8.64),3)))</f>
        <v/>
      </c>
      <c r="AG428" s="32" t="str">
        <f>IF(S428="","",IF(T428="","",ROUNDDOWN(AF428*10000/$AJ$3,0)))</f>
        <v/>
      </c>
      <c r="AH428" s="33" t="str">
        <f t="shared" si="2451"/>
        <v/>
      </c>
      <c r="AI428" s="41" t="str">
        <f>IF(S428="","",Z428)</f>
        <v/>
      </c>
      <c r="AJ428" s="43" t="str">
        <f>IF(S428="","",AI428*$AJ$3/10000)</f>
        <v/>
      </c>
      <c r="AK428" s="33" t="str">
        <f>IF(S428="","",IF(T428="","",IF(AND(T428=1,AE428&gt;1),"NG",IF(AH428="＞","OK","NG"))))</f>
        <v/>
      </c>
    </row>
    <row r="429" spans="1:37" ht="15.75" customHeight="1" x14ac:dyDescent="0.15">
      <c r="A429" s="92"/>
      <c r="B429" s="93"/>
      <c r="C429" s="59"/>
      <c r="D429" s="61"/>
      <c r="E429" s="94"/>
      <c r="F429" s="95"/>
      <c r="G429" s="95"/>
      <c r="H429" s="96"/>
      <c r="I429" s="54"/>
      <c r="J429" s="46"/>
      <c r="K429" s="97"/>
      <c r="L429" s="57"/>
      <c r="M429" s="44"/>
      <c r="N429" s="44"/>
      <c r="O429" s="42"/>
      <c r="P429" s="50"/>
      <c r="Q429" s="42"/>
      <c r="R429" s="52"/>
      <c r="S429" s="98"/>
      <c r="T429" s="99">
        <v>2</v>
      </c>
      <c r="U429" s="34" t="str">
        <f>IF(S428="","",IF(T428=T429,"〃",IF(T429=1,"素焼土管",IF(T429=2,"合成樹脂管",IF(T429=3,"無孔管","")))))</f>
        <v/>
      </c>
      <c r="V429" s="35"/>
      <c r="W429" s="100"/>
      <c r="X429" s="101"/>
      <c r="Y429" s="95"/>
      <c r="Z429" s="42"/>
      <c r="AA429" s="46"/>
      <c r="AB429" s="97"/>
      <c r="AC429" s="36" t="str">
        <f>IF(S428="","",IF(T429=1,0.013,0.012))</f>
        <v/>
      </c>
      <c r="AD429" s="37" t="str">
        <f>IF(S428="","",(1/AC429*(W429/100/2)^(8/3)*(1/AB428*100)^(1/2)*1.65696)*100)</f>
        <v/>
      </c>
      <c r="AE429" s="37" t="str">
        <f>IF(S428="","",1/AC429*(W429/100/2)^(2/3)*(1/AB428)^(1/2)*0.70541)</f>
        <v/>
      </c>
      <c r="AF429" s="37" t="str">
        <f>IF(S428="","",ROUNDDOWN(AD429/($U$3/8.64),3))</f>
        <v/>
      </c>
      <c r="AG429" s="38" t="str">
        <f>IF(S428="","",ROUNDDOWN(AF429*10000/$AJ$3,0))</f>
        <v/>
      </c>
      <c r="AH429" s="39" t="str">
        <f t="shared" ref="AH429" si="2468">IF(S428="","",IF(AG429&gt;AI428,"＞",IF(AG429=AI428,"=","＜")))</f>
        <v/>
      </c>
      <c r="AI429" s="42"/>
      <c r="AJ429" s="44"/>
      <c r="AK429" s="39" t="str">
        <f>IF(S428="","",IF(AND(T429=1,AE429&gt;1),"NG",IF(AH429="＞","OK","NG")))</f>
        <v/>
      </c>
    </row>
    <row r="430" spans="1:37" ht="15.75" customHeight="1" x14ac:dyDescent="0.15">
      <c r="A430" s="80"/>
      <c r="B430" s="81">
        <v>2</v>
      </c>
      <c r="C430" s="58" t="str">
        <f>IF(A430="","",IF(B430=1,"素　焼土　管",IF(B430=2,"合　成樹脂管",IF(B430=3,"無孔管",""))))</f>
        <v/>
      </c>
      <c r="D430" s="60"/>
      <c r="E430" s="82"/>
      <c r="F430" s="83"/>
      <c r="G430" s="83"/>
      <c r="H430" s="84"/>
      <c r="I430" s="53" t="str">
        <f>IF(A430="","",F430-G430+H430)</f>
        <v/>
      </c>
      <c r="J430" s="55" t="str">
        <f>IF(A430="",""," 1/")</f>
        <v/>
      </c>
      <c r="K430" s="85"/>
      <c r="L430" s="56" t="str">
        <f>IF(A430="","",IF(B430=1,0.013,0.012))</f>
        <v/>
      </c>
      <c r="M430" s="47" t="str">
        <f>IF(A430="","",(1/L430*(E430/100/2)^(8/3)*(1/K430*100)^(1/2)*1.65696)*100)</f>
        <v/>
      </c>
      <c r="N430" s="47" t="str">
        <f>IF(A430="","",1/L430*(E430/100/2)^(2/3)*(1/K430)^(1/2)*0.70541)</f>
        <v/>
      </c>
      <c r="O430" s="48" t="str">
        <f>IF(A430="","",ROUNDDOWN(M430/($U$3/8.64)*10000/$AJ$3,0))</f>
        <v/>
      </c>
      <c r="P430" s="49" t="str">
        <f>IF(A430="","",IF(O430&gt;Q430,"＞","＜"))</f>
        <v/>
      </c>
      <c r="Q430" s="48" t="str">
        <f>IF(A430="","",I430)</f>
        <v/>
      </c>
      <c r="R430" s="51" t="str">
        <f>IF(A430="","",IF(P430="＞","OK","NG"))</f>
        <v/>
      </c>
      <c r="S430" s="86"/>
      <c r="T430" s="87"/>
      <c r="U430" s="28" t="str">
        <f>IF(S430="","",IF(T430=1,"素焼土管",IF(T430=2,"合成樹脂管",IF(T430=3,"無孔管",""))))</f>
        <v/>
      </c>
      <c r="V430" s="29"/>
      <c r="W430" s="88"/>
      <c r="X430" s="89"/>
      <c r="Y430" s="90"/>
      <c r="Z430" s="41" t="str">
        <f>IF(S430="","",IF(AND(T431=3,I430=""),Z428+Y430,IF(AND(Z428="",I428=""),I430+Y430,IF(AND(T431=3,I430&gt;0,Z428&gt;0),I430+Z428+Y430,IF(Z428="",I428+I430+X430+Y430,IF(I430="",Z428+X430+Y430,Z428+I430+X430+Y430))))))</f>
        <v/>
      </c>
      <c r="AA430" s="45" t="str">
        <f>IF(AB430="",""," 1/")</f>
        <v/>
      </c>
      <c r="AB430" s="91"/>
      <c r="AC430" s="30" t="str">
        <f>IF(S430="","",IF(T430="","",IF(T430=1,0.013,0.012)))</f>
        <v/>
      </c>
      <c r="AD430" s="31" t="str">
        <f>IF(S430="","",IF(T430="","",(1/AC430*(W430/100/2)^(8/3)*(1/AB430*100)^(1/2)*1.65696)*100))</f>
        <v/>
      </c>
      <c r="AE430" s="31" t="str">
        <f>IF(S430="","",IF(T430="","",1/AC430*(W430/100/2)^(2/3)*(1/AB430)^(1/2)*0.70541))</f>
        <v/>
      </c>
      <c r="AF430" s="31" t="str">
        <f>IF(S430="","",IF(T430="","",ROUNDDOWN(AD430/($U$3/8.64),3)))</f>
        <v/>
      </c>
      <c r="AG430" s="32" t="str">
        <f>IF(S430="","",IF(T430="","",ROUNDDOWN(AF430*10000/$AJ$3,0)))</f>
        <v/>
      </c>
      <c r="AH430" s="33" t="str">
        <f t="shared" si="2451"/>
        <v/>
      </c>
      <c r="AI430" s="41" t="str">
        <f>IF(S430="","",Z430)</f>
        <v/>
      </c>
      <c r="AJ430" s="43" t="str">
        <f>IF(S430="","",AI430*$AJ$3/10000)</f>
        <v/>
      </c>
      <c r="AK430" s="33" t="str">
        <f>IF(S430="","",IF(T430="","",IF(AND(T430=1,AE430&gt;1),"NG",IF(AH430="＞","OK","NG"))))</f>
        <v/>
      </c>
    </row>
    <row r="431" spans="1:37" ht="15.75" customHeight="1" x14ac:dyDescent="0.15">
      <c r="A431" s="92"/>
      <c r="B431" s="93"/>
      <c r="C431" s="59"/>
      <c r="D431" s="61"/>
      <c r="E431" s="94"/>
      <c r="F431" s="95"/>
      <c r="G431" s="95"/>
      <c r="H431" s="96"/>
      <c r="I431" s="54"/>
      <c r="J431" s="46"/>
      <c r="K431" s="97"/>
      <c r="L431" s="57"/>
      <c r="M431" s="44"/>
      <c r="N431" s="44"/>
      <c r="O431" s="42"/>
      <c r="P431" s="50"/>
      <c r="Q431" s="42"/>
      <c r="R431" s="52"/>
      <c r="S431" s="98"/>
      <c r="T431" s="99">
        <v>2</v>
      </c>
      <c r="U431" s="34" t="str">
        <f>IF(S430="","",IF(T430=T431,"〃",IF(T431=1,"素焼土管",IF(T431=2,"合成樹脂管",IF(T431=3,"無孔管","")))))</f>
        <v/>
      </c>
      <c r="V431" s="35"/>
      <c r="W431" s="100"/>
      <c r="X431" s="101"/>
      <c r="Y431" s="95"/>
      <c r="Z431" s="42"/>
      <c r="AA431" s="46"/>
      <c r="AB431" s="97"/>
      <c r="AC431" s="36" t="str">
        <f>IF(S430="","",IF(T431=1,0.013,0.012))</f>
        <v/>
      </c>
      <c r="AD431" s="37" t="str">
        <f>IF(S430="","",(1/AC431*(W431/100/2)^(8/3)*(1/AB430*100)^(1/2)*1.65696)*100)</f>
        <v/>
      </c>
      <c r="AE431" s="37" t="str">
        <f>IF(S430="","",1/AC431*(W431/100/2)^(2/3)*(1/AB430)^(1/2)*0.70541)</f>
        <v/>
      </c>
      <c r="AF431" s="37" t="str">
        <f>IF(S430="","",ROUNDDOWN(AD431/($U$3/8.64),3))</f>
        <v/>
      </c>
      <c r="AG431" s="38" t="str">
        <f>IF(S430="","",ROUNDDOWN(AF431*10000/$AJ$3,0))</f>
        <v/>
      </c>
      <c r="AH431" s="39" t="str">
        <f t="shared" ref="AH431" si="2469">IF(S430="","",IF(AG431&gt;AI430,"＞",IF(AG431=AI430,"=","＜")))</f>
        <v/>
      </c>
      <c r="AI431" s="42"/>
      <c r="AJ431" s="44"/>
      <c r="AK431" s="39" t="str">
        <f>IF(S430="","",IF(AND(T431=1,AE431&gt;1),"NG",IF(AH431="＞","OK","NG")))</f>
        <v/>
      </c>
    </row>
    <row r="432" spans="1:37" ht="15.75" customHeight="1" x14ac:dyDescent="0.15">
      <c r="A432" s="80"/>
      <c r="B432" s="81">
        <v>2</v>
      </c>
      <c r="C432" s="58" t="str">
        <f>IF(A432="","",IF(B432=1,"素　焼土　管",IF(B432=2,"合　成樹脂管",IF(B432=3,"無孔管",""))))</f>
        <v/>
      </c>
      <c r="D432" s="60"/>
      <c r="E432" s="82"/>
      <c r="F432" s="83"/>
      <c r="G432" s="83"/>
      <c r="H432" s="84"/>
      <c r="I432" s="53" t="str">
        <f>IF(A432="","",F432-G432+H432)</f>
        <v/>
      </c>
      <c r="J432" s="55" t="str">
        <f>IF(A432="",""," 1/")</f>
        <v/>
      </c>
      <c r="K432" s="85"/>
      <c r="L432" s="56" t="str">
        <f>IF(A432="","",IF(B432=1,0.013,0.012))</f>
        <v/>
      </c>
      <c r="M432" s="47" t="str">
        <f>IF(A432="","",(1/L432*(E432/100/2)^(8/3)*(1/K432*100)^(1/2)*1.65696)*100)</f>
        <v/>
      </c>
      <c r="N432" s="47" t="str">
        <f>IF(A432="","",1/L432*(E432/100/2)^(2/3)*(1/K432)^(1/2)*0.70541)</f>
        <v/>
      </c>
      <c r="O432" s="48" t="str">
        <f>IF(A432="","",ROUNDDOWN(M432/($U$3/8.64)*10000/$AJ$3,0))</f>
        <v/>
      </c>
      <c r="P432" s="49" t="str">
        <f>IF(A432="","",IF(O432&gt;Q432,"＞","＜"))</f>
        <v/>
      </c>
      <c r="Q432" s="48" t="str">
        <f>IF(A432="","",I432)</f>
        <v/>
      </c>
      <c r="R432" s="51" t="str">
        <f>IF(A432="","",IF(P432="＞","OK","NG"))</f>
        <v/>
      </c>
      <c r="S432" s="86"/>
      <c r="T432" s="87"/>
      <c r="U432" s="28" t="str">
        <f>IF(S432="","",IF(T432=1,"素焼土管",IF(T432=2,"合成樹脂管",IF(T432=3,"無孔管",""))))</f>
        <v/>
      </c>
      <c r="V432" s="29"/>
      <c r="W432" s="88"/>
      <c r="X432" s="89"/>
      <c r="Y432" s="90"/>
      <c r="Z432" s="41" t="str">
        <f>IF(S432="","",IF(AND(T433=3,I432=""),Z430+Y432,IF(AND(Z430="",I430=""),I432+Y432,IF(AND(T433=3,I432&gt;0,Z430&gt;0),I432+Z430+Y432,IF(Z430="",I430+I432+X432+Y432,IF(I432="",Z430+X432+Y432,Z430+I432+X432+Y432))))))</f>
        <v/>
      </c>
      <c r="AA432" s="45" t="str">
        <f>IF(AB432="",""," 1/")</f>
        <v/>
      </c>
      <c r="AB432" s="91"/>
      <c r="AC432" s="30" t="str">
        <f>IF(S432="","",IF(T432="","",IF(T432=1,0.013,0.012)))</f>
        <v/>
      </c>
      <c r="AD432" s="31" t="str">
        <f>IF(S432="","",IF(T432="","",(1/AC432*(W432/100/2)^(8/3)*(1/AB432*100)^(1/2)*1.65696)*100))</f>
        <v/>
      </c>
      <c r="AE432" s="31" t="str">
        <f>IF(S432="","",IF(T432="","",1/AC432*(W432/100/2)^(2/3)*(1/AB432)^(1/2)*0.70541))</f>
        <v/>
      </c>
      <c r="AF432" s="31" t="str">
        <f>IF(S432="","",IF(T432="","",ROUNDDOWN(AD432/($U$3/8.64),3)))</f>
        <v/>
      </c>
      <c r="AG432" s="32" t="str">
        <f>IF(S432="","",IF(T432="","",ROUNDDOWN(AF432*10000/$AJ$3,0)))</f>
        <v/>
      </c>
      <c r="AH432" s="33" t="str">
        <f t="shared" si="2451"/>
        <v/>
      </c>
      <c r="AI432" s="41" t="str">
        <f>IF(S432="","",Z432)</f>
        <v/>
      </c>
      <c r="AJ432" s="43" t="str">
        <f>IF(S432="","",AI432*$AJ$3/10000)</f>
        <v/>
      </c>
      <c r="AK432" s="33" t="str">
        <f>IF(S432="","",IF(T432="","",IF(AND(T432=1,AE432&gt;1),"NG",IF(AH432="＞","OK","NG"))))</f>
        <v/>
      </c>
    </row>
    <row r="433" spans="1:37" ht="15.75" customHeight="1" x14ac:dyDescent="0.15">
      <c r="A433" s="92"/>
      <c r="B433" s="93"/>
      <c r="C433" s="59"/>
      <c r="D433" s="61"/>
      <c r="E433" s="94"/>
      <c r="F433" s="95"/>
      <c r="G433" s="95"/>
      <c r="H433" s="96"/>
      <c r="I433" s="54"/>
      <c r="J433" s="46"/>
      <c r="K433" s="97"/>
      <c r="L433" s="57"/>
      <c r="M433" s="44"/>
      <c r="N433" s="44"/>
      <c r="O433" s="42"/>
      <c r="P433" s="50"/>
      <c r="Q433" s="42"/>
      <c r="R433" s="52"/>
      <c r="S433" s="98"/>
      <c r="T433" s="99">
        <v>2</v>
      </c>
      <c r="U433" s="34" t="str">
        <f>IF(S432="","",IF(T432=T433,"〃",IF(T433=1,"素焼土管",IF(T433=2,"合成樹脂管",IF(T433=3,"無孔管","")))))</f>
        <v/>
      </c>
      <c r="V433" s="35"/>
      <c r="W433" s="100"/>
      <c r="X433" s="101"/>
      <c r="Y433" s="95"/>
      <c r="Z433" s="42"/>
      <c r="AA433" s="46"/>
      <c r="AB433" s="97"/>
      <c r="AC433" s="36" t="str">
        <f>IF(S432="","",IF(T433=1,0.013,0.012))</f>
        <v/>
      </c>
      <c r="AD433" s="37" t="str">
        <f>IF(S432="","",(1/AC433*(W433/100/2)^(8/3)*(1/AB432*100)^(1/2)*1.65696)*100)</f>
        <v/>
      </c>
      <c r="AE433" s="37" t="str">
        <f>IF(S432="","",1/AC433*(W433/100/2)^(2/3)*(1/AB432)^(1/2)*0.70541)</f>
        <v/>
      </c>
      <c r="AF433" s="37" t="str">
        <f>IF(S432="","",ROUNDDOWN(AD433/($U$3/8.64),3))</f>
        <v/>
      </c>
      <c r="AG433" s="38" t="str">
        <f>IF(S432="","",ROUNDDOWN(AF433*10000/$AJ$3,0))</f>
        <v/>
      </c>
      <c r="AH433" s="39" t="str">
        <f t="shared" ref="AH433" si="2470">IF(S432="","",IF(AG433&gt;AI432,"＞",IF(AG433=AI432,"=","＜")))</f>
        <v/>
      </c>
      <c r="AI433" s="42"/>
      <c r="AJ433" s="44"/>
      <c r="AK433" s="39" t="str">
        <f>IF(S432="","",IF(AND(T433=1,AE433&gt;1),"NG",IF(AH433="＞","OK","NG")))</f>
        <v/>
      </c>
    </row>
    <row r="434" spans="1:37" ht="15.75" customHeight="1" x14ac:dyDescent="0.15">
      <c r="A434" s="80"/>
      <c r="B434" s="81">
        <v>2</v>
      </c>
      <c r="C434" s="58" t="str">
        <f>IF(A434="","",IF(B434=1,"素　焼土　管",IF(B434=2,"合　成樹脂管",IF(B434=3,"無孔管",""))))</f>
        <v/>
      </c>
      <c r="D434" s="60"/>
      <c r="E434" s="82"/>
      <c r="F434" s="83"/>
      <c r="G434" s="83"/>
      <c r="H434" s="84"/>
      <c r="I434" s="53" t="str">
        <f>IF(A434="","",F434-G434+H434)</f>
        <v/>
      </c>
      <c r="J434" s="55" t="str">
        <f>IF(A434="",""," 1/")</f>
        <v/>
      </c>
      <c r="K434" s="85"/>
      <c r="L434" s="56" t="str">
        <f>IF(A434="","",IF(B434=1,0.013,0.012))</f>
        <v/>
      </c>
      <c r="M434" s="47" t="str">
        <f>IF(A434="","",(1/L434*(E434/100/2)^(8/3)*(1/K434*100)^(1/2)*1.65696)*100)</f>
        <v/>
      </c>
      <c r="N434" s="47" t="str">
        <f>IF(A434="","",1/L434*(E434/100/2)^(2/3)*(1/K434)^(1/2)*0.70541)</f>
        <v/>
      </c>
      <c r="O434" s="48" t="str">
        <f>IF(A434="","",ROUNDDOWN(M434/($U$3/8.64)*10000/$AJ$3,0))</f>
        <v/>
      </c>
      <c r="P434" s="49" t="str">
        <f>IF(A434="","",IF(O434&gt;Q434,"＞","＜"))</f>
        <v/>
      </c>
      <c r="Q434" s="48" t="str">
        <f>IF(A434="","",I434)</f>
        <v/>
      </c>
      <c r="R434" s="51" t="str">
        <f>IF(A434="","",IF(P434="＞","OK","NG"))</f>
        <v/>
      </c>
      <c r="S434" s="86"/>
      <c r="T434" s="87"/>
      <c r="U434" s="28" t="str">
        <f>IF(S434="","",IF(T434=1,"素焼土管",IF(T434=2,"合成樹脂管",IF(T434=3,"無孔管",""))))</f>
        <v/>
      </c>
      <c r="V434" s="29"/>
      <c r="W434" s="88"/>
      <c r="X434" s="89"/>
      <c r="Y434" s="90"/>
      <c r="Z434" s="41" t="str">
        <f>IF(S434="","",IF(AND(T435=3,I434=""),Z432+Y434,IF(AND(Z432="",I432=""),I434+Y434,IF(AND(T435=3,I434&gt;0,Z432&gt;0),I434+Z432+Y434,IF(Z432="",I432+I434+X434+Y434,IF(I434="",Z432+X434+Y434,Z432+I434+X434+Y434))))))</f>
        <v/>
      </c>
      <c r="AA434" s="45" t="str">
        <f>IF(AB434="",""," 1/")</f>
        <v/>
      </c>
      <c r="AB434" s="91"/>
      <c r="AC434" s="30" t="str">
        <f>IF(S434="","",IF(T434="","",IF(T434=1,0.013,0.012)))</f>
        <v/>
      </c>
      <c r="AD434" s="31" t="str">
        <f>IF(S434="","",IF(T434="","",(1/AC434*(W434/100/2)^(8/3)*(1/AB434*100)^(1/2)*1.65696)*100))</f>
        <v/>
      </c>
      <c r="AE434" s="31" t="str">
        <f>IF(S434="","",IF(T434="","",1/AC434*(W434/100/2)^(2/3)*(1/AB434)^(1/2)*0.70541))</f>
        <v/>
      </c>
      <c r="AF434" s="31" t="str">
        <f>IF(S434="","",IF(T434="","",ROUNDDOWN(AD434/($U$3/8.64),3)))</f>
        <v/>
      </c>
      <c r="AG434" s="32" t="str">
        <f>IF(S434="","",IF(T434="","",ROUNDDOWN(AF434*10000/$AJ$3,0)))</f>
        <v/>
      </c>
      <c r="AH434" s="33" t="str">
        <f t="shared" si="2451"/>
        <v/>
      </c>
      <c r="AI434" s="41" t="str">
        <f>IF(S434="","",Z434)</f>
        <v/>
      </c>
      <c r="AJ434" s="43" t="str">
        <f>IF(S434="","",AI434*$AJ$3/10000)</f>
        <v/>
      </c>
      <c r="AK434" s="33" t="str">
        <f>IF(S434="","",IF(T434="","",IF(AND(T434=1,AE434&gt;1),"NG",IF(AH434="＞","OK","NG"))))</f>
        <v/>
      </c>
    </row>
    <row r="435" spans="1:37" ht="15.75" customHeight="1" x14ac:dyDescent="0.15">
      <c r="A435" s="92"/>
      <c r="B435" s="93"/>
      <c r="C435" s="59"/>
      <c r="D435" s="61"/>
      <c r="E435" s="94"/>
      <c r="F435" s="95"/>
      <c r="G435" s="95"/>
      <c r="H435" s="96"/>
      <c r="I435" s="54"/>
      <c r="J435" s="46"/>
      <c r="K435" s="97"/>
      <c r="L435" s="57"/>
      <c r="M435" s="44"/>
      <c r="N435" s="44"/>
      <c r="O435" s="42"/>
      <c r="P435" s="50"/>
      <c r="Q435" s="42"/>
      <c r="R435" s="52"/>
      <c r="S435" s="98"/>
      <c r="T435" s="99">
        <v>2</v>
      </c>
      <c r="U435" s="34" t="str">
        <f>IF(S434="","",IF(T434=T435,"〃",IF(T435=1,"素焼土管",IF(T435=2,"合成樹脂管",IF(T435=3,"無孔管","")))))</f>
        <v/>
      </c>
      <c r="V435" s="35"/>
      <c r="W435" s="100"/>
      <c r="X435" s="101"/>
      <c r="Y435" s="95"/>
      <c r="Z435" s="42"/>
      <c r="AA435" s="46"/>
      <c r="AB435" s="97"/>
      <c r="AC435" s="36" t="str">
        <f>IF(S434="","",IF(T435=1,0.013,0.012))</f>
        <v/>
      </c>
      <c r="AD435" s="37" t="str">
        <f>IF(S434="","",(1/AC435*(W435/100/2)^(8/3)*(1/AB434*100)^(1/2)*1.65696)*100)</f>
        <v/>
      </c>
      <c r="AE435" s="37" t="str">
        <f>IF(S434="","",1/AC435*(W435/100/2)^(2/3)*(1/AB434)^(1/2)*0.70541)</f>
        <v/>
      </c>
      <c r="AF435" s="37" t="str">
        <f>IF(S434="","",ROUNDDOWN(AD435/($U$3/8.64),3))</f>
        <v/>
      </c>
      <c r="AG435" s="38" t="str">
        <f>IF(S434="","",ROUNDDOWN(AF435*10000/$AJ$3,0))</f>
        <v/>
      </c>
      <c r="AH435" s="39" t="str">
        <f t="shared" ref="AH435" si="2471">IF(S434="","",IF(AG435&gt;AI434,"＞",IF(AG435=AI434,"=","＜")))</f>
        <v/>
      </c>
      <c r="AI435" s="42"/>
      <c r="AJ435" s="44"/>
      <c r="AK435" s="39" t="str">
        <f>IF(S434="","",IF(AND(T435=1,AE435&gt;1),"NG",IF(AH435="＞","OK","NG")))</f>
        <v/>
      </c>
    </row>
    <row r="436" spans="1:37" ht="15.75" customHeight="1" x14ac:dyDescent="0.15">
      <c r="A436" s="80"/>
      <c r="B436" s="81">
        <v>2</v>
      </c>
      <c r="C436" s="58" t="str">
        <f>IF(A436="","",IF(B436=1,"素　焼土　管",IF(B436=2,"合　成樹脂管",IF(B436=3,"無孔管",""))))</f>
        <v/>
      </c>
      <c r="D436" s="60"/>
      <c r="E436" s="82"/>
      <c r="F436" s="83"/>
      <c r="G436" s="83"/>
      <c r="H436" s="84"/>
      <c r="I436" s="53" t="str">
        <f>IF(A436="","",F436-G436+H436)</f>
        <v/>
      </c>
      <c r="J436" s="55" t="str">
        <f>IF(A436="",""," 1/")</f>
        <v/>
      </c>
      <c r="K436" s="85"/>
      <c r="L436" s="56" t="str">
        <f>IF(A436="","",IF(B436=1,0.013,0.012))</f>
        <v/>
      </c>
      <c r="M436" s="47" t="str">
        <f>IF(A436="","",(1/L436*(E436/100/2)^(8/3)*(1/K436*100)^(1/2)*1.65696)*100)</f>
        <v/>
      </c>
      <c r="N436" s="47" t="str">
        <f>IF(A436="","",1/L436*(E436/100/2)^(2/3)*(1/K436)^(1/2)*0.70541)</f>
        <v/>
      </c>
      <c r="O436" s="48" t="str">
        <f>IF(A436="","",ROUNDDOWN(M436/($U$3/8.64)*10000/$AJ$3,0))</f>
        <v/>
      </c>
      <c r="P436" s="49" t="str">
        <f>IF(A436="","",IF(O436&gt;Q436,"＞","＜"))</f>
        <v/>
      </c>
      <c r="Q436" s="48" t="str">
        <f>IF(A436="","",I436)</f>
        <v/>
      </c>
      <c r="R436" s="51" t="str">
        <f>IF(A436="","",IF(P436="＞","OK","NG"))</f>
        <v/>
      </c>
      <c r="S436" s="86"/>
      <c r="T436" s="87"/>
      <c r="U436" s="28" t="str">
        <f>IF(S436="","",IF(T436=1,"素焼土管",IF(T436=2,"合成樹脂管",IF(T436=3,"無孔管",""))))</f>
        <v/>
      </c>
      <c r="V436" s="29"/>
      <c r="W436" s="88"/>
      <c r="X436" s="89"/>
      <c r="Y436" s="90"/>
      <c r="Z436" s="41" t="str">
        <f>IF(S436="","",IF(AND(T437=3,I436=""),Z434+Y436,IF(AND(Z434="",I434=""),I436+Y436,IF(AND(T437=3,I436&gt;0,Z434&gt;0),I436+Z434+Y436,IF(Z434="",I434+I436+X436+Y436,IF(I436="",Z434+X436+Y436,Z434+I436+X436+Y436))))))</f>
        <v/>
      </c>
      <c r="AA436" s="45" t="str">
        <f>IF(AB436="",""," 1/")</f>
        <v/>
      </c>
      <c r="AB436" s="91"/>
      <c r="AC436" s="30" t="str">
        <f>IF(S436="","",IF(T436="","",IF(T436=1,0.013,0.012)))</f>
        <v/>
      </c>
      <c r="AD436" s="31" t="str">
        <f>IF(S436="","",IF(T436="","",(1/AC436*(W436/100/2)^(8/3)*(1/AB436*100)^(1/2)*1.65696)*100))</f>
        <v/>
      </c>
      <c r="AE436" s="31" t="str">
        <f>IF(S436="","",IF(T436="","",1/AC436*(W436/100/2)^(2/3)*(1/AB436)^(1/2)*0.70541))</f>
        <v/>
      </c>
      <c r="AF436" s="31" t="str">
        <f>IF(S436="","",IF(T436="","",ROUNDDOWN(AD436/($U$3/8.64),3)))</f>
        <v/>
      </c>
      <c r="AG436" s="32" t="str">
        <f>IF(S436="","",IF(T436="","",ROUNDDOWN(AF436*10000/$AJ$3,0)))</f>
        <v/>
      </c>
      <c r="AH436" s="33" t="str">
        <f t="shared" si="2451"/>
        <v/>
      </c>
      <c r="AI436" s="41" t="str">
        <f>IF(S436="","",Z436)</f>
        <v/>
      </c>
      <c r="AJ436" s="43" t="str">
        <f>IF(S436="","",AI436*$AJ$3/10000)</f>
        <v/>
      </c>
      <c r="AK436" s="33" t="str">
        <f>IF(S436="","",IF(T436="","",IF(AND(T436=1,AE436&gt;1),"NG",IF(AH436="＞","OK","NG"))))</f>
        <v/>
      </c>
    </row>
    <row r="437" spans="1:37" ht="15.75" customHeight="1" x14ac:dyDescent="0.15">
      <c r="A437" s="92"/>
      <c r="B437" s="93"/>
      <c r="C437" s="59"/>
      <c r="D437" s="61"/>
      <c r="E437" s="94"/>
      <c r="F437" s="95"/>
      <c r="G437" s="95"/>
      <c r="H437" s="96"/>
      <c r="I437" s="54"/>
      <c r="J437" s="46"/>
      <c r="K437" s="97"/>
      <c r="L437" s="57"/>
      <c r="M437" s="44"/>
      <c r="N437" s="44"/>
      <c r="O437" s="42"/>
      <c r="P437" s="50"/>
      <c r="Q437" s="42"/>
      <c r="R437" s="52"/>
      <c r="S437" s="98"/>
      <c r="T437" s="99">
        <v>2</v>
      </c>
      <c r="U437" s="34" t="str">
        <f>IF(S436="","",IF(T436=T437,"〃",IF(T437=1,"素焼土管",IF(T437=2,"合成樹脂管",IF(T437=3,"無孔管","")))))</f>
        <v/>
      </c>
      <c r="V437" s="35"/>
      <c r="W437" s="100"/>
      <c r="X437" s="101"/>
      <c r="Y437" s="95"/>
      <c r="Z437" s="42"/>
      <c r="AA437" s="46"/>
      <c r="AB437" s="97"/>
      <c r="AC437" s="36" t="str">
        <f>IF(S436="","",IF(T437=1,0.013,0.012))</f>
        <v/>
      </c>
      <c r="AD437" s="37" t="str">
        <f>IF(S436="","",(1/AC437*(W437/100/2)^(8/3)*(1/AB436*100)^(1/2)*1.65696)*100)</f>
        <v/>
      </c>
      <c r="AE437" s="37" t="str">
        <f>IF(S436="","",1/AC437*(W437/100/2)^(2/3)*(1/AB436)^(1/2)*0.70541)</f>
        <v/>
      </c>
      <c r="AF437" s="37" t="str">
        <f>IF(S436="","",ROUNDDOWN(AD437/($U$3/8.64),3))</f>
        <v/>
      </c>
      <c r="AG437" s="38" t="str">
        <f>IF(S436="","",ROUNDDOWN(AF437*10000/$AJ$3,0))</f>
        <v/>
      </c>
      <c r="AH437" s="39" t="str">
        <f t="shared" ref="AH437" si="2472">IF(S436="","",IF(AG437&gt;AI436,"＞",IF(AG437=AI436,"=","＜")))</f>
        <v/>
      </c>
      <c r="AI437" s="42"/>
      <c r="AJ437" s="44"/>
      <c r="AK437" s="39" t="str">
        <f>IF(S436="","",IF(AND(T437=1,AE437&gt;1),"NG",IF(AH437="＞","OK","NG")))</f>
        <v/>
      </c>
    </row>
    <row r="438" spans="1:37" ht="15.75" customHeight="1" x14ac:dyDescent="0.15">
      <c r="A438" s="80"/>
      <c r="B438" s="81">
        <v>2</v>
      </c>
      <c r="C438" s="58" t="str">
        <f>IF(A438="","",IF(B438=1,"素　焼土　管",IF(B438=2,"合　成樹脂管",IF(B438=3,"無孔管",""))))</f>
        <v/>
      </c>
      <c r="D438" s="60"/>
      <c r="E438" s="82"/>
      <c r="F438" s="83"/>
      <c r="G438" s="83"/>
      <c r="H438" s="84"/>
      <c r="I438" s="53" t="str">
        <f>IF(A438="","",F438-G438+H438)</f>
        <v/>
      </c>
      <c r="J438" s="55" t="str">
        <f>IF(A438="",""," 1/")</f>
        <v/>
      </c>
      <c r="K438" s="85"/>
      <c r="L438" s="56" t="str">
        <f>IF(A438="","",IF(B438=1,0.013,0.012))</f>
        <v/>
      </c>
      <c r="M438" s="47" t="str">
        <f>IF(A438="","",(1/L438*(E438/100/2)^(8/3)*(1/K438*100)^(1/2)*1.65696)*100)</f>
        <v/>
      </c>
      <c r="N438" s="47" t="str">
        <f>IF(A438="","",1/L438*(E438/100/2)^(2/3)*(1/K438)^(1/2)*0.70541)</f>
        <v/>
      </c>
      <c r="O438" s="48" t="str">
        <f>IF(A438="","",ROUNDDOWN(M438/($U$3/8.64)*10000/$AJ$3,0))</f>
        <v/>
      </c>
      <c r="P438" s="49" t="str">
        <f>IF(A438="","",IF(O438&gt;Q438,"＞","＜"))</f>
        <v/>
      </c>
      <c r="Q438" s="48" t="str">
        <f>IF(A438="","",I438)</f>
        <v/>
      </c>
      <c r="R438" s="51" t="str">
        <f>IF(A438="","",IF(P438="＞","OK","NG"))</f>
        <v/>
      </c>
      <c r="S438" s="86"/>
      <c r="T438" s="87"/>
      <c r="U438" s="28" t="str">
        <f>IF(S438="","",IF(T438=1,"素焼土管",IF(T438=2,"合成樹脂管",IF(T438=3,"無孔管",""))))</f>
        <v/>
      </c>
      <c r="V438" s="29"/>
      <c r="W438" s="88"/>
      <c r="X438" s="89"/>
      <c r="Y438" s="90"/>
      <c r="Z438" s="41" t="str">
        <f>IF(S438="","",IF(AND(T439=3,I438=""),Z436+Y438,IF(AND(Z436="",I436=""),I438+Y438,IF(AND(T439=3,I438&gt;0,Z436&gt;0),I438+Z436+Y438,IF(Z436="",I436+I438+X438+Y438,IF(I438="",Z436+X438+Y438,Z436+I438+X438+Y438))))))</f>
        <v/>
      </c>
      <c r="AA438" s="45" t="str">
        <f>IF(AB438="",""," 1/")</f>
        <v/>
      </c>
      <c r="AB438" s="91"/>
      <c r="AC438" s="30" t="str">
        <f>IF(S438="","",IF(T438="","",IF(T438=1,0.013,0.012)))</f>
        <v/>
      </c>
      <c r="AD438" s="31" t="str">
        <f>IF(S438="","",IF(T438="","",(1/AC438*(W438/100/2)^(8/3)*(1/AB438*100)^(1/2)*1.65696)*100))</f>
        <v/>
      </c>
      <c r="AE438" s="31" t="str">
        <f>IF(S438="","",IF(T438="","",1/AC438*(W438/100/2)^(2/3)*(1/AB438)^(1/2)*0.70541))</f>
        <v/>
      </c>
      <c r="AF438" s="31" t="str">
        <f>IF(S438="","",IF(T438="","",ROUNDDOWN(AD438/($U$3/8.64),3)))</f>
        <v/>
      </c>
      <c r="AG438" s="32" t="str">
        <f>IF(S438="","",IF(T438="","",ROUNDDOWN(AF438*10000/$AJ$3,0)))</f>
        <v/>
      </c>
      <c r="AH438" s="33" t="str">
        <f t="shared" si="2451"/>
        <v/>
      </c>
      <c r="AI438" s="41" t="str">
        <f>IF(S438="","",Z438)</f>
        <v/>
      </c>
      <c r="AJ438" s="43" t="str">
        <f>IF(S438="","",AI438*$AJ$3/10000)</f>
        <v/>
      </c>
      <c r="AK438" s="33" t="str">
        <f>IF(S438="","",IF(T438="","",IF(AND(T438=1,AE438&gt;1),"NG",IF(AH438="＞","OK","NG"))))</f>
        <v/>
      </c>
    </row>
    <row r="439" spans="1:37" ht="15.75" customHeight="1" x14ac:dyDescent="0.15">
      <c r="A439" s="92"/>
      <c r="B439" s="93"/>
      <c r="C439" s="59"/>
      <c r="D439" s="61"/>
      <c r="E439" s="94"/>
      <c r="F439" s="95"/>
      <c r="G439" s="95"/>
      <c r="H439" s="96"/>
      <c r="I439" s="54"/>
      <c r="J439" s="46"/>
      <c r="K439" s="97"/>
      <c r="L439" s="57"/>
      <c r="M439" s="44"/>
      <c r="N439" s="44"/>
      <c r="O439" s="42"/>
      <c r="P439" s="50"/>
      <c r="Q439" s="42"/>
      <c r="R439" s="52"/>
      <c r="S439" s="98"/>
      <c r="T439" s="99">
        <v>2</v>
      </c>
      <c r="U439" s="34" t="str">
        <f>IF(S438="","",IF(T438=T439,"〃",IF(T439=1,"素焼土管",IF(T439=2,"合成樹脂管",IF(T439=3,"無孔管","")))))</f>
        <v/>
      </c>
      <c r="V439" s="35"/>
      <c r="W439" s="100"/>
      <c r="X439" s="101"/>
      <c r="Y439" s="95"/>
      <c r="Z439" s="42"/>
      <c r="AA439" s="46"/>
      <c r="AB439" s="97"/>
      <c r="AC439" s="36" t="str">
        <f>IF(S438="","",IF(T439=1,0.013,0.012))</f>
        <v/>
      </c>
      <c r="AD439" s="37" t="str">
        <f>IF(S438="","",(1/AC439*(W439/100/2)^(8/3)*(1/AB438*100)^(1/2)*1.65696)*100)</f>
        <v/>
      </c>
      <c r="AE439" s="37" t="str">
        <f>IF(S438="","",1/AC439*(W439/100/2)^(2/3)*(1/AB438)^(1/2)*0.70541)</f>
        <v/>
      </c>
      <c r="AF439" s="37" t="str">
        <f>IF(S438="","",ROUNDDOWN(AD439/($U$3/8.64),3))</f>
        <v/>
      </c>
      <c r="AG439" s="38" t="str">
        <f>IF(S438="","",ROUNDDOWN(AF439*10000/$AJ$3,0))</f>
        <v/>
      </c>
      <c r="AH439" s="39" t="str">
        <f t="shared" ref="AH439" si="2473">IF(S438="","",IF(AG439&gt;AI438,"＞",IF(AG439=AI438,"=","＜")))</f>
        <v/>
      </c>
      <c r="AI439" s="42"/>
      <c r="AJ439" s="44"/>
      <c r="AK439" s="39" t="str">
        <f>IF(S438="","",IF(AND(T439=1,AE439&gt;1),"NG",IF(AH439="＞","OK","NG")))</f>
        <v/>
      </c>
    </row>
    <row r="440" spans="1:37" ht="15.75" customHeight="1" x14ac:dyDescent="0.15">
      <c r="A440" s="80"/>
      <c r="B440" s="81">
        <v>2</v>
      </c>
      <c r="C440" s="58" t="str">
        <f>IF(A440="","",IF(B440=1,"素　焼土　管",IF(B440=2,"合　成樹脂管",IF(B440=3,"無孔管",""))))</f>
        <v/>
      </c>
      <c r="D440" s="60"/>
      <c r="E440" s="82"/>
      <c r="F440" s="83"/>
      <c r="G440" s="83"/>
      <c r="H440" s="84"/>
      <c r="I440" s="53" t="str">
        <f>IF(A440="","",F440-G440+H440)</f>
        <v/>
      </c>
      <c r="J440" s="55" t="str">
        <f>IF(A440="",""," 1/")</f>
        <v/>
      </c>
      <c r="K440" s="85"/>
      <c r="L440" s="56" t="str">
        <f>IF(A440="","",IF(B440=1,0.013,0.012))</f>
        <v/>
      </c>
      <c r="M440" s="47" t="str">
        <f>IF(A440="","",(1/L440*(E440/100/2)^(8/3)*(1/K440*100)^(1/2)*1.65696)*100)</f>
        <v/>
      </c>
      <c r="N440" s="47" t="str">
        <f>IF(A440="","",1/L440*(E440/100/2)^(2/3)*(1/K440)^(1/2)*0.70541)</f>
        <v/>
      </c>
      <c r="O440" s="48" t="str">
        <f>IF(A440="","",ROUNDDOWN(M440/($U$3/8.64)*10000/$AJ$3,0))</f>
        <v/>
      </c>
      <c r="P440" s="49" t="str">
        <f>IF(A440="","",IF(O440&gt;Q440,"＞","＜"))</f>
        <v/>
      </c>
      <c r="Q440" s="48" t="str">
        <f>IF(A440="","",I440)</f>
        <v/>
      </c>
      <c r="R440" s="51" t="str">
        <f>IF(A440="","",IF(P440="＞","OK","NG"))</f>
        <v/>
      </c>
      <c r="S440" s="86"/>
      <c r="T440" s="87"/>
      <c r="U440" s="28" t="str">
        <f>IF(S440="","",IF(T440=1,"素焼土管",IF(T440=2,"合成樹脂管",IF(T440=3,"無孔管",""))))</f>
        <v/>
      </c>
      <c r="V440" s="29"/>
      <c r="W440" s="88"/>
      <c r="X440" s="89"/>
      <c r="Y440" s="90"/>
      <c r="Z440" s="41" t="str">
        <f>IF(S440="","",IF(AND(T441=3,I440=""),Z438+Y440,IF(AND(Z438="",I438=""),I440+Y440,IF(AND(T441=3,I440&gt;0,Z438&gt;0),I440+Z438+Y440,IF(Z438="",I438+I440+X440+Y440,IF(I440="",Z438+X440+Y440,Z438+I440+X440+Y440))))))</f>
        <v/>
      </c>
      <c r="AA440" s="45" t="str">
        <f>IF(AB440="",""," 1/")</f>
        <v/>
      </c>
      <c r="AB440" s="91"/>
      <c r="AC440" s="30" t="str">
        <f>IF(S440="","",IF(T440="","",IF(T440=1,0.013,0.012)))</f>
        <v/>
      </c>
      <c r="AD440" s="31" t="str">
        <f>IF(S440="","",IF(T440="","",(1/AC440*(W440/100/2)^(8/3)*(1/AB440*100)^(1/2)*1.65696)*100))</f>
        <v/>
      </c>
      <c r="AE440" s="31" t="str">
        <f>IF(S440="","",IF(T440="","",1/AC440*(W440/100/2)^(2/3)*(1/AB440)^(1/2)*0.70541))</f>
        <v/>
      </c>
      <c r="AF440" s="31" t="str">
        <f>IF(S440="","",IF(T440="","",ROUNDDOWN(AD440/($U$3/8.64),3)))</f>
        <v/>
      </c>
      <c r="AG440" s="32" t="str">
        <f>IF(S440="","",IF(T440="","",ROUNDDOWN(AF440*10000/$AJ$3,0)))</f>
        <v/>
      </c>
      <c r="AH440" s="33" t="str">
        <f t="shared" si="2451"/>
        <v/>
      </c>
      <c r="AI440" s="41" t="str">
        <f>IF(S440="","",Z440)</f>
        <v/>
      </c>
      <c r="AJ440" s="43" t="str">
        <f>IF(S440="","",AI440*$AJ$3/10000)</f>
        <v/>
      </c>
      <c r="AK440" s="33" t="str">
        <f>IF(S440="","",IF(T440="","",IF(AND(T440=1,AE440&gt;1),"NG",IF(AH440="＞","OK","NG"))))</f>
        <v/>
      </c>
    </row>
    <row r="441" spans="1:37" ht="15.75" customHeight="1" x14ac:dyDescent="0.15">
      <c r="A441" s="92"/>
      <c r="B441" s="93"/>
      <c r="C441" s="59"/>
      <c r="D441" s="61"/>
      <c r="E441" s="94"/>
      <c r="F441" s="95"/>
      <c r="G441" s="95"/>
      <c r="H441" s="96"/>
      <c r="I441" s="54"/>
      <c r="J441" s="46"/>
      <c r="K441" s="97"/>
      <c r="L441" s="57"/>
      <c r="M441" s="44"/>
      <c r="N441" s="44"/>
      <c r="O441" s="42"/>
      <c r="P441" s="50"/>
      <c r="Q441" s="42"/>
      <c r="R441" s="52"/>
      <c r="S441" s="98"/>
      <c r="T441" s="99">
        <v>2</v>
      </c>
      <c r="U441" s="34" t="str">
        <f>IF(S440="","",IF(T440=T441,"〃",IF(T441=1,"素焼土管",IF(T441=2,"合成樹脂管",IF(T441=3,"無孔管","")))))</f>
        <v/>
      </c>
      <c r="V441" s="35"/>
      <c r="W441" s="100"/>
      <c r="X441" s="101"/>
      <c r="Y441" s="95"/>
      <c r="Z441" s="42"/>
      <c r="AA441" s="46"/>
      <c r="AB441" s="97"/>
      <c r="AC441" s="36" t="str">
        <f>IF(S440="","",IF(T441=1,0.013,0.012))</f>
        <v/>
      </c>
      <c r="AD441" s="37" t="str">
        <f>IF(S440="","",(1/AC441*(W441/100/2)^(8/3)*(1/AB440*100)^(1/2)*1.65696)*100)</f>
        <v/>
      </c>
      <c r="AE441" s="37" t="str">
        <f>IF(S440="","",1/AC441*(W441/100/2)^(2/3)*(1/AB440)^(1/2)*0.70541)</f>
        <v/>
      </c>
      <c r="AF441" s="37" t="str">
        <f>IF(S440="","",ROUNDDOWN(AD441/($U$3/8.64),3))</f>
        <v/>
      </c>
      <c r="AG441" s="38" t="str">
        <f>IF(S440="","",ROUNDDOWN(AF441*10000/$AJ$3,0))</f>
        <v/>
      </c>
      <c r="AH441" s="39" t="str">
        <f t="shared" ref="AH441" si="2474">IF(S440="","",IF(AG441&gt;AI440,"＞",IF(AG441=AI440,"=","＜")))</f>
        <v/>
      </c>
      <c r="AI441" s="42"/>
      <c r="AJ441" s="44"/>
      <c r="AK441" s="39" t="str">
        <f>IF(S440="","",IF(AND(T441=1,AE441&gt;1),"NG",IF(AH441="＞","OK","NG")))</f>
        <v/>
      </c>
    </row>
    <row r="442" spans="1:37" ht="15.75" customHeight="1" x14ac:dyDescent="0.15">
      <c r="A442" s="80"/>
      <c r="B442" s="81">
        <v>2</v>
      </c>
      <c r="C442" s="58" t="str">
        <f>IF(A442="","",IF(B442=1,"素　焼土　管",IF(B442=2,"合　成樹脂管",IF(B442=3,"無孔管",""))))</f>
        <v/>
      </c>
      <c r="D442" s="60"/>
      <c r="E442" s="82"/>
      <c r="F442" s="83"/>
      <c r="G442" s="83"/>
      <c r="H442" s="84"/>
      <c r="I442" s="53" t="str">
        <f>IF(A442="","",F442-G442+H442)</f>
        <v/>
      </c>
      <c r="J442" s="55" t="str">
        <f>IF(A442="",""," 1/")</f>
        <v/>
      </c>
      <c r="K442" s="85"/>
      <c r="L442" s="56" t="str">
        <f>IF(A442="","",IF(B442=1,0.013,0.012))</f>
        <v/>
      </c>
      <c r="M442" s="47" t="str">
        <f>IF(A442="","",(1/L442*(E442/100/2)^(8/3)*(1/K442*100)^(1/2)*1.65696)*100)</f>
        <v/>
      </c>
      <c r="N442" s="47" t="str">
        <f>IF(A442="","",1/L442*(E442/100/2)^(2/3)*(1/K442)^(1/2)*0.70541)</f>
        <v/>
      </c>
      <c r="O442" s="48" t="str">
        <f>IF(A442="","",ROUNDDOWN(M442/($U$3/8.64)*10000/$AJ$3,0))</f>
        <v/>
      </c>
      <c r="P442" s="49" t="str">
        <f>IF(A442="","",IF(O442&gt;Q442,"＞","＜"))</f>
        <v/>
      </c>
      <c r="Q442" s="48" t="str">
        <f>IF(A442="","",I442)</f>
        <v/>
      </c>
      <c r="R442" s="51" t="str">
        <f>IF(A442="","",IF(P442="＞","OK","NG"))</f>
        <v/>
      </c>
      <c r="S442" s="86"/>
      <c r="T442" s="87"/>
      <c r="U442" s="28" t="str">
        <f>IF(S442="","",IF(T442=1,"素焼土管",IF(T442=2,"合成樹脂管",IF(T442=3,"無孔管",""))))</f>
        <v/>
      </c>
      <c r="V442" s="29"/>
      <c r="W442" s="88"/>
      <c r="X442" s="89"/>
      <c r="Y442" s="90"/>
      <c r="Z442" s="41" t="str">
        <f>IF(S442="","",IF(AND(T443=3,I442=""),Z440+Y442,IF(AND(Z440="",I440=""),I442+Y442,IF(AND(T443=3,I442&gt;0,Z440&gt;0),I442+Z440+Y442,IF(Z440="",I440+I442+X442+Y442,IF(I442="",Z440+X442+Y442,Z440+I442+X442+Y442))))))</f>
        <v/>
      </c>
      <c r="AA442" s="45" t="str">
        <f>IF(AB442="",""," 1/")</f>
        <v/>
      </c>
      <c r="AB442" s="91"/>
      <c r="AC442" s="30" t="str">
        <f>IF(S442="","",IF(T442="","",IF(T442=1,0.013,0.012)))</f>
        <v/>
      </c>
      <c r="AD442" s="31" t="str">
        <f>IF(S442="","",IF(T442="","",(1/AC442*(W442/100/2)^(8/3)*(1/AB442*100)^(1/2)*1.65696)*100))</f>
        <v/>
      </c>
      <c r="AE442" s="31" t="str">
        <f>IF(S442="","",IF(T442="","",1/AC442*(W442/100/2)^(2/3)*(1/AB442)^(1/2)*0.70541))</f>
        <v/>
      </c>
      <c r="AF442" s="31" t="str">
        <f>IF(S442="","",IF(T442="","",ROUNDDOWN(AD442/($U$3/8.64),3)))</f>
        <v/>
      </c>
      <c r="AG442" s="32" t="str">
        <f>IF(S442="","",IF(T442="","",ROUNDDOWN(AF442*10000/$AJ$3,0)))</f>
        <v/>
      </c>
      <c r="AH442" s="33" t="str">
        <f t="shared" si="2451"/>
        <v/>
      </c>
      <c r="AI442" s="41" t="str">
        <f>IF(S442="","",Z442)</f>
        <v/>
      </c>
      <c r="AJ442" s="43" t="str">
        <f>IF(S442="","",AI442*$AJ$3/10000)</f>
        <v/>
      </c>
      <c r="AK442" s="33" t="str">
        <f>IF(S442="","",IF(T442="","",IF(AND(T442=1,AE442&gt;1),"NG",IF(AH442="＞","OK","NG"))))</f>
        <v/>
      </c>
    </row>
    <row r="443" spans="1:37" ht="15.75" customHeight="1" x14ac:dyDescent="0.15">
      <c r="A443" s="92"/>
      <c r="B443" s="93"/>
      <c r="C443" s="59"/>
      <c r="D443" s="61"/>
      <c r="E443" s="94"/>
      <c r="F443" s="95"/>
      <c r="G443" s="95"/>
      <c r="H443" s="96"/>
      <c r="I443" s="54"/>
      <c r="J443" s="46"/>
      <c r="K443" s="97"/>
      <c r="L443" s="57"/>
      <c r="M443" s="44"/>
      <c r="N443" s="44"/>
      <c r="O443" s="42"/>
      <c r="P443" s="50"/>
      <c r="Q443" s="42"/>
      <c r="R443" s="52"/>
      <c r="S443" s="98"/>
      <c r="T443" s="99">
        <v>2</v>
      </c>
      <c r="U443" s="34" t="str">
        <f>IF(S442="","",IF(T442=T443,"〃",IF(T443=1,"素焼土管",IF(T443=2,"合成樹脂管",IF(T443=3,"無孔管","")))))</f>
        <v/>
      </c>
      <c r="V443" s="35"/>
      <c r="W443" s="100"/>
      <c r="X443" s="101"/>
      <c r="Y443" s="95"/>
      <c r="Z443" s="42"/>
      <c r="AA443" s="46"/>
      <c r="AB443" s="97"/>
      <c r="AC443" s="36" t="str">
        <f>IF(S442="","",IF(T443=1,0.013,0.012))</f>
        <v/>
      </c>
      <c r="AD443" s="37" t="str">
        <f>IF(S442="","",(1/AC443*(W443/100/2)^(8/3)*(1/AB442*100)^(1/2)*1.65696)*100)</f>
        <v/>
      </c>
      <c r="AE443" s="37" t="str">
        <f>IF(S442="","",1/AC443*(W443/100/2)^(2/3)*(1/AB442)^(1/2)*0.70541)</f>
        <v/>
      </c>
      <c r="AF443" s="37" t="str">
        <f>IF(S442="","",ROUNDDOWN(AD443/($U$3/8.64),3))</f>
        <v/>
      </c>
      <c r="AG443" s="38" t="str">
        <f>IF(S442="","",ROUNDDOWN(AF443*10000/$AJ$3,0))</f>
        <v/>
      </c>
      <c r="AH443" s="39" t="str">
        <f t="shared" ref="AH443" si="2475">IF(S442="","",IF(AG443&gt;AI442,"＞",IF(AG443=AI442,"=","＜")))</f>
        <v/>
      </c>
      <c r="AI443" s="42"/>
      <c r="AJ443" s="44"/>
      <c r="AK443" s="39" t="str">
        <f>IF(S442="","",IF(AND(T443=1,AE443&gt;1),"NG",IF(AH443="＞","OK","NG")))</f>
        <v/>
      </c>
    </row>
    <row r="444" spans="1:37" ht="15.75" customHeight="1" x14ac:dyDescent="0.15">
      <c r="A444" s="80"/>
      <c r="B444" s="81">
        <v>2</v>
      </c>
      <c r="C444" s="58" t="str">
        <f>IF(A444="","",IF(B444=1,"素　焼土　管",IF(B444=2,"合　成樹脂管",IF(B444=3,"無孔管",""))))</f>
        <v/>
      </c>
      <c r="D444" s="60"/>
      <c r="E444" s="82"/>
      <c r="F444" s="83"/>
      <c r="G444" s="83"/>
      <c r="H444" s="84"/>
      <c r="I444" s="53" t="str">
        <f>IF(A444="","",F444-G444+H444)</f>
        <v/>
      </c>
      <c r="J444" s="55" t="str">
        <f>IF(A444="",""," 1/")</f>
        <v/>
      </c>
      <c r="K444" s="85"/>
      <c r="L444" s="56" t="str">
        <f>IF(A444="","",IF(B444=1,0.013,0.012))</f>
        <v/>
      </c>
      <c r="M444" s="47" t="str">
        <f>IF(A444="","",(1/L444*(E444/100/2)^(8/3)*(1/K444*100)^(1/2)*1.65696)*100)</f>
        <v/>
      </c>
      <c r="N444" s="47" t="str">
        <f>IF(A444="","",1/L444*(E444/100/2)^(2/3)*(1/K444)^(1/2)*0.70541)</f>
        <v/>
      </c>
      <c r="O444" s="48" t="str">
        <f>IF(A444="","",ROUNDDOWN(M444/($U$3/8.64)*10000/$AJ$3,0))</f>
        <v/>
      </c>
      <c r="P444" s="49" t="str">
        <f>IF(A444="","",IF(O444&gt;Q444,"＞","＜"))</f>
        <v/>
      </c>
      <c r="Q444" s="48" t="str">
        <f>IF(A444="","",I444)</f>
        <v/>
      </c>
      <c r="R444" s="51" t="str">
        <f>IF(A444="","",IF(P444="＞","OK","NG"))</f>
        <v/>
      </c>
      <c r="S444" s="86"/>
      <c r="T444" s="87"/>
      <c r="U444" s="28" t="str">
        <f>IF(S444="","",IF(T444=1,"素焼土管",IF(T444=2,"合成樹脂管",IF(T444=3,"無孔管",""))))</f>
        <v/>
      </c>
      <c r="V444" s="29"/>
      <c r="W444" s="88"/>
      <c r="X444" s="89"/>
      <c r="Y444" s="90"/>
      <c r="Z444" s="41" t="str">
        <f>IF(S444="","",IF(AND(T445=3,I444=""),Z442+Y444,IF(AND(Z442="",I442=""),I444+Y444,IF(AND(T445=3,I444&gt;0,Z442&gt;0),I444+Z442+Y444,IF(Z442="",I442+I444+X444+Y444,IF(I444="",Z442+X444+Y444,Z442+I444+X444+Y444))))))</f>
        <v/>
      </c>
      <c r="AA444" s="45" t="str">
        <f>IF(AB444="",""," 1/")</f>
        <v/>
      </c>
      <c r="AB444" s="91"/>
      <c r="AC444" s="30" t="str">
        <f>IF(S444="","",IF(T444="","",IF(T444=1,0.013,0.012)))</f>
        <v/>
      </c>
      <c r="AD444" s="31" t="str">
        <f>IF(S444="","",IF(T444="","",(1/AC444*(W444/100/2)^(8/3)*(1/AB444*100)^(1/2)*1.65696)*100))</f>
        <v/>
      </c>
      <c r="AE444" s="31" t="str">
        <f>IF(S444="","",IF(T444="","",1/AC444*(W444/100/2)^(2/3)*(1/AB444)^(1/2)*0.70541))</f>
        <v/>
      </c>
      <c r="AF444" s="31" t="str">
        <f>IF(S444="","",IF(T444="","",ROUNDDOWN(AD444/($U$3/8.64),3)))</f>
        <v/>
      </c>
      <c r="AG444" s="32" t="str">
        <f>IF(S444="","",IF(T444="","",ROUNDDOWN(AF444*10000/$AJ$3,0)))</f>
        <v/>
      </c>
      <c r="AH444" s="33" t="str">
        <f t="shared" si="2451"/>
        <v/>
      </c>
      <c r="AI444" s="41" t="str">
        <f>IF(S444="","",Z444)</f>
        <v/>
      </c>
      <c r="AJ444" s="43" t="str">
        <f>IF(S444="","",AI444*$AJ$3/10000)</f>
        <v/>
      </c>
      <c r="AK444" s="33" t="str">
        <f>IF(S444="","",IF(T444="","",IF(AND(T444=1,AE444&gt;1),"NG",IF(AH444="＞","OK","NG"))))</f>
        <v/>
      </c>
    </row>
    <row r="445" spans="1:37" ht="15.75" customHeight="1" x14ac:dyDescent="0.15">
      <c r="A445" s="92"/>
      <c r="B445" s="93"/>
      <c r="C445" s="59"/>
      <c r="D445" s="61"/>
      <c r="E445" s="94"/>
      <c r="F445" s="95"/>
      <c r="G445" s="95"/>
      <c r="H445" s="96"/>
      <c r="I445" s="54"/>
      <c r="J445" s="46"/>
      <c r="K445" s="97"/>
      <c r="L445" s="57"/>
      <c r="M445" s="44"/>
      <c r="N445" s="44"/>
      <c r="O445" s="42"/>
      <c r="P445" s="50"/>
      <c r="Q445" s="42"/>
      <c r="R445" s="52"/>
      <c r="S445" s="98"/>
      <c r="T445" s="99">
        <v>2</v>
      </c>
      <c r="U445" s="34" t="str">
        <f>IF(S444="","",IF(T444=T445,"〃",IF(T445=1,"素焼土管",IF(T445=2,"合成樹脂管",IF(T445=3,"無孔管","")))))</f>
        <v/>
      </c>
      <c r="V445" s="35"/>
      <c r="W445" s="100"/>
      <c r="X445" s="101"/>
      <c r="Y445" s="95"/>
      <c r="Z445" s="42"/>
      <c r="AA445" s="46"/>
      <c r="AB445" s="97"/>
      <c r="AC445" s="36" t="str">
        <f>IF(S444="","",IF(T445=1,0.013,0.012))</f>
        <v/>
      </c>
      <c r="AD445" s="37" t="str">
        <f>IF(S444="","",(1/AC445*(W445/100/2)^(8/3)*(1/AB444*100)^(1/2)*1.65696)*100)</f>
        <v/>
      </c>
      <c r="AE445" s="37" t="str">
        <f>IF(S444="","",1/AC445*(W445/100/2)^(2/3)*(1/AB444)^(1/2)*0.70541)</f>
        <v/>
      </c>
      <c r="AF445" s="37" t="str">
        <f>IF(S444="","",ROUNDDOWN(AD445/($U$3/8.64),3))</f>
        <v/>
      </c>
      <c r="AG445" s="38" t="str">
        <f>IF(S444="","",ROUNDDOWN(AF445*10000/$AJ$3,0))</f>
        <v/>
      </c>
      <c r="AH445" s="39" t="str">
        <f t="shared" ref="AH445" si="2476">IF(S444="","",IF(AG445&gt;AI444,"＞",IF(AG445=AI444,"=","＜")))</f>
        <v/>
      </c>
      <c r="AI445" s="42"/>
      <c r="AJ445" s="44"/>
      <c r="AK445" s="39" t="str">
        <f>IF(S444="","",IF(AND(T445=1,AE445&gt;1),"NG",IF(AH445="＞","OK","NG")))</f>
        <v/>
      </c>
    </row>
    <row r="446" spans="1:37" ht="15.75" customHeight="1" x14ac:dyDescent="0.15">
      <c r="A446" s="80"/>
      <c r="B446" s="81">
        <v>2</v>
      </c>
      <c r="C446" s="58" t="str">
        <f>IF(A446="","",IF(B446=1,"素　焼土　管",IF(B446=2,"合　成樹脂管",IF(B446=3,"無孔管",""))))</f>
        <v/>
      </c>
      <c r="D446" s="60"/>
      <c r="E446" s="82"/>
      <c r="F446" s="83"/>
      <c r="G446" s="83"/>
      <c r="H446" s="84"/>
      <c r="I446" s="53" t="str">
        <f>IF(A446="","",F446-G446+H446)</f>
        <v/>
      </c>
      <c r="J446" s="55" t="str">
        <f>IF(A446="",""," 1/")</f>
        <v/>
      </c>
      <c r="K446" s="85"/>
      <c r="L446" s="56" t="str">
        <f>IF(A446="","",IF(B446=1,0.013,0.012))</f>
        <v/>
      </c>
      <c r="M446" s="47" t="str">
        <f>IF(A446="","",(1/L446*(E446/100/2)^(8/3)*(1/K446*100)^(1/2)*1.65696)*100)</f>
        <v/>
      </c>
      <c r="N446" s="47" t="str">
        <f>IF(A446="","",1/L446*(E446/100/2)^(2/3)*(1/K446)^(1/2)*0.70541)</f>
        <v/>
      </c>
      <c r="O446" s="48" t="str">
        <f>IF(A446="","",ROUNDDOWN(M446/($U$3/8.64)*10000/$AJ$3,0))</f>
        <v/>
      </c>
      <c r="P446" s="49" t="str">
        <f>IF(A446="","",IF(O446&gt;Q446,"＞","＜"))</f>
        <v/>
      </c>
      <c r="Q446" s="48" t="str">
        <f>IF(A446="","",I446)</f>
        <v/>
      </c>
      <c r="R446" s="51" t="str">
        <f>IF(A446="","",IF(P446="＞","OK","NG"))</f>
        <v/>
      </c>
      <c r="S446" s="86"/>
      <c r="T446" s="87"/>
      <c r="U446" s="28" t="str">
        <f>IF(S446="","",IF(T446=1,"素焼土管",IF(T446=2,"合成樹脂管",IF(T446=3,"無孔管",""))))</f>
        <v/>
      </c>
      <c r="V446" s="29"/>
      <c r="W446" s="88"/>
      <c r="X446" s="89"/>
      <c r="Y446" s="90"/>
      <c r="Z446" s="41" t="str">
        <f>IF(S446="","",IF(AND(T447=3,I446=""),Z444+Y446,IF(AND(Z444="",I444=""),I446+Y446,IF(AND(T447=3,I446&gt;0,Z444&gt;0),I446+Z444+Y446,IF(Z444="",I444+I446+X446+Y446,IF(I446="",Z444+X446+Y446,Z444+I446+X446+Y446))))))</f>
        <v/>
      </c>
      <c r="AA446" s="45" t="str">
        <f>IF(AB446="",""," 1/")</f>
        <v/>
      </c>
      <c r="AB446" s="91"/>
      <c r="AC446" s="30" t="str">
        <f>IF(S446="","",IF(T446="","",IF(T446=1,0.013,0.012)))</f>
        <v/>
      </c>
      <c r="AD446" s="31" t="str">
        <f>IF(S446="","",IF(T446="","",(1/AC446*(W446/100/2)^(8/3)*(1/AB446*100)^(1/2)*1.65696)*100))</f>
        <v/>
      </c>
      <c r="AE446" s="31" t="str">
        <f>IF(S446="","",IF(T446="","",1/AC446*(W446/100/2)^(2/3)*(1/AB446)^(1/2)*0.70541))</f>
        <v/>
      </c>
      <c r="AF446" s="31" t="str">
        <f>IF(S446="","",IF(T446="","",ROUNDDOWN(AD446/($U$3/8.64),3)))</f>
        <v/>
      </c>
      <c r="AG446" s="32" t="str">
        <f>IF(S446="","",IF(T446="","",ROUNDDOWN(AF446*10000/$AJ$3,0)))</f>
        <v/>
      </c>
      <c r="AH446" s="33" t="str">
        <f t="shared" si="2451"/>
        <v/>
      </c>
      <c r="AI446" s="41" t="str">
        <f>IF(S446="","",Z446)</f>
        <v/>
      </c>
      <c r="AJ446" s="43" t="str">
        <f>IF(S446="","",AI446*$AJ$3/10000)</f>
        <v/>
      </c>
      <c r="AK446" s="33" t="str">
        <f>IF(S446="","",IF(T446="","",IF(AND(T446=1,AE446&gt;1),"NG",IF(AH446="＞","OK","NG"))))</f>
        <v/>
      </c>
    </row>
    <row r="447" spans="1:37" ht="15.75" customHeight="1" x14ac:dyDescent="0.15">
      <c r="A447" s="92"/>
      <c r="B447" s="93"/>
      <c r="C447" s="59"/>
      <c r="D447" s="61"/>
      <c r="E447" s="94"/>
      <c r="F447" s="95"/>
      <c r="G447" s="95"/>
      <c r="H447" s="96"/>
      <c r="I447" s="54"/>
      <c r="J447" s="46"/>
      <c r="K447" s="97"/>
      <c r="L447" s="57"/>
      <c r="M447" s="44"/>
      <c r="N447" s="44"/>
      <c r="O447" s="42"/>
      <c r="P447" s="50"/>
      <c r="Q447" s="42"/>
      <c r="R447" s="52"/>
      <c r="S447" s="98"/>
      <c r="T447" s="99">
        <v>2</v>
      </c>
      <c r="U447" s="34" t="str">
        <f>IF(S446="","",IF(T446=T447,"〃",IF(T447=1,"素焼土管",IF(T447=2,"合成樹脂管",IF(T447=3,"無孔管","")))))</f>
        <v/>
      </c>
      <c r="V447" s="35"/>
      <c r="W447" s="100"/>
      <c r="X447" s="101"/>
      <c r="Y447" s="95"/>
      <c r="Z447" s="42"/>
      <c r="AA447" s="46"/>
      <c r="AB447" s="97"/>
      <c r="AC447" s="36" t="str">
        <f>IF(S446="","",IF(T447=1,0.013,0.012))</f>
        <v/>
      </c>
      <c r="AD447" s="37" t="str">
        <f>IF(S446="","",(1/AC447*(W447/100/2)^(8/3)*(1/AB446*100)^(1/2)*1.65696)*100)</f>
        <v/>
      </c>
      <c r="AE447" s="37" t="str">
        <f>IF(S446="","",1/AC447*(W447/100/2)^(2/3)*(1/AB446)^(1/2)*0.70541)</f>
        <v/>
      </c>
      <c r="AF447" s="37" t="str">
        <f>IF(S446="","",ROUNDDOWN(AD447/($U$3/8.64),3))</f>
        <v/>
      </c>
      <c r="AG447" s="38" t="str">
        <f>IF(S446="","",ROUNDDOWN(AF447*10000/$AJ$3,0))</f>
        <v/>
      </c>
      <c r="AH447" s="39" t="str">
        <f t="shared" ref="AH447" si="2477">IF(S446="","",IF(AG447&gt;AI446,"＞",IF(AG447=AI446,"=","＜")))</f>
        <v/>
      </c>
      <c r="AI447" s="42"/>
      <c r="AJ447" s="44"/>
      <c r="AK447" s="39" t="str">
        <f>IF(S446="","",IF(AND(T447=1,AE447&gt;1),"NG",IF(AH447="＞","OK","NG")))</f>
        <v/>
      </c>
    </row>
    <row r="448" spans="1:37" ht="15.75" customHeight="1" x14ac:dyDescent="0.15">
      <c r="A448" s="80"/>
      <c r="B448" s="81">
        <v>2</v>
      </c>
      <c r="C448" s="58" t="str">
        <f>IF(A448="","",IF(B448=1,"素　焼土　管",IF(B448=2,"合　成樹脂管",IF(B448=3,"無孔管",""))))</f>
        <v/>
      </c>
      <c r="D448" s="60"/>
      <c r="E448" s="82"/>
      <c r="F448" s="83"/>
      <c r="G448" s="83"/>
      <c r="H448" s="84"/>
      <c r="I448" s="53" t="str">
        <f>IF(A448="","",F448-G448+H448)</f>
        <v/>
      </c>
      <c r="J448" s="55" t="str">
        <f>IF(A448="",""," 1/")</f>
        <v/>
      </c>
      <c r="K448" s="85"/>
      <c r="L448" s="56" t="str">
        <f>IF(A448="","",IF(B448=1,0.013,0.012))</f>
        <v/>
      </c>
      <c r="M448" s="47" t="str">
        <f>IF(A448="","",(1/L448*(E448/100/2)^(8/3)*(1/K448*100)^(1/2)*1.65696)*100)</f>
        <v/>
      </c>
      <c r="N448" s="47" t="str">
        <f>IF(A448="","",1/L448*(E448/100/2)^(2/3)*(1/K448)^(1/2)*0.70541)</f>
        <v/>
      </c>
      <c r="O448" s="48" t="str">
        <f>IF(A448="","",ROUNDDOWN(M448/($U$3/8.64)*10000/$AJ$3,0))</f>
        <v/>
      </c>
      <c r="P448" s="49" t="str">
        <f>IF(A448="","",IF(O448&gt;Q448,"＞","＜"))</f>
        <v/>
      </c>
      <c r="Q448" s="48" t="str">
        <f>IF(A448="","",I448)</f>
        <v/>
      </c>
      <c r="R448" s="51" t="str">
        <f>IF(A448="","",IF(P448="＞","OK","NG"))</f>
        <v/>
      </c>
      <c r="S448" s="86"/>
      <c r="T448" s="87"/>
      <c r="U448" s="28" t="str">
        <f>IF(S448="","",IF(T448=1,"素焼土管",IF(T448=2,"合成樹脂管",IF(T448=3,"無孔管",""))))</f>
        <v/>
      </c>
      <c r="V448" s="29"/>
      <c r="W448" s="88"/>
      <c r="X448" s="89"/>
      <c r="Y448" s="90"/>
      <c r="Z448" s="41" t="str">
        <f>IF(S448="","",IF(AND(T449=3,I448=""),Z446+Y448,IF(AND(Z446="",I446=""),I448+Y448,IF(AND(T449=3,I448&gt;0,Z446&gt;0),I448+Z446+Y448,IF(Z446="",I446+I448+X448+Y448,IF(I448="",Z446+X448+Y448,Z446+I448+X448+Y448))))))</f>
        <v/>
      </c>
      <c r="AA448" s="45" t="str">
        <f>IF(AB448="",""," 1/")</f>
        <v/>
      </c>
      <c r="AB448" s="91"/>
      <c r="AC448" s="30" t="str">
        <f>IF(S448="","",IF(T448="","",IF(T448=1,0.013,0.012)))</f>
        <v/>
      </c>
      <c r="AD448" s="31" t="str">
        <f>IF(S448="","",IF(T448="","",(1/AC448*(W448/100/2)^(8/3)*(1/AB448*100)^(1/2)*1.65696)*100))</f>
        <v/>
      </c>
      <c r="AE448" s="31" t="str">
        <f>IF(S448="","",IF(T448="","",1/AC448*(W448/100/2)^(2/3)*(1/AB448)^(1/2)*0.70541))</f>
        <v/>
      </c>
      <c r="AF448" s="31" t="str">
        <f>IF(S448="","",IF(T448="","",ROUNDDOWN(AD448/($U$3/8.64),3)))</f>
        <v/>
      </c>
      <c r="AG448" s="32" t="str">
        <f>IF(S448="","",IF(T448="","",ROUNDDOWN(AF448*10000/$AJ$3,0)))</f>
        <v/>
      </c>
      <c r="AH448" s="33" t="str">
        <f t="shared" si="2451"/>
        <v/>
      </c>
      <c r="AI448" s="41" t="str">
        <f>IF(S448="","",Z448)</f>
        <v/>
      </c>
      <c r="AJ448" s="43" t="str">
        <f>IF(S448="","",AI448*$AJ$3/10000)</f>
        <v/>
      </c>
      <c r="AK448" s="33" t="str">
        <f>IF(S448="","",IF(T448="","",IF(AND(T448=1,AE448&gt;1),"NG",IF(AH448="＞","OK","NG"))))</f>
        <v/>
      </c>
    </row>
    <row r="449" spans="1:37" ht="15.75" customHeight="1" x14ac:dyDescent="0.15">
      <c r="A449" s="92"/>
      <c r="B449" s="93"/>
      <c r="C449" s="59"/>
      <c r="D449" s="61"/>
      <c r="E449" s="94"/>
      <c r="F449" s="95"/>
      <c r="G449" s="95"/>
      <c r="H449" s="96"/>
      <c r="I449" s="54"/>
      <c r="J449" s="46"/>
      <c r="K449" s="97"/>
      <c r="L449" s="57"/>
      <c r="M449" s="44"/>
      <c r="N449" s="44"/>
      <c r="O449" s="42"/>
      <c r="P449" s="50"/>
      <c r="Q449" s="42"/>
      <c r="R449" s="52"/>
      <c r="S449" s="98"/>
      <c r="T449" s="99">
        <v>2</v>
      </c>
      <c r="U449" s="34" t="str">
        <f>IF(S448="","",IF(T448=T449,"〃",IF(T449=1,"素焼土管",IF(T449=2,"合成樹脂管",IF(T449=3,"無孔管","")))))</f>
        <v/>
      </c>
      <c r="V449" s="35"/>
      <c r="W449" s="100"/>
      <c r="X449" s="101"/>
      <c r="Y449" s="95"/>
      <c r="Z449" s="42"/>
      <c r="AA449" s="46"/>
      <c r="AB449" s="97"/>
      <c r="AC449" s="36" t="str">
        <f>IF(S448="","",IF(T449=1,0.013,0.012))</f>
        <v/>
      </c>
      <c r="AD449" s="37" t="str">
        <f>IF(S448="","",(1/AC449*(W449/100/2)^(8/3)*(1/AB448*100)^(1/2)*1.65696)*100)</f>
        <v/>
      </c>
      <c r="AE449" s="37" t="str">
        <f>IF(S448="","",1/AC449*(W449/100/2)^(2/3)*(1/AB448)^(1/2)*0.70541)</f>
        <v/>
      </c>
      <c r="AF449" s="37" t="str">
        <f>IF(S448="","",ROUNDDOWN(AD449/($U$3/8.64),3))</f>
        <v/>
      </c>
      <c r="AG449" s="38" t="str">
        <f>IF(S448="","",ROUNDDOWN(AF449*10000/$AJ$3,0))</f>
        <v/>
      </c>
      <c r="AH449" s="39" t="str">
        <f t="shared" ref="AH449" si="2478">IF(S448="","",IF(AG449&gt;AI448,"＞",IF(AG449=AI448,"=","＜")))</f>
        <v/>
      </c>
      <c r="AI449" s="42"/>
      <c r="AJ449" s="44"/>
      <c r="AK449" s="39" t="str">
        <f>IF(S448="","",IF(AND(T449=1,AE449&gt;1),"NG",IF(AH449="＞","OK","NG")))</f>
        <v/>
      </c>
    </row>
    <row r="450" spans="1:37" ht="15.75" customHeight="1" x14ac:dyDescent="0.15">
      <c r="A450" s="80"/>
      <c r="B450" s="81">
        <v>2</v>
      </c>
      <c r="C450" s="58" t="str">
        <f>IF(A450="","",IF(B450=1,"素　焼土　管",IF(B450=2,"合　成樹脂管",IF(B450=3,"無孔管",""))))</f>
        <v/>
      </c>
      <c r="D450" s="60"/>
      <c r="E450" s="82"/>
      <c r="F450" s="83"/>
      <c r="G450" s="83"/>
      <c r="H450" s="84"/>
      <c r="I450" s="53" t="str">
        <f>IF(A450="","",F450-G450+H450)</f>
        <v/>
      </c>
      <c r="J450" s="55" t="str">
        <f>IF(A450="",""," 1/")</f>
        <v/>
      </c>
      <c r="K450" s="85"/>
      <c r="L450" s="56" t="str">
        <f>IF(A450="","",IF(B450=1,0.013,0.012))</f>
        <v/>
      </c>
      <c r="M450" s="47" t="str">
        <f>IF(A450="","",(1/L450*(E450/100/2)^(8/3)*(1/K450*100)^(1/2)*1.65696)*100)</f>
        <v/>
      </c>
      <c r="N450" s="47" t="str">
        <f>IF(A450="","",1/L450*(E450/100/2)^(2/3)*(1/K450)^(1/2)*0.70541)</f>
        <v/>
      </c>
      <c r="O450" s="48" t="str">
        <f>IF(A450="","",ROUNDDOWN(M450/($U$3/8.64)*10000/$AJ$3,0))</f>
        <v/>
      </c>
      <c r="P450" s="49" t="str">
        <f>IF(A450="","",IF(O450&gt;Q450,"＞","＜"))</f>
        <v/>
      </c>
      <c r="Q450" s="48" t="str">
        <f>IF(A450="","",I450)</f>
        <v/>
      </c>
      <c r="R450" s="51" t="str">
        <f>IF(A450="","",IF(P450="＞","OK","NG"))</f>
        <v/>
      </c>
      <c r="S450" s="86"/>
      <c r="T450" s="87"/>
      <c r="U450" s="28" t="str">
        <f>IF(S450="","",IF(T450=1,"素焼土管",IF(T450=2,"合成樹脂管",IF(T450=3,"無孔管",""))))</f>
        <v/>
      </c>
      <c r="V450" s="29"/>
      <c r="W450" s="88"/>
      <c r="X450" s="89"/>
      <c r="Y450" s="90"/>
      <c r="Z450" s="41" t="str">
        <f>IF(S450="","",IF(AND(T451=3,I450=""),Z448+Y450,IF(AND(Z448="",I448=""),I450+Y450,IF(AND(T451=3,I450&gt;0,Z448&gt;0),I450+Z448+Y450,IF(Z448="",I448+I450+X450+Y450,IF(I450="",Z448+X450+Y450,Z448+I450+X450+Y450))))))</f>
        <v/>
      </c>
      <c r="AA450" s="45" t="str">
        <f>IF(AB450="",""," 1/")</f>
        <v/>
      </c>
      <c r="AB450" s="91"/>
      <c r="AC450" s="30" t="str">
        <f>IF(S450="","",IF(T450="","",IF(T450=1,0.013,0.012)))</f>
        <v/>
      </c>
      <c r="AD450" s="31" t="str">
        <f>IF(S450="","",IF(T450="","",(1/AC450*(W450/100/2)^(8/3)*(1/AB450*100)^(1/2)*1.65696)*100))</f>
        <v/>
      </c>
      <c r="AE450" s="31" t="str">
        <f>IF(S450="","",IF(T450="","",1/AC450*(W450/100/2)^(2/3)*(1/AB450)^(1/2)*0.70541))</f>
        <v/>
      </c>
      <c r="AF450" s="31" t="str">
        <f>IF(S450="","",IF(T450="","",ROUNDDOWN(AD450/($U$3/8.64),3)))</f>
        <v/>
      </c>
      <c r="AG450" s="32" t="str">
        <f>IF(S450="","",IF(T450="","",ROUNDDOWN(AF450*10000/$AJ$3,0)))</f>
        <v/>
      </c>
      <c r="AH450" s="33" t="str">
        <f t="shared" si="2451"/>
        <v/>
      </c>
      <c r="AI450" s="41" t="str">
        <f>IF(S450="","",Z450)</f>
        <v/>
      </c>
      <c r="AJ450" s="43" t="str">
        <f>IF(S450="","",AI450*$AJ$3/10000)</f>
        <v/>
      </c>
      <c r="AK450" s="33" t="str">
        <f>IF(S450="","",IF(T450="","",IF(AND(T450=1,AE450&gt;1),"NG",IF(AH450="＞","OK","NG"))))</f>
        <v/>
      </c>
    </row>
    <row r="451" spans="1:37" ht="15.75" customHeight="1" x14ac:dyDescent="0.15">
      <c r="A451" s="92"/>
      <c r="B451" s="93"/>
      <c r="C451" s="59"/>
      <c r="D451" s="61"/>
      <c r="E451" s="94"/>
      <c r="F451" s="95"/>
      <c r="G451" s="95"/>
      <c r="H451" s="96"/>
      <c r="I451" s="54"/>
      <c r="J451" s="46"/>
      <c r="K451" s="97"/>
      <c r="L451" s="57"/>
      <c r="M451" s="44"/>
      <c r="N451" s="44"/>
      <c r="O451" s="42"/>
      <c r="P451" s="50"/>
      <c r="Q451" s="42"/>
      <c r="R451" s="52"/>
      <c r="S451" s="98"/>
      <c r="T451" s="99">
        <v>2</v>
      </c>
      <c r="U451" s="34" t="str">
        <f>IF(S450="","",IF(T450=T451,"〃",IF(T451=1,"素焼土管",IF(T451=2,"合成樹脂管",IF(T451=3,"無孔管","")))))</f>
        <v/>
      </c>
      <c r="V451" s="35"/>
      <c r="W451" s="100"/>
      <c r="X451" s="101"/>
      <c r="Y451" s="95"/>
      <c r="Z451" s="42"/>
      <c r="AA451" s="46"/>
      <c r="AB451" s="97"/>
      <c r="AC451" s="36" t="str">
        <f>IF(S450="","",IF(T451=1,0.013,0.012))</f>
        <v/>
      </c>
      <c r="AD451" s="37" t="str">
        <f>IF(S450="","",(1/AC451*(W451/100/2)^(8/3)*(1/AB450*100)^(1/2)*1.65696)*100)</f>
        <v/>
      </c>
      <c r="AE451" s="37" t="str">
        <f>IF(S450="","",1/AC451*(W451/100/2)^(2/3)*(1/AB450)^(1/2)*0.70541)</f>
        <v/>
      </c>
      <c r="AF451" s="37" t="str">
        <f>IF(S450="","",ROUNDDOWN(AD451/($U$3/8.64),3))</f>
        <v/>
      </c>
      <c r="AG451" s="38" t="str">
        <f>IF(S450="","",ROUNDDOWN(AF451*10000/$AJ$3,0))</f>
        <v/>
      </c>
      <c r="AH451" s="39" t="str">
        <f t="shared" ref="AH451" si="2479">IF(S450="","",IF(AG451&gt;AI450,"＞",IF(AG451=AI450,"=","＜")))</f>
        <v/>
      </c>
      <c r="AI451" s="42"/>
      <c r="AJ451" s="44"/>
      <c r="AK451" s="39" t="str">
        <f>IF(S450="","",IF(AND(T451=1,AE451&gt;1),"NG",IF(AH451="＞","OK","NG")))</f>
        <v/>
      </c>
    </row>
    <row r="452" spans="1:37" ht="15.75" customHeight="1" x14ac:dyDescent="0.15">
      <c r="A452" s="80"/>
      <c r="B452" s="81">
        <v>2</v>
      </c>
      <c r="C452" s="58" t="str">
        <f>IF(A452="","",IF(B452=1,"素　焼土　管",IF(B452=2,"合　成樹脂管",IF(B452=3,"無孔管",""))))</f>
        <v/>
      </c>
      <c r="D452" s="60"/>
      <c r="E452" s="82"/>
      <c r="F452" s="83"/>
      <c r="G452" s="83"/>
      <c r="H452" s="84"/>
      <c r="I452" s="53" t="str">
        <f>IF(A452="","",F452-G452+H452)</f>
        <v/>
      </c>
      <c r="J452" s="55" t="str">
        <f>IF(A452="",""," 1/")</f>
        <v/>
      </c>
      <c r="K452" s="85"/>
      <c r="L452" s="56" t="str">
        <f>IF(A452="","",IF(B452=1,0.013,0.012))</f>
        <v/>
      </c>
      <c r="M452" s="47" t="str">
        <f>IF(A452="","",(1/L452*(E452/100/2)^(8/3)*(1/K452*100)^(1/2)*1.65696)*100)</f>
        <v/>
      </c>
      <c r="N452" s="47" t="str">
        <f>IF(A452="","",1/L452*(E452/100/2)^(2/3)*(1/K452)^(1/2)*0.70541)</f>
        <v/>
      </c>
      <c r="O452" s="48" t="str">
        <f>IF(A452="","",ROUNDDOWN(M452/($U$3/8.64)*10000/$AJ$3,0))</f>
        <v/>
      </c>
      <c r="P452" s="49" t="str">
        <f>IF(A452="","",IF(O452&gt;Q452,"＞","＜"))</f>
        <v/>
      </c>
      <c r="Q452" s="48" t="str">
        <f>IF(A452="","",I452)</f>
        <v/>
      </c>
      <c r="R452" s="51" t="str">
        <f>IF(A452="","",IF(P452="＞","OK","NG"))</f>
        <v/>
      </c>
      <c r="S452" s="86"/>
      <c r="T452" s="87"/>
      <c r="U452" s="28" t="str">
        <f>IF(S452="","",IF(T452=1,"素焼土管",IF(T452=2,"合成樹脂管",IF(T452=3,"無孔管",""))))</f>
        <v/>
      </c>
      <c r="V452" s="29"/>
      <c r="W452" s="88"/>
      <c r="X452" s="89"/>
      <c r="Y452" s="90"/>
      <c r="Z452" s="41" t="str">
        <f>IF(S452="","",IF(AND(T453=3,I452=""),Z450+Y452,IF(AND(Z450="",I450=""),I452+Y452,IF(AND(T453=3,I452&gt;0,Z450&gt;0),I452+Z450+Y452,IF(Z450="",I450+I452+X452+Y452,IF(I452="",Z450+X452+Y452,Z450+I452+X452+Y452))))))</f>
        <v/>
      </c>
      <c r="AA452" s="45" t="str">
        <f>IF(AB452="",""," 1/")</f>
        <v/>
      </c>
      <c r="AB452" s="91"/>
      <c r="AC452" s="30" t="str">
        <f>IF(S452="","",IF(T452="","",IF(T452=1,0.013,0.012)))</f>
        <v/>
      </c>
      <c r="AD452" s="31" t="str">
        <f>IF(S452="","",IF(T452="","",(1/AC452*(W452/100/2)^(8/3)*(1/AB452*100)^(1/2)*1.65696)*100))</f>
        <v/>
      </c>
      <c r="AE452" s="31" t="str">
        <f>IF(S452="","",IF(T452="","",1/AC452*(W452/100/2)^(2/3)*(1/AB452)^(1/2)*0.70541))</f>
        <v/>
      </c>
      <c r="AF452" s="31" t="str">
        <f>IF(S452="","",IF(T452="","",ROUNDDOWN(AD452/($U$3/8.64),3)))</f>
        <v/>
      </c>
      <c r="AG452" s="32" t="str">
        <f>IF(S452="","",IF(T452="","",ROUNDDOWN(AF452*10000/$AJ$3,0)))</f>
        <v/>
      </c>
      <c r="AH452" s="33" t="str">
        <f t="shared" si="2451"/>
        <v/>
      </c>
      <c r="AI452" s="41" t="str">
        <f>IF(S452="","",Z452)</f>
        <v/>
      </c>
      <c r="AJ452" s="43" t="str">
        <f>IF(S452="","",AI452*$AJ$3/10000)</f>
        <v/>
      </c>
      <c r="AK452" s="33" t="str">
        <f>IF(S452="","",IF(T452="","",IF(AND(T452=1,AE452&gt;1),"NG",IF(AH452="＞","OK","NG"))))</f>
        <v/>
      </c>
    </row>
    <row r="453" spans="1:37" ht="15.75" customHeight="1" x14ac:dyDescent="0.15">
      <c r="A453" s="92"/>
      <c r="B453" s="93"/>
      <c r="C453" s="59"/>
      <c r="D453" s="61"/>
      <c r="E453" s="94"/>
      <c r="F453" s="95"/>
      <c r="G453" s="95"/>
      <c r="H453" s="96"/>
      <c r="I453" s="54"/>
      <c r="J453" s="46"/>
      <c r="K453" s="97"/>
      <c r="L453" s="57"/>
      <c r="M453" s="44"/>
      <c r="N453" s="44"/>
      <c r="O453" s="42"/>
      <c r="P453" s="50"/>
      <c r="Q453" s="42"/>
      <c r="R453" s="52"/>
      <c r="S453" s="98"/>
      <c r="T453" s="99">
        <v>2</v>
      </c>
      <c r="U453" s="34" t="str">
        <f>IF(S452="","",IF(T452=T453,"〃",IF(T453=1,"素焼土管",IF(T453=2,"合成樹脂管",IF(T453=3,"無孔管","")))))</f>
        <v/>
      </c>
      <c r="V453" s="35"/>
      <c r="W453" s="100"/>
      <c r="X453" s="101"/>
      <c r="Y453" s="95"/>
      <c r="Z453" s="42"/>
      <c r="AA453" s="46"/>
      <c r="AB453" s="97"/>
      <c r="AC453" s="36" t="str">
        <f>IF(S452="","",IF(T453=1,0.013,0.012))</f>
        <v/>
      </c>
      <c r="AD453" s="37" t="str">
        <f>IF(S452="","",(1/AC453*(W453/100/2)^(8/3)*(1/AB452*100)^(1/2)*1.65696)*100)</f>
        <v/>
      </c>
      <c r="AE453" s="37" t="str">
        <f>IF(S452="","",1/AC453*(W453/100/2)^(2/3)*(1/AB452)^(1/2)*0.70541)</f>
        <v/>
      </c>
      <c r="AF453" s="37" t="str">
        <f>IF(S452="","",ROUNDDOWN(AD453/($U$3/8.64),3))</f>
        <v/>
      </c>
      <c r="AG453" s="38" t="str">
        <f>IF(S452="","",ROUNDDOWN(AF453*10000/$AJ$3,0))</f>
        <v/>
      </c>
      <c r="AH453" s="39" t="str">
        <f t="shared" ref="AH453" si="2480">IF(S452="","",IF(AG453&gt;AI452,"＞",IF(AG453=AI452,"=","＜")))</f>
        <v/>
      </c>
      <c r="AI453" s="42"/>
      <c r="AJ453" s="44"/>
      <c r="AK453" s="39" t="str">
        <f>IF(S452="","",IF(AND(T453=1,AE453&gt;1),"NG",IF(AH453="＞","OK","NG")))</f>
        <v/>
      </c>
    </row>
    <row r="454" spans="1:37" ht="15.75" customHeight="1" x14ac:dyDescent="0.15">
      <c r="A454" s="80"/>
      <c r="B454" s="81">
        <v>2</v>
      </c>
      <c r="C454" s="58" t="str">
        <f>IF(A454="","",IF(B454=1,"素　焼土　管",IF(B454=2,"合　成樹脂管",IF(B454=3,"無孔管",""))))</f>
        <v/>
      </c>
      <c r="D454" s="60"/>
      <c r="E454" s="82"/>
      <c r="F454" s="83"/>
      <c r="G454" s="83"/>
      <c r="H454" s="84"/>
      <c r="I454" s="53" t="str">
        <f>IF(A454="","",F454-G454+H454)</f>
        <v/>
      </c>
      <c r="J454" s="55" t="str">
        <f>IF(A454="",""," 1/")</f>
        <v/>
      </c>
      <c r="K454" s="85"/>
      <c r="L454" s="56" t="str">
        <f>IF(A454="","",IF(B454=1,0.013,0.012))</f>
        <v/>
      </c>
      <c r="M454" s="47" t="str">
        <f>IF(A454="","",(1/L454*(E454/100/2)^(8/3)*(1/K454*100)^(1/2)*1.65696)*100)</f>
        <v/>
      </c>
      <c r="N454" s="47" t="str">
        <f>IF(A454="","",1/L454*(E454/100/2)^(2/3)*(1/K454)^(1/2)*0.70541)</f>
        <v/>
      </c>
      <c r="O454" s="48" t="str">
        <f>IF(A454="","",ROUNDDOWN(M454/($U$3/8.64)*10000/$AJ$3,0))</f>
        <v/>
      </c>
      <c r="P454" s="49" t="str">
        <f>IF(A454="","",IF(O454&gt;Q454,"＞","＜"))</f>
        <v/>
      </c>
      <c r="Q454" s="48" t="str">
        <f>IF(A454="","",I454)</f>
        <v/>
      </c>
      <c r="R454" s="51" t="str">
        <f>IF(A454="","",IF(P454="＞","OK","NG"))</f>
        <v/>
      </c>
      <c r="S454" s="86"/>
      <c r="T454" s="87"/>
      <c r="U454" s="28" t="str">
        <f>IF(S454="","",IF(T454=1,"素焼土管",IF(T454=2,"合成樹脂管",IF(T454=3,"無孔管",""))))</f>
        <v/>
      </c>
      <c r="V454" s="29"/>
      <c r="W454" s="88"/>
      <c r="X454" s="89"/>
      <c r="Y454" s="90"/>
      <c r="Z454" s="41" t="str">
        <f>IF(S454="","",IF(AND(T455=3,I454=""),Z452+Y454,IF(AND(Z452="",I452=""),I454+Y454,IF(AND(T455=3,I454&gt;0,Z452&gt;0),I454+Z452+Y454,IF(Z452="",I452+I454+X454+Y454,IF(I454="",Z452+X454+Y454,Z452+I454+X454+Y454))))))</f>
        <v/>
      </c>
      <c r="AA454" s="45" t="str">
        <f>IF(AB454="",""," 1/")</f>
        <v/>
      </c>
      <c r="AB454" s="91"/>
      <c r="AC454" s="30" t="str">
        <f>IF(S454="","",IF(T454="","",IF(T454=1,0.013,0.012)))</f>
        <v/>
      </c>
      <c r="AD454" s="31" t="str">
        <f>IF(S454="","",IF(T454="","",(1/AC454*(W454/100/2)^(8/3)*(1/AB454*100)^(1/2)*1.65696)*100))</f>
        <v/>
      </c>
      <c r="AE454" s="31" t="str">
        <f>IF(S454="","",IF(T454="","",1/AC454*(W454/100/2)^(2/3)*(1/AB454)^(1/2)*0.70541))</f>
        <v/>
      </c>
      <c r="AF454" s="31" t="str">
        <f>IF(S454="","",IF(T454="","",ROUNDDOWN(AD454/($U$3/8.64),3)))</f>
        <v/>
      </c>
      <c r="AG454" s="32" t="str">
        <f>IF(S454="","",IF(T454="","",ROUNDDOWN(AF454*10000/$AJ$3,0)))</f>
        <v/>
      </c>
      <c r="AH454" s="33" t="str">
        <f t="shared" si="2451"/>
        <v/>
      </c>
      <c r="AI454" s="41" t="str">
        <f>IF(S454="","",Z454)</f>
        <v/>
      </c>
      <c r="AJ454" s="43" t="str">
        <f>IF(S454="","",AI454*$AJ$3/10000)</f>
        <v/>
      </c>
      <c r="AK454" s="33" t="str">
        <f>IF(S454="","",IF(T454="","",IF(AND(T454=1,AE454&gt;1),"NG",IF(AH454="＞","OK","NG"))))</f>
        <v/>
      </c>
    </row>
    <row r="455" spans="1:37" ht="15.75" customHeight="1" x14ac:dyDescent="0.15">
      <c r="A455" s="92"/>
      <c r="B455" s="93"/>
      <c r="C455" s="59"/>
      <c r="D455" s="61"/>
      <c r="E455" s="94"/>
      <c r="F455" s="95"/>
      <c r="G455" s="95"/>
      <c r="H455" s="96"/>
      <c r="I455" s="54"/>
      <c r="J455" s="46"/>
      <c r="K455" s="97"/>
      <c r="L455" s="57"/>
      <c r="M455" s="44"/>
      <c r="N455" s="44"/>
      <c r="O455" s="42"/>
      <c r="P455" s="50"/>
      <c r="Q455" s="42"/>
      <c r="R455" s="52"/>
      <c r="S455" s="98"/>
      <c r="T455" s="99">
        <v>2</v>
      </c>
      <c r="U455" s="34" t="str">
        <f>IF(S454="","",IF(T454=T455,"〃",IF(T455=1,"素焼土管",IF(T455=2,"合成樹脂管",IF(T455=3,"無孔管","")))))</f>
        <v/>
      </c>
      <c r="V455" s="35"/>
      <c r="W455" s="100"/>
      <c r="X455" s="101"/>
      <c r="Y455" s="95"/>
      <c r="Z455" s="42"/>
      <c r="AA455" s="46"/>
      <c r="AB455" s="97"/>
      <c r="AC455" s="36" t="str">
        <f>IF(S454="","",IF(T455=1,0.013,0.012))</f>
        <v/>
      </c>
      <c r="AD455" s="37" t="str">
        <f>IF(S454="","",(1/AC455*(W455/100/2)^(8/3)*(1/AB454*100)^(1/2)*1.65696)*100)</f>
        <v/>
      </c>
      <c r="AE455" s="37" t="str">
        <f>IF(S454="","",1/AC455*(W455/100/2)^(2/3)*(1/AB454)^(1/2)*0.70541)</f>
        <v/>
      </c>
      <c r="AF455" s="37" t="str">
        <f>IF(S454="","",ROUNDDOWN(AD455/($U$3/8.64),3))</f>
        <v/>
      </c>
      <c r="AG455" s="38" t="str">
        <f>IF(S454="","",ROUNDDOWN(AF455*10000/$AJ$3,0))</f>
        <v/>
      </c>
      <c r="AH455" s="39" t="str">
        <f t="shared" ref="AH455" si="2481">IF(S454="","",IF(AG455&gt;AI454,"＞",IF(AG455=AI454,"=","＜")))</f>
        <v/>
      </c>
      <c r="AI455" s="42"/>
      <c r="AJ455" s="44"/>
      <c r="AK455" s="39" t="str">
        <f>IF(S454="","",IF(AND(T455=1,AE455&gt;1),"NG",IF(AH455="＞","OK","NG")))</f>
        <v/>
      </c>
    </row>
    <row r="456" spans="1:37" ht="15.75" customHeight="1" x14ac:dyDescent="0.15">
      <c r="A456" s="80"/>
      <c r="B456" s="81">
        <v>2</v>
      </c>
      <c r="C456" s="58" t="str">
        <f>IF(A456="","",IF(B456=1,"素　焼土　管",IF(B456=2,"合　成樹脂管",IF(B456=3,"無孔管",""))))</f>
        <v/>
      </c>
      <c r="D456" s="60"/>
      <c r="E456" s="82"/>
      <c r="F456" s="83"/>
      <c r="G456" s="83"/>
      <c r="H456" s="84"/>
      <c r="I456" s="53" t="str">
        <f>IF(A456="","",F456-G456+H456)</f>
        <v/>
      </c>
      <c r="J456" s="55" t="str">
        <f>IF(A456="",""," 1/")</f>
        <v/>
      </c>
      <c r="K456" s="85"/>
      <c r="L456" s="56" t="str">
        <f>IF(A456="","",IF(B456=1,0.013,0.012))</f>
        <v/>
      </c>
      <c r="M456" s="47" t="str">
        <f>IF(A456="","",(1/L456*(E456/100/2)^(8/3)*(1/K456*100)^(1/2)*1.65696)*100)</f>
        <v/>
      </c>
      <c r="N456" s="47" t="str">
        <f>IF(A456="","",1/L456*(E456/100/2)^(2/3)*(1/K456)^(1/2)*0.70541)</f>
        <v/>
      </c>
      <c r="O456" s="48" t="str">
        <f>IF(A456="","",ROUNDDOWN(M456/($U$3/8.64)*10000/$AJ$3,0))</f>
        <v/>
      </c>
      <c r="P456" s="49" t="str">
        <f>IF(A456="","",IF(O456&gt;Q456,"＞","＜"))</f>
        <v/>
      </c>
      <c r="Q456" s="48" t="str">
        <f>IF(A456="","",I456)</f>
        <v/>
      </c>
      <c r="R456" s="51" t="str">
        <f>IF(A456="","",IF(P456="＞","OK","NG"))</f>
        <v/>
      </c>
      <c r="S456" s="86"/>
      <c r="T456" s="87"/>
      <c r="U456" s="28" t="str">
        <f>IF(S456="","",IF(T456=1,"素焼土管",IF(T456=2,"合成樹脂管",IF(T456=3,"無孔管",""))))</f>
        <v/>
      </c>
      <c r="V456" s="29"/>
      <c r="W456" s="88"/>
      <c r="X456" s="89"/>
      <c r="Y456" s="90"/>
      <c r="Z456" s="41" t="str">
        <f>IF(S456="","",IF(AND(T457=3,I456=""),Z454+Y456,IF(AND(Z454="",I454=""),I456+Y456,IF(AND(T457=3,I456&gt;0,Z454&gt;0),I456+Z454+Y456,IF(Z454="",I454+I456+X456+Y456,IF(I456="",Z454+X456+Y456,Z454+I456+X456+Y456))))))</f>
        <v/>
      </c>
      <c r="AA456" s="45" t="str">
        <f>IF(AB456="",""," 1/")</f>
        <v/>
      </c>
      <c r="AB456" s="91"/>
      <c r="AC456" s="30" t="str">
        <f>IF(S456="","",IF(T456="","",IF(T456=1,0.013,0.012)))</f>
        <v/>
      </c>
      <c r="AD456" s="31" t="str">
        <f>IF(S456="","",IF(T456="","",(1/AC456*(W456/100/2)^(8/3)*(1/AB456*100)^(1/2)*1.65696)*100))</f>
        <v/>
      </c>
      <c r="AE456" s="31" t="str">
        <f>IF(S456="","",IF(T456="","",1/AC456*(W456/100/2)^(2/3)*(1/AB456)^(1/2)*0.70541))</f>
        <v/>
      </c>
      <c r="AF456" s="31" t="str">
        <f>IF(S456="","",IF(T456="","",ROUNDDOWN(AD456/($U$3/8.64),3)))</f>
        <v/>
      </c>
      <c r="AG456" s="32" t="str">
        <f>IF(S456="","",IF(T456="","",ROUNDDOWN(AF456*10000/$AJ$3,0)))</f>
        <v/>
      </c>
      <c r="AH456" s="33" t="str">
        <f t="shared" si="2451"/>
        <v/>
      </c>
      <c r="AI456" s="41" t="str">
        <f>IF(S456="","",Z456)</f>
        <v/>
      </c>
      <c r="AJ456" s="43" t="str">
        <f>IF(S456="","",AI456*$AJ$3/10000)</f>
        <v/>
      </c>
      <c r="AK456" s="33" t="str">
        <f>IF(S456="","",IF(T456="","",IF(AND(T456=1,AE456&gt;1),"NG",IF(AH456="＞","OK","NG"))))</f>
        <v/>
      </c>
    </row>
    <row r="457" spans="1:37" ht="15.75" customHeight="1" x14ac:dyDescent="0.15">
      <c r="A457" s="92"/>
      <c r="B457" s="93"/>
      <c r="C457" s="59"/>
      <c r="D457" s="61"/>
      <c r="E457" s="94"/>
      <c r="F457" s="95"/>
      <c r="G457" s="95"/>
      <c r="H457" s="96"/>
      <c r="I457" s="54"/>
      <c r="J457" s="46"/>
      <c r="K457" s="97"/>
      <c r="L457" s="57"/>
      <c r="M457" s="44"/>
      <c r="N457" s="44"/>
      <c r="O457" s="42"/>
      <c r="P457" s="50"/>
      <c r="Q457" s="42"/>
      <c r="R457" s="52"/>
      <c r="S457" s="98"/>
      <c r="T457" s="99">
        <v>2</v>
      </c>
      <c r="U457" s="34" t="str">
        <f>IF(S456="","",IF(T456=T457,"〃",IF(T457=1,"素焼土管",IF(T457=2,"合成樹脂管",IF(T457=3,"無孔管","")))))</f>
        <v/>
      </c>
      <c r="V457" s="35"/>
      <c r="W457" s="100"/>
      <c r="X457" s="101"/>
      <c r="Y457" s="95"/>
      <c r="Z457" s="42"/>
      <c r="AA457" s="46"/>
      <c r="AB457" s="97"/>
      <c r="AC457" s="36" t="str">
        <f>IF(S456="","",IF(T457=1,0.013,0.012))</f>
        <v/>
      </c>
      <c r="AD457" s="37" t="str">
        <f>IF(S456="","",(1/AC457*(W457/100/2)^(8/3)*(1/AB456*100)^(1/2)*1.65696)*100)</f>
        <v/>
      </c>
      <c r="AE457" s="37" t="str">
        <f>IF(S456="","",1/AC457*(W457/100/2)^(2/3)*(1/AB456)^(1/2)*0.70541)</f>
        <v/>
      </c>
      <c r="AF457" s="37" t="str">
        <f>IF(S456="","",ROUNDDOWN(AD457/($U$3/8.64),3))</f>
        <v/>
      </c>
      <c r="AG457" s="38" t="str">
        <f>IF(S456="","",ROUNDDOWN(AF457*10000/$AJ$3,0))</f>
        <v/>
      </c>
      <c r="AH457" s="39" t="str">
        <f t="shared" ref="AH457" si="2482">IF(S456="","",IF(AG457&gt;AI456,"＞",IF(AG457=AI456,"=","＜")))</f>
        <v/>
      </c>
      <c r="AI457" s="42"/>
      <c r="AJ457" s="44"/>
      <c r="AK457" s="39" t="str">
        <f>IF(S456="","",IF(AND(T457=1,AE457&gt;1),"NG",IF(AH457="＞","OK","NG")))</f>
        <v/>
      </c>
    </row>
    <row r="458" spans="1:37" ht="15.75" customHeight="1" x14ac:dyDescent="0.15">
      <c r="A458" s="80"/>
      <c r="B458" s="81">
        <v>3</v>
      </c>
      <c r="C458" s="58" t="str">
        <f>IF(A458="","",IF(B458=1,"素　焼土　管",IF(B458=2,"合　成樹脂管",IF(B458=3,"無孔管",""))))</f>
        <v/>
      </c>
      <c r="D458" s="60"/>
      <c r="E458" s="82"/>
      <c r="F458" s="83"/>
      <c r="G458" s="83"/>
      <c r="H458" s="84"/>
      <c r="I458" s="53" t="str">
        <f>IF(A458="","",F458-G458+H458)</f>
        <v/>
      </c>
      <c r="J458" s="55" t="str">
        <f>IF(A458="",""," 1/")</f>
        <v/>
      </c>
      <c r="K458" s="85"/>
      <c r="L458" s="56" t="str">
        <f>IF(A458="","",IF(B458=1,0.013,0.012))</f>
        <v/>
      </c>
      <c r="M458" s="47" t="str">
        <f>IF(A458="","",(1/L458*(E458/100/2)^(8/3)*(1/K458*100)^(1/2)*1.65696)*100)</f>
        <v/>
      </c>
      <c r="N458" s="47" t="str">
        <f>IF(A458="","",1/L458*(E458/100/2)^(2/3)*(1/K458)^(1/2)*0.70541)</f>
        <v/>
      </c>
      <c r="O458" s="48" t="str">
        <f>IF(A458="","",ROUNDDOWN(M458/($U$3/8.64)*10000/$AJ$3,0))</f>
        <v/>
      </c>
      <c r="P458" s="49" t="str">
        <f>IF(A458="","",IF(O458&gt;Q458,"＞","＜"))</f>
        <v/>
      </c>
      <c r="Q458" s="48" t="str">
        <f>IF(A458="","",I458)</f>
        <v/>
      </c>
      <c r="R458" s="51" t="str">
        <f>IF(A458="","",IF(P458="＞","OK","NG"))</f>
        <v/>
      </c>
      <c r="S458" s="86"/>
      <c r="T458" s="87"/>
      <c r="U458" s="28" t="str">
        <f>IF(S458="","",IF(T458=1,"素焼土管",IF(T458=2,"合成樹脂管",IF(T458=3,"無孔管",""))))</f>
        <v/>
      </c>
      <c r="V458" s="29"/>
      <c r="W458" s="88"/>
      <c r="X458" s="89"/>
      <c r="Y458" s="90"/>
      <c r="Z458" s="41" t="str">
        <f>IF(S458="","",IF(AND(T459=3,I458=""),Z456+Y458,IF(AND(Z456="",I456=""),I458+Y458,IF(AND(T459=3,I458&gt;0,Z456&gt;0),I458+Z456+Y458,IF(Z456="",I456+I458+X458+Y458,IF(I458="",Z456+X458+Y458,Z456+I458+X458+Y458))))))</f>
        <v/>
      </c>
      <c r="AA458" s="45" t="str">
        <f>IF(AB458="",""," 1/")</f>
        <v/>
      </c>
      <c r="AB458" s="91"/>
      <c r="AC458" s="30" t="str">
        <f>IF(S458="","",IF(T458="","",IF(T458=1,0.013,0.012)))</f>
        <v/>
      </c>
      <c r="AD458" s="31" t="str">
        <f>IF(S458="","",IF(T458="","",(1/AC458*(W458/100/2)^(8/3)*(1/AB458*100)^(1/2)*1.65696)*100))</f>
        <v/>
      </c>
      <c r="AE458" s="31" t="str">
        <f>IF(S458="","",IF(T458="","",1/AC458*(W458/100/2)^(2/3)*(1/AB458)^(1/2)*0.70541))</f>
        <v/>
      </c>
      <c r="AF458" s="31" t="str">
        <f>IF(S458="","",IF(T458="","",ROUNDDOWN(AD458/($U$3/8.64),3)))</f>
        <v/>
      </c>
      <c r="AG458" s="32" t="str">
        <f>IF(S458="","",IF(T458="","",ROUNDDOWN(AF458*10000/$AJ$3,0)))</f>
        <v/>
      </c>
      <c r="AH458" s="33" t="str">
        <f t="shared" si="2451"/>
        <v/>
      </c>
      <c r="AI458" s="41" t="str">
        <f>IF(S458="","",Z458)</f>
        <v/>
      </c>
      <c r="AJ458" s="43" t="str">
        <f>IF(S458="","",AI458*$AJ$3/10000)</f>
        <v/>
      </c>
      <c r="AK458" s="33" t="str">
        <f>IF(S458="","",IF(T458="","",IF(AND(T458=1,AE458&gt;1),"NG",IF(AH458="＞","OK","NG"))))</f>
        <v/>
      </c>
    </row>
    <row r="459" spans="1:37" ht="15.75" customHeight="1" x14ac:dyDescent="0.15">
      <c r="A459" s="92"/>
      <c r="B459" s="93"/>
      <c r="C459" s="59"/>
      <c r="D459" s="61"/>
      <c r="E459" s="94"/>
      <c r="F459" s="95"/>
      <c r="G459" s="95"/>
      <c r="H459" s="96"/>
      <c r="I459" s="54"/>
      <c r="J459" s="46"/>
      <c r="K459" s="97"/>
      <c r="L459" s="57"/>
      <c r="M459" s="44"/>
      <c r="N459" s="44"/>
      <c r="O459" s="42"/>
      <c r="P459" s="50"/>
      <c r="Q459" s="42"/>
      <c r="R459" s="52"/>
      <c r="S459" s="98"/>
      <c r="T459" s="99">
        <v>3</v>
      </c>
      <c r="U459" s="34" t="str">
        <f>IF(S458="","",IF(T458=T459,"〃",IF(T459=1,"素焼土管",IF(T459=2,"合成樹脂管",IF(T459=3,"無孔管","")))))</f>
        <v/>
      </c>
      <c r="V459" s="35"/>
      <c r="W459" s="100"/>
      <c r="X459" s="101"/>
      <c r="Y459" s="95"/>
      <c r="Z459" s="42"/>
      <c r="AA459" s="46"/>
      <c r="AB459" s="97"/>
      <c r="AC459" s="36" t="str">
        <f>IF(S458="","",IF(T459=1,0.013,0.012))</f>
        <v/>
      </c>
      <c r="AD459" s="37" t="str">
        <f>IF(S458="","",(1/AC459*(W459/100/2)^(8/3)*(1/AB458*100)^(1/2)*1.65696)*100)</f>
        <v/>
      </c>
      <c r="AE459" s="37" t="str">
        <f>IF(S458="","",1/AC459*(W459/100/2)^(2/3)*(1/AB458)^(1/2)*0.70541)</f>
        <v/>
      </c>
      <c r="AF459" s="37" t="str">
        <f>IF(S458="","",ROUNDDOWN(AD459/($U$3/8.64),3))</f>
        <v/>
      </c>
      <c r="AG459" s="38" t="str">
        <f>IF(S458="","",ROUNDDOWN(AF459*10000/$AJ$3,0))</f>
        <v/>
      </c>
      <c r="AH459" s="39" t="str">
        <f t="shared" ref="AH459" si="2483">IF(S458="","",IF(AG459&gt;AI458,"＞",IF(AG459=AI458,"=","＜")))</f>
        <v/>
      </c>
      <c r="AI459" s="42"/>
      <c r="AJ459" s="44"/>
      <c r="AK459" s="39" t="str">
        <f>IF(S458="","",IF(AND(T459=1,AE459&gt;1),"NG",IF(AH459="＞","OK","NG")))</f>
        <v/>
      </c>
    </row>
    <row r="460" spans="1:37" ht="15.75" customHeight="1" x14ac:dyDescent="0.15">
      <c r="A460" s="80"/>
      <c r="B460" s="81">
        <v>4</v>
      </c>
      <c r="C460" s="58" t="str">
        <f>IF(A460="","",IF(B460=1,"素　焼土　管",IF(B460=2,"合　成樹脂管",IF(B460=3,"無孔管",""))))</f>
        <v/>
      </c>
      <c r="D460" s="60"/>
      <c r="E460" s="82"/>
      <c r="F460" s="83"/>
      <c r="G460" s="83"/>
      <c r="H460" s="84"/>
      <c r="I460" s="53" t="str">
        <f>IF(A460="","",F460-G460+H460)</f>
        <v/>
      </c>
      <c r="J460" s="55" t="str">
        <f>IF(A460="",""," 1/")</f>
        <v/>
      </c>
      <c r="K460" s="85"/>
      <c r="L460" s="56" t="str">
        <f>IF(A460="","",IF(B460=1,0.013,0.012))</f>
        <v/>
      </c>
      <c r="M460" s="47" t="str">
        <f>IF(A460="","",(1/L460*(E460/100/2)^(8/3)*(1/K460*100)^(1/2)*1.65696)*100)</f>
        <v/>
      </c>
      <c r="N460" s="47" t="str">
        <f>IF(A460="","",1/L460*(E460/100/2)^(2/3)*(1/K460)^(1/2)*0.70541)</f>
        <v/>
      </c>
      <c r="O460" s="48" t="str">
        <f>IF(A460="","",ROUNDDOWN(M460/($U$3/8.64)*10000/$AJ$3,0))</f>
        <v/>
      </c>
      <c r="P460" s="49" t="str">
        <f>IF(A460="","",IF(O460&gt;Q460,"＞","＜"))</f>
        <v/>
      </c>
      <c r="Q460" s="48" t="str">
        <f>IF(A460="","",I460)</f>
        <v/>
      </c>
      <c r="R460" s="51" t="str">
        <f>IF(A460="","",IF(P460="＞","OK","NG"))</f>
        <v/>
      </c>
      <c r="S460" s="86"/>
      <c r="T460" s="87"/>
      <c r="U460" s="28" t="str">
        <f>IF(S460="","",IF(T460=1,"素焼土管",IF(T460=2,"合成樹脂管",IF(T460=3,"無孔管",""))))</f>
        <v/>
      </c>
      <c r="V460" s="29"/>
      <c r="W460" s="88"/>
      <c r="X460" s="89"/>
      <c r="Y460" s="90"/>
      <c r="Z460" s="41" t="str">
        <f>IF(S460="","",IF(AND(T461=3,I460=""),Z458+Y460,IF(AND(Z458="",I458=""),I460+Y460,IF(AND(T461=3,I460&gt;0,Z458&gt;0),I460+Z458+Y460,IF(Z458="",I458+I460+X460+Y460,IF(I460="",Z458+X460+Y460,Z458+I460+X460+Y460))))))</f>
        <v/>
      </c>
      <c r="AA460" s="45" t="str">
        <f>IF(AB460="",""," 1/")</f>
        <v/>
      </c>
      <c r="AB460" s="91"/>
      <c r="AC460" s="30" t="str">
        <f>IF(S460="","",IF(T460="","",IF(T460=1,0.013,0.012)))</f>
        <v/>
      </c>
      <c r="AD460" s="31" t="str">
        <f>IF(S460="","",IF(T460="","",(1/AC460*(W460/100/2)^(8/3)*(1/AB460*100)^(1/2)*1.65696)*100))</f>
        <v/>
      </c>
      <c r="AE460" s="31" t="str">
        <f>IF(S460="","",IF(T460="","",1/AC460*(W460/100/2)^(2/3)*(1/AB460)^(1/2)*0.70541))</f>
        <v/>
      </c>
      <c r="AF460" s="31" t="str">
        <f>IF(S460="","",IF(T460="","",ROUNDDOWN(AD460/($U$3/8.64),3)))</f>
        <v/>
      </c>
      <c r="AG460" s="32" t="str">
        <f>IF(S460="","",IF(T460="","",ROUNDDOWN(AF460*10000/$AJ$3,0)))</f>
        <v/>
      </c>
      <c r="AH460" s="33" t="str">
        <f t="shared" ref="AH460:AH522" si="2484">IF(S460="","",IF(T460="","",IF(AG460&gt;AI460,"＞","＜")))</f>
        <v/>
      </c>
      <c r="AI460" s="41" t="str">
        <f>IF(S460="","",Z460)</f>
        <v/>
      </c>
      <c r="AJ460" s="43" t="str">
        <f>IF(S460="","",AI460*$AJ$3/10000)</f>
        <v/>
      </c>
      <c r="AK460" s="33" t="str">
        <f>IF(S460="","",IF(T460="","",IF(AND(T460=1,AE460&gt;1),"NG",IF(AH460="＞","OK","NG"))))</f>
        <v/>
      </c>
    </row>
    <row r="461" spans="1:37" ht="15.75" customHeight="1" x14ac:dyDescent="0.15">
      <c r="A461" s="92"/>
      <c r="B461" s="93"/>
      <c r="C461" s="59"/>
      <c r="D461" s="61"/>
      <c r="E461" s="94"/>
      <c r="F461" s="95"/>
      <c r="G461" s="95"/>
      <c r="H461" s="96"/>
      <c r="I461" s="54"/>
      <c r="J461" s="46"/>
      <c r="K461" s="97"/>
      <c r="L461" s="57"/>
      <c r="M461" s="44"/>
      <c r="N461" s="44"/>
      <c r="O461" s="42"/>
      <c r="P461" s="50"/>
      <c r="Q461" s="42"/>
      <c r="R461" s="52"/>
      <c r="S461" s="98"/>
      <c r="T461" s="99">
        <v>4</v>
      </c>
      <c r="U461" s="34" t="str">
        <f>IF(S460="","",IF(T460=T461,"〃",IF(T461=1,"素焼土管",IF(T461=2,"合成樹脂管",IF(T461=3,"無孔管","")))))</f>
        <v/>
      </c>
      <c r="V461" s="35"/>
      <c r="W461" s="100"/>
      <c r="X461" s="101"/>
      <c r="Y461" s="95"/>
      <c r="Z461" s="42"/>
      <c r="AA461" s="46"/>
      <c r="AB461" s="97"/>
      <c r="AC461" s="36" t="str">
        <f>IF(S460="","",IF(T461=1,0.013,0.012))</f>
        <v/>
      </c>
      <c r="AD461" s="37" t="str">
        <f>IF(S460="","",(1/AC461*(W461/100/2)^(8/3)*(1/AB460*100)^(1/2)*1.65696)*100)</f>
        <v/>
      </c>
      <c r="AE461" s="37" t="str">
        <f>IF(S460="","",1/AC461*(W461/100/2)^(2/3)*(1/AB460)^(1/2)*0.70541)</f>
        <v/>
      </c>
      <c r="AF461" s="37" t="str">
        <f>IF(S460="","",ROUNDDOWN(AD461/($U$3/8.64),3))</f>
        <v/>
      </c>
      <c r="AG461" s="38" t="str">
        <f>IF(S460="","",ROUNDDOWN(AF461*10000/$AJ$3,0))</f>
        <v/>
      </c>
      <c r="AH461" s="39" t="str">
        <f t="shared" ref="AH461" si="2485">IF(S460="","",IF(AG461&gt;AI460,"＞",IF(AG461=AI460,"=","＜")))</f>
        <v/>
      </c>
      <c r="AI461" s="42"/>
      <c r="AJ461" s="44"/>
      <c r="AK461" s="39" t="str">
        <f>IF(S460="","",IF(AND(T461=1,AE461&gt;1),"NG",IF(AH461="＞","OK","NG")))</f>
        <v/>
      </c>
    </row>
    <row r="462" spans="1:37" ht="15.75" customHeight="1" x14ac:dyDescent="0.15">
      <c r="A462" s="80"/>
      <c r="B462" s="81">
        <v>5</v>
      </c>
      <c r="C462" s="58" t="str">
        <f>IF(A462="","",IF(B462=1,"素　焼土　管",IF(B462=2,"合　成樹脂管",IF(B462=3,"無孔管",""))))</f>
        <v/>
      </c>
      <c r="D462" s="60"/>
      <c r="E462" s="82"/>
      <c r="F462" s="83"/>
      <c r="G462" s="83"/>
      <c r="H462" s="84"/>
      <c r="I462" s="53" t="str">
        <f>IF(A462="","",F462-G462+H462)</f>
        <v/>
      </c>
      <c r="J462" s="55" t="str">
        <f>IF(A462="",""," 1/")</f>
        <v/>
      </c>
      <c r="K462" s="85"/>
      <c r="L462" s="56" t="str">
        <f>IF(A462="","",IF(B462=1,0.013,0.012))</f>
        <v/>
      </c>
      <c r="M462" s="47" t="str">
        <f>IF(A462="","",(1/L462*(E462/100/2)^(8/3)*(1/K462*100)^(1/2)*1.65696)*100)</f>
        <v/>
      </c>
      <c r="N462" s="47" t="str">
        <f>IF(A462="","",1/L462*(E462/100/2)^(2/3)*(1/K462)^(1/2)*0.70541)</f>
        <v/>
      </c>
      <c r="O462" s="48" t="str">
        <f>IF(A462="","",ROUNDDOWN(M462/($U$3/8.64)*10000/$AJ$3,0))</f>
        <v/>
      </c>
      <c r="P462" s="49" t="str">
        <f>IF(A462="","",IF(O462&gt;Q462,"＞","＜"))</f>
        <v/>
      </c>
      <c r="Q462" s="48" t="str">
        <f>IF(A462="","",I462)</f>
        <v/>
      </c>
      <c r="R462" s="51" t="str">
        <f>IF(A462="","",IF(P462="＞","OK","NG"))</f>
        <v/>
      </c>
      <c r="S462" s="86"/>
      <c r="T462" s="87"/>
      <c r="U462" s="28" t="str">
        <f>IF(S462="","",IF(T462=1,"素焼土管",IF(T462=2,"合成樹脂管",IF(T462=3,"無孔管",""))))</f>
        <v/>
      </c>
      <c r="V462" s="29"/>
      <c r="W462" s="88"/>
      <c r="X462" s="89"/>
      <c r="Y462" s="90"/>
      <c r="Z462" s="41" t="str">
        <f>IF(S462="","",IF(AND(T463=3,I462=""),Z460+Y462,IF(AND(Z460="",I460=""),I462+Y462,IF(AND(T463=3,I462&gt;0,Z460&gt;0),I462+Z460+Y462,IF(Z460="",I460+I462+X462+Y462,IF(I462="",Z460+X462+Y462,Z460+I462+X462+Y462))))))</f>
        <v/>
      </c>
      <c r="AA462" s="45" t="str">
        <f>IF(AB462="",""," 1/")</f>
        <v/>
      </c>
      <c r="AB462" s="91"/>
      <c r="AC462" s="30" t="str">
        <f>IF(S462="","",IF(T462="","",IF(T462=1,0.013,0.012)))</f>
        <v/>
      </c>
      <c r="AD462" s="31" t="str">
        <f>IF(S462="","",IF(T462="","",(1/AC462*(W462/100/2)^(8/3)*(1/AB462*100)^(1/2)*1.65696)*100))</f>
        <v/>
      </c>
      <c r="AE462" s="31" t="str">
        <f>IF(S462="","",IF(T462="","",1/AC462*(W462/100/2)^(2/3)*(1/AB462)^(1/2)*0.70541))</f>
        <v/>
      </c>
      <c r="AF462" s="31" t="str">
        <f>IF(S462="","",IF(T462="","",ROUNDDOWN(AD462/($U$3/8.64),3)))</f>
        <v/>
      </c>
      <c r="AG462" s="32" t="str">
        <f>IF(S462="","",IF(T462="","",ROUNDDOWN(AF462*10000/$AJ$3,0)))</f>
        <v/>
      </c>
      <c r="AH462" s="33" t="str">
        <f t="shared" si="2484"/>
        <v/>
      </c>
      <c r="AI462" s="41" t="str">
        <f>IF(S462="","",Z462)</f>
        <v/>
      </c>
      <c r="AJ462" s="43" t="str">
        <f>IF(S462="","",AI462*$AJ$3/10000)</f>
        <v/>
      </c>
      <c r="AK462" s="33" t="str">
        <f>IF(S462="","",IF(T462="","",IF(AND(T462=1,AE462&gt;1),"NG",IF(AH462="＞","OK","NG"))))</f>
        <v/>
      </c>
    </row>
    <row r="463" spans="1:37" ht="15.75" customHeight="1" x14ac:dyDescent="0.15">
      <c r="A463" s="92"/>
      <c r="B463" s="93"/>
      <c r="C463" s="59"/>
      <c r="D463" s="61"/>
      <c r="E463" s="94"/>
      <c r="F463" s="95"/>
      <c r="G463" s="95"/>
      <c r="H463" s="96"/>
      <c r="I463" s="54"/>
      <c r="J463" s="46"/>
      <c r="K463" s="97"/>
      <c r="L463" s="57"/>
      <c r="M463" s="44"/>
      <c r="N463" s="44"/>
      <c r="O463" s="42"/>
      <c r="P463" s="50"/>
      <c r="Q463" s="42"/>
      <c r="R463" s="52"/>
      <c r="S463" s="98"/>
      <c r="T463" s="99">
        <v>5</v>
      </c>
      <c r="U463" s="34" t="str">
        <f>IF(S462="","",IF(T462=T463,"〃",IF(T463=1,"素焼土管",IF(T463=2,"合成樹脂管",IF(T463=3,"無孔管","")))))</f>
        <v/>
      </c>
      <c r="V463" s="35"/>
      <c r="W463" s="100"/>
      <c r="X463" s="101"/>
      <c r="Y463" s="95"/>
      <c r="Z463" s="42"/>
      <c r="AA463" s="46"/>
      <c r="AB463" s="97"/>
      <c r="AC463" s="36" t="str">
        <f>IF(S462="","",IF(T463=1,0.013,0.012))</f>
        <v/>
      </c>
      <c r="AD463" s="37" t="str">
        <f>IF(S462="","",(1/AC463*(W463/100/2)^(8/3)*(1/AB462*100)^(1/2)*1.65696)*100)</f>
        <v/>
      </c>
      <c r="AE463" s="37" t="str">
        <f>IF(S462="","",1/AC463*(W463/100/2)^(2/3)*(1/AB462)^(1/2)*0.70541)</f>
        <v/>
      </c>
      <c r="AF463" s="37" t="str">
        <f>IF(S462="","",ROUNDDOWN(AD463/($U$3/8.64),3))</f>
        <v/>
      </c>
      <c r="AG463" s="38" t="str">
        <f>IF(S462="","",ROUNDDOWN(AF463*10000/$AJ$3,0))</f>
        <v/>
      </c>
      <c r="AH463" s="39" t="str">
        <f t="shared" ref="AH463" si="2486">IF(S462="","",IF(AG463&gt;AI462,"＞",IF(AG463=AI462,"=","＜")))</f>
        <v/>
      </c>
      <c r="AI463" s="42"/>
      <c r="AJ463" s="44"/>
      <c r="AK463" s="39" t="str">
        <f>IF(S462="","",IF(AND(T463=1,AE463&gt;1),"NG",IF(AH463="＞","OK","NG")))</f>
        <v/>
      </c>
    </row>
    <row r="464" spans="1:37" ht="15.75" customHeight="1" x14ac:dyDescent="0.15">
      <c r="A464" s="80"/>
      <c r="B464" s="81">
        <v>6</v>
      </c>
      <c r="C464" s="58" t="str">
        <f>IF(A464="","",IF(B464=1,"素　焼土　管",IF(B464=2,"合　成樹脂管",IF(B464=3,"無孔管",""))))</f>
        <v/>
      </c>
      <c r="D464" s="60"/>
      <c r="E464" s="82"/>
      <c r="F464" s="83"/>
      <c r="G464" s="83"/>
      <c r="H464" s="84"/>
      <c r="I464" s="53" t="str">
        <f>IF(A464="","",F464-G464+H464)</f>
        <v/>
      </c>
      <c r="J464" s="55" t="str">
        <f>IF(A464="",""," 1/")</f>
        <v/>
      </c>
      <c r="K464" s="85"/>
      <c r="L464" s="56" t="str">
        <f>IF(A464="","",IF(B464=1,0.013,0.012))</f>
        <v/>
      </c>
      <c r="M464" s="47" t="str">
        <f>IF(A464="","",(1/L464*(E464/100/2)^(8/3)*(1/K464*100)^(1/2)*1.65696)*100)</f>
        <v/>
      </c>
      <c r="N464" s="47" t="str">
        <f>IF(A464="","",1/L464*(E464/100/2)^(2/3)*(1/K464)^(1/2)*0.70541)</f>
        <v/>
      </c>
      <c r="O464" s="48" t="str">
        <f>IF(A464="","",ROUNDDOWN(M464/($U$3/8.64)*10000/$AJ$3,0))</f>
        <v/>
      </c>
      <c r="P464" s="49" t="str">
        <f>IF(A464="","",IF(O464&gt;Q464,"＞","＜"))</f>
        <v/>
      </c>
      <c r="Q464" s="48" t="str">
        <f>IF(A464="","",I464)</f>
        <v/>
      </c>
      <c r="R464" s="51" t="str">
        <f>IF(A464="","",IF(P464="＞","OK","NG"))</f>
        <v/>
      </c>
      <c r="S464" s="86"/>
      <c r="T464" s="87"/>
      <c r="U464" s="28" t="str">
        <f>IF(S464="","",IF(T464=1,"素焼土管",IF(T464=2,"合成樹脂管",IF(T464=3,"無孔管",""))))</f>
        <v/>
      </c>
      <c r="V464" s="29"/>
      <c r="W464" s="88"/>
      <c r="X464" s="89"/>
      <c r="Y464" s="90"/>
      <c r="Z464" s="41" t="str">
        <f>IF(S464="","",IF(AND(T465=3,I464=""),Z462+Y464,IF(AND(Z462="",I462=""),I464+Y464,IF(AND(T465=3,I464&gt;0,Z462&gt;0),I464+Z462+Y464,IF(Z462="",I462+I464+X464+Y464,IF(I464="",Z462+X464+Y464,Z462+I464+X464+Y464))))))</f>
        <v/>
      </c>
      <c r="AA464" s="45" t="str">
        <f>IF(AB464="",""," 1/")</f>
        <v/>
      </c>
      <c r="AB464" s="91"/>
      <c r="AC464" s="30" t="str">
        <f>IF(S464="","",IF(T464="","",IF(T464=1,0.013,0.012)))</f>
        <v/>
      </c>
      <c r="AD464" s="31" t="str">
        <f>IF(S464="","",IF(T464="","",(1/AC464*(W464/100/2)^(8/3)*(1/AB464*100)^(1/2)*1.65696)*100))</f>
        <v/>
      </c>
      <c r="AE464" s="31" t="str">
        <f>IF(S464="","",IF(T464="","",1/AC464*(W464/100/2)^(2/3)*(1/AB464)^(1/2)*0.70541))</f>
        <v/>
      </c>
      <c r="AF464" s="31" t="str">
        <f>IF(S464="","",IF(T464="","",ROUNDDOWN(AD464/($U$3/8.64),3)))</f>
        <v/>
      </c>
      <c r="AG464" s="32" t="str">
        <f>IF(S464="","",IF(T464="","",ROUNDDOWN(AF464*10000/$AJ$3,0)))</f>
        <v/>
      </c>
      <c r="AH464" s="33" t="str">
        <f t="shared" si="2484"/>
        <v/>
      </c>
      <c r="AI464" s="41" t="str">
        <f>IF(S464="","",Z464)</f>
        <v/>
      </c>
      <c r="AJ464" s="43" t="str">
        <f>IF(S464="","",AI464*$AJ$3/10000)</f>
        <v/>
      </c>
      <c r="AK464" s="33" t="str">
        <f>IF(S464="","",IF(T464="","",IF(AND(T464=1,AE464&gt;1),"NG",IF(AH464="＞","OK","NG"))))</f>
        <v/>
      </c>
    </row>
    <row r="465" spans="1:37" ht="15.75" customHeight="1" x14ac:dyDescent="0.15">
      <c r="A465" s="92"/>
      <c r="B465" s="93"/>
      <c r="C465" s="59"/>
      <c r="D465" s="61"/>
      <c r="E465" s="94"/>
      <c r="F465" s="95"/>
      <c r="G465" s="95"/>
      <c r="H465" s="96"/>
      <c r="I465" s="54"/>
      <c r="J465" s="46"/>
      <c r="K465" s="97"/>
      <c r="L465" s="57"/>
      <c r="M465" s="44"/>
      <c r="N465" s="44"/>
      <c r="O465" s="42"/>
      <c r="P465" s="50"/>
      <c r="Q465" s="42"/>
      <c r="R465" s="52"/>
      <c r="S465" s="98"/>
      <c r="T465" s="99">
        <v>6</v>
      </c>
      <c r="U465" s="34" t="str">
        <f>IF(S464="","",IF(T464=T465,"〃",IF(T465=1,"素焼土管",IF(T465=2,"合成樹脂管",IF(T465=3,"無孔管","")))))</f>
        <v/>
      </c>
      <c r="V465" s="35"/>
      <c r="W465" s="100"/>
      <c r="X465" s="101"/>
      <c r="Y465" s="95"/>
      <c r="Z465" s="42"/>
      <c r="AA465" s="46"/>
      <c r="AB465" s="97"/>
      <c r="AC465" s="36" t="str">
        <f>IF(S464="","",IF(T465=1,0.013,0.012))</f>
        <v/>
      </c>
      <c r="AD465" s="37" t="str">
        <f>IF(S464="","",(1/AC465*(W465/100/2)^(8/3)*(1/AB464*100)^(1/2)*1.65696)*100)</f>
        <v/>
      </c>
      <c r="AE465" s="37" t="str">
        <f>IF(S464="","",1/AC465*(W465/100/2)^(2/3)*(1/AB464)^(1/2)*0.70541)</f>
        <v/>
      </c>
      <c r="AF465" s="37" t="str">
        <f>IF(S464="","",ROUNDDOWN(AD465/($U$3/8.64),3))</f>
        <v/>
      </c>
      <c r="AG465" s="38" t="str">
        <f>IF(S464="","",ROUNDDOWN(AF465*10000/$AJ$3,0))</f>
        <v/>
      </c>
      <c r="AH465" s="39" t="str">
        <f t="shared" ref="AH465" si="2487">IF(S464="","",IF(AG465&gt;AI464,"＞",IF(AG465=AI464,"=","＜")))</f>
        <v/>
      </c>
      <c r="AI465" s="42"/>
      <c r="AJ465" s="44"/>
      <c r="AK465" s="39" t="str">
        <f>IF(S464="","",IF(AND(T465=1,AE465&gt;1),"NG",IF(AH465="＞","OK","NG")))</f>
        <v/>
      </c>
    </row>
    <row r="466" spans="1:37" ht="15.75" customHeight="1" x14ac:dyDescent="0.15">
      <c r="A466" s="80"/>
      <c r="B466" s="81">
        <v>7</v>
      </c>
      <c r="C466" s="58" t="str">
        <f>IF(A466="","",IF(B466=1,"素　焼土　管",IF(B466=2,"合　成樹脂管",IF(B466=3,"無孔管",""))))</f>
        <v/>
      </c>
      <c r="D466" s="60"/>
      <c r="E466" s="82"/>
      <c r="F466" s="83"/>
      <c r="G466" s="83"/>
      <c r="H466" s="84"/>
      <c r="I466" s="53" t="str">
        <f>IF(A466="","",F466-G466+H466)</f>
        <v/>
      </c>
      <c r="J466" s="55" t="str">
        <f>IF(A466="",""," 1/")</f>
        <v/>
      </c>
      <c r="K466" s="85"/>
      <c r="L466" s="56" t="str">
        <f>IF(A466="","",IF(B466=1,0.013,0.012))</f>
        <v/>
      </c>
      <c r="M466" s="47" t="str">
        <f>IF(A466="","",(1/L466*(E466/100/2)^(8/3)*(1/K466*100)^(1/2)*1.65696)*100)</f>
        <v/>
      </c>
      <c r="N466" s="47" t="str">
        <f>IF(A466="","",1/L466*(E466/100/2)^(2/3)*(1/K466)^(1/2)*0.70541)</f>
        <v/>
      </c>
      <c r="O466" s="48" t="str">
        <f>IF(A466="","",ROUNDDOWN(M466/($U$3/8.64)*10000/$AJ$3,0))</f>
        <v/>
      </c>
      <c r="P466" s="49" t="str">
        <f>IF(A466="","",IF(O466&gt;Q466,"＞","＜"))</f>
        <v/>
      </c>
      <c r="Q466" s="48" t="str">
        <f>IF(A466="","",I466)</f>
        <v/>
      </c>
      <c r="R466" s="51" t="str">
        <f>IF(A466="","",IF(P466="＞","OK","NG"))</f>
        <v/>
      </c>
      <c r="S466" s="86"/>
      <c r="T466" s="87"/>
      <c r="U466" s="28" t="str">
        <f>IF(S466="","",IF(T466=1,"素焼土管",IF(T466=2,"合成樹脂管",IF(T466=3,"無孔管",""))))</f>
        <v/>
      </c>
      <c r="V466" s="29"/>
      <c r="W466" s="88"/>
      <c r="X466" s="89"/>
      <c r="Y466" s="90"/>
      <c r="Z466" s="41" t="str">
        <f>IF(S466="","",IF(AND(T467=3,I466=""),Z464+Y466,IF(AND(Z464="",I464=""),I466+Y466,IF(AND(T467=3,I466&gt;0,Z464&gt;0),I466+Z464+Y466,IF(Z464="",I464+I466+X466+Y466,IF(I466="",Z464+X466+Y466,Z464+I466+X466+Y466))))))</f>
        <v/>
      </c>
      <c r="AA466" s="45" t="str">
        <f>IF(AB466="",""," 1/")</f>
        <v/>
      </c>
      <c r="AB466" s="91"/>
      <c r="AC466" s="30" t="str">
        <f>IF(S466="","",IF(T466="","",IF(T466=1,0.013,0.012)))</f>
        <v/>
      </c>
      <c r="AD466" s="31" t="str">
        <f>IF(S466="","",IF(T466="","",(1/AC466*(W466/100/2)^(8/3)*(1/AB466*100)^(1/2)*1.65696)*100))</f>
        <v/>
      </c>
      <c r="AE466" s="31" t="str">
        <f>IF(S466="","",IF(T466="","",1/AC466*(W466/100/2)^(2/3)*(1/AB466)^(1/2)*0.70541))</f>
        <v/>
      </c>
      <c r="AF466" s="31" t="str">
        <f>IF(S466="","",IF(T466="","",ROUNDDOWN(AD466/($U$3/8.64),3)))</f>
        <v/>
      </c>
      <c r="AG466" s="32" t="str">
        <f>IF(S466="","",IF(T466="","",ROUNDDOWN(AF466*10000/$AJ$3,0)))</f>
        <v/>
      </c>
      <c r="AH466" s="33" t="str">
        <f t="shared" si="2484"/>
        <v/>
      </c>
      <c r="AI466" s="41" t="str">
        <f>IF(S466="","",Z466)</f>
        <v/>
      </c>
      <c r="AJ466" s="43" t="str">
        <f>IF(S466="","",AI466*$AJ$3/10000)</f>
        <v/>
      </c>
      <c r="AK466" s="33" t="str">
        <f>IF(S466="","",IF(T466="","",IF(AND(T466=1,AE466&gt;1),"NG",IF(AH466="＞","OK","NG"))))</f>
        <v/>
      </c>
    </row>
    <row r="467" spans="1:37" ht="15.75" customHeight="1" x14ac:dyDescent="0.15">
      <c r="A467" s="92"/>
      <c r="B467" s="93"/>
      <c r="C467" s="59"/>
      <c r="D467" s="61"/>
      <c r="E467" s="94"/>
      <c r="F467" s="95"/>
      <c r="G467" s="95"/>
      <c r="H467" s="96"/>
      <c r="I467" s="54"/>
      <c r="J467" s="46"/>
      <c r="K467" s="97"/>
      <c r="L467" s="57"/>
      <c r="M467" s="44"/>
      <c r="N467" s="44"/>
      <c r="O467" s="42"/>
      <c r="P467" s="50"/>
      <c r="Q467" s="42"/>
      <c r="R467" s="52"/>
      <c r="S467" s="98"/>
      <c r="T467" s="99">
        <v>7</v>
      </c>
      <c r="U467" s="34" t="str">
        <f>IF(S466="","",IF(T466=T467,"〃",IF(T467=1,"素焼土管",IF(T467=2,"合成樹脂管",IF(T467=3,"無孔管","")))))</f>
        <v/>
      </c>
      <c r="V467" s="35"/>
      <c r="W467" s="100"/>
      <c r="X467" s="101"/>
      <c r="Y467" s="95"/>
      <c r="Z467" s="42"/>
      <c r="AA467" s="46"/>
      <c r="AB467" s="97"/>
      <c r="AC467" s="36" t="str">
        <f>IF(S466="","",IF(T467=1,0.013,0.012))</f>
        <v/>
      </c>
      <c r="AD467" s="37" t="str">
        <f>IF(S466="","",(1/AC467*(W467/100/2)^(8/3)*(1/AB466*100)^(1/2)*1.65696)*100)</f>
        <v/>
      </c>
      <c r="AE467" s="37" t="str">
        <f>IF(S466="","",1/AC467*(W467/100/2)^(2/3)*(1/AB466)^(1/2)*0.70541)</f>
        <v/>
      </c>
      <c r="AF467" s="37" t="str">
        <f>IF(S466="","",ROUNDDOWN(AD467/($U$3/8.64),3))</f>
        <v/>
      </c>
      <c r="AG467" s="38" t="str">
        <f>IF(S466="","",ROUNDDOWN(AF467*10000/$AJ$3,0))</f>
        <v/>
      </c>
      <c r="AH467" s="39" t="str">
        <f t="shared" ref="AH467" si="2488">IF(S466="","",IF(AG467&gt;AI466,"＞",IF(AG467=AI466,"=","＜")))</f>
        <v/>
      </c>
      <c r="AI467" s="42"/>
      <c r="AJ467" s="44"/>
      <c r="AK467" s="39" t="str">
        <f>IF(S466="","",IF(AND(T467=1,AE467&gt;1),"NG",IF(AH467="＞","OK","NG")))</f>
        <v/>
      </c>
    </row>
    <row r="468" spans="1:37" ht="15.75" customHeight="1" x14ac:dyDescent="0.15">
      <c r="A468" s="80"/>
      <c r="B468" s="81">
        <v>8</v>
      </c>
      <c r="C468" s="58" t="str">
        <f>IF(A468="","",IF(B468=1,"素　焼土　管",IF(B468=2,"合　成樹脂管",IF(B468=3,"無孔管",""))))</f>
        <v/>
      </c>
      <c r="D468" s="60"/>
      <c r="E468" s="82"/>
      <c r="F468" s="83"/>
      <c r="G468" s="83"/>
      <c r="H468" s="84"/>
      <c r="I468" s="53" t="str">
        <f>IF(A468="","",F468-G468+H468)</f>
        <v/>
      </c>
      <c r="J468" s="55" t="str">
        <f>IF(A468="",""," 1/")</f>
        <v/>
      </c>
      <c r="K468" s="85"/>
      <c r="L468" s="56" t="str">
        <f>IF(A468="","",IF(B468=1,0.013,0.012))</f>
        <v/>
      </c>
      <c r="M468" s="47" t="str">
        <f>IF(A468="","",(1/L468*(E468/100/2)^(8/3)*(1/K468*100)^(1/2)*1.65696)*100)</f>
        <v/>
      </c>
      <c r="N468" s="47" t="str">
        <f>IF(A468="","",1/L468*(E468/100/2)^(2/3)*(1/K468)^(1/2)*0.70541)</f>
        <v/>
      </c>
      <c r="O468" s="48" t="str">
        <f>IF(A468="","",ROUNDDOWN(M468/($U$3/8.64)*10000/$AJ$3,0))</f>
        <v/>
      </c>
      <c r="P468" s="49" t="str">
        <f>IF(A468="","",IF(O468&gt;Q468,"＞","＜"))</f>
        <v/>
      </c>
      <c r="Q468" s="48" t="str">
        <f>IF(A468="","",I468)</f>
        <v/>
      </c>
      <c r="R468" s="51" t="str">
        <f>IF(A468="","",IF(P468="＞","OK","NG"))</f>
        <v/>
      </c>
      <c r="S468" s="86"/>
      <c r="T468" s="87"/>
      <c r="U468" s="28" t="str">
        <f>IF(S468="","",IF(T468=1,"素焼土管",IF(T468=2,"合成樹脂管",IF(T468=3,"無孔管",""))))</f>
        <v/>
      </c>
      <c r="V468" s="29"/>
      <c r="W468" s="88"/>
      <c r="X468" s="89"/>
      <c r="Y468" s="90"/>
      <c r="Z468" s="41" t="str">
        <f>IF(S468="","",IF(AND(T469=3,I468=""),Z466+Y468,IF(AND(Z466="",I466=""),I468+Y468,IF(AND(T469=3,I468&gt;0,Z466&gt;0),I468+Z466+Y468,IF(Z466="",I466+I468+X468+Y468,IF(I468="",Z466+X468+Y468,Z466+I468+X468+Y468))))))</f>
        <v/>
      </c>
      <c r="AA468" s="45" t="str">
        <f>IF(AB468="",""," 1/")</f>
        <v/>
      </c>
      <c r="AB468" s="91"/>
      <c r="AC468" s="30" t="str">
        <f>IF(S468="","",IF(T468="","",IF(T468=1,0.013,0.012)))</f>
        <v/>
      </c>
      <c r="AD468" s="31" t="str">
        <f>IF(S468="","",IF(T468="","",(1/AC468*(W468/100/2)^(8/3)*(1/AB468*100)^(1/2)*1.65696)*100))</f>
        <v/>
      </c>
      <c r="AE468" s="31" t="str">
        <f>IF(S468="","",IF(T468="","",1/AC468*(W468/100/2)^(2/3)*(1/AB468)^(1/2)*0.70541))</f>
        <v/>
      </c>
      <c r="AF468" s="31" t="str">
        <f>IF(S468="","",IF(T468="","",ROUNDDOWN(AD468/($U$3/8.64),3)))</f>
        <v/>
      </c>
      <c r="AG468" s="32" t="str">
        <f>IF(S468="","",IF(T468="","",ROUNDDOWN(AF468*10000/$AJ$3,0)))</f>
        <v/>
      </c>
      <c r="AH468" s="33" t="str">
        <f t="shared" si="2484"/>
        <v/>
      </c>
      <c r="AI468" s="41" t="str">
        <f>IF(S468="","",Z468)</f>
        <v/>
      </c>
      <c r="AJ468" s="43" t="str">
        <f>IF(S468="","",AI468*$AJ$3/10000)</f>
        <v/>
      </c>
      <c r="AK468" s="33" t="str">
        <f>IF(S468="","",IF(T468="","",IF(AND(T468=1,AE468&gt;1),"NG",IF(AH468="＞","OK","NG"))))</f>
        <v/>
      </c>
    </row>
    <row r="469" spans="1:37" ht="15.75" customHeight="1" x14ac:dyDescent="0.15">
      <c r="A469" s="92"/>
      <c r="B469" s="93"/>
      <c r="C469" s="59"/>
      <c r="D469" s="61"/>
      <c r="E469" s="94"/>
      <c r="F469" s="95"/>
      <c r="G469" s="95"/>
      <c r="H469" s="96"/>
      <c r="I469" s="54"/>
      <c r="J469" s="46"/>
      <c r="K469" s="97"/>
      <c r="L469" s="57"/>
      <c r="M469" s="44"/>
      <c r="N469" s="44"/>
      <c r="O469" s="42"/>
      <c r="P469" s="50"/>
      <c r="Q469" s="42"/>
      <c r="R469" s="52"/>
      <c r="S469" s="98"/>
      <c r="T469" s="99">
        <v>8</v>
      </c>
      <c r="U469" s="34" t="str">
        <f>IF(S468="","",IF(T468=T469,"〃",IF(T469=1,"素焼土管",IF(T469=2,"合成樹脂管",IF(T469=3,"無孔管","")))))</f>
        <v/>
      </c>
      <c r="V469" s="35"/>
      <c r="W469" s="100"/>
      <c r="X469" s="101"/>
      <c r="Y469" s="95"/>
      <c r="Z469" s="42"/>
      <c r="AA469" s="46"/>
      <c r="AB469" s="97"/>
      <c r="AC469" s="36" t="str">
        <f>IF(S468="","",IF(T469=1,0.013,0.012))</f>
        <v/>
      </c>
      <c r="AD469" s="37" t="str">
        <f>IF(S468="","",(1/AC469*(W469/100/2)^(8/3)*(1/AB468*100)^(1/2)*1.65696)*100)</f>
        <v/>
      </c>
      <c r="AE469" s="37" t="str">
        <f>IF(S468="","",1/AC469*(W469/100/2)^(2/3)*(1/AB468)^(1/2)*0.70541)</f>
        <v/>
      </c>
      <c r="AF469" s="37" t="str">
        <f>IF(S468="","",ROUNDDOWN(AD469/($U$3/8.64),3))</f>
        <v/>
      </c>
      <c r="AG469" s="38" t="str">
        <f>IF(S468="","",ROUNDDOWN(AF469*10000/$AJ$3,0))</f>
        <v/>
      </c>
      <c r="AH469" s="39" t="str">
        <f t="shared" ref="AH469" si="2489">IF(S468="","",IF(AG469&gt;AI468,"＞",IF(AG469=AI468,"=","＜")))</f>
        <v/>
      </c>
      <c r="AI469" s="42"/>
      <c r="AJ469" s="44"/>
      <c r="AK469" s="39" t="str">
        <f>IF(S468="","",IF(AND(T469=1,AE469&gt;1),"NG",IF(AH469="＞","OK","NG")))</f>
        <v/>
      </c>
    </row>
    <row r="470" spans="1:37" ht="15.75" customHeight="1" x14ac:dyDescent="0.15">
      <c r="A470" s="80"/>
      <c r="B470" s="81">
        <v>9</v>
      </c>
      <c r="C470" s="58" t="str">
        <f>IF(A470="","",IF(B470=1,"素　焼土　管",IF(B470=2,"合　成樹脂管",IF(B470=3,"無孔管",""))))</f>
        <v/>
      </c>
      <c r="D470" s="60"/>
      <c r="E470" s="82"/>
      <c r="F470" s="83"/>
      <c r="G470" s="83"/>
      <c r="H470" s="84"/>
      <c r="I470" s="53" t="str">
        <f>IF(A470="","",F470-G470+H470)</f>
        <v/>
      </c>
      <c r="J470" s="55" t="str">
        <f>IF(A470="",""," 1/")</f>
        <v/>
      </c>
      <c r="K470" s="85"/>
      <c r="L470" s="56" t="str">
        <f>IF(A470="","",IF(B470=1,0.013,0.012))</f>
        <v/>
      </c>
      <c r="M470" s="47" t="str">
        <f>IF(A470="","",(1/L470*(E470/100/2)^(8/3)*(1/K470*100)^(1/2)*1.65696)*100)</f>
        <v/>
      </c>
      <c r="N470" s="47" t="str">
        <f>IF(A470="","",1/L470*(E470/100/2)^(2/3)*(1/K470)^(1/2)*0.70541)</f>
        <v/>
      </c>
      <c r="O470" s="48" t="str">
        <f>IF(A470="","",ROUNDDOWN(M470/($U$3/8.64)*10000/$AJ$3,0))</f>
        <v/>
      </c>
      <c r="P470" s="49" t="str">
        <f>IF(A470="","",IF(O470&gt;Q470,"＞","＜"))</f>
        <v/>
      </c>
      <c r="Q470" s="48" t="str">
        <f>IF(A470="","",I470)</f>
        <v/>
      </c>
      <c r="R470" s="51" t="str">
        <f>IF(A470="","",IF(P470="＞","OK","NG"))</f>
        <v/>
      </c>
      <c r="S470" s="86"/>
      <c r="T470" s="87"/>
      <c r="U470" s="28" t="str">
        <f>IF(S470="","",IF(T470=1,"素焼土管",IF(T470=2,"合成樹脂管",IF(T470=3,"無孔管",""))))</f>
        <v/>
      </c>
      <c r="V470" s="29"/>
      <c r="W470" s="88"/>
      <c r="X470" s="89"/>
      <c r="Y470" s="90"/>
      <c r="Z470" s="41" t="str">
        <f>IF(S470="","",IF(AND(T471=3,I470=""),Z468+Y470,IF(AND(Z468="",I468=""),I470+Y470,IF(AND(T471=3,I470&gt;0,Z468&gt;0),I470+Z468+Y470,IF(Z468="",I468+I470+X470+Y470,IF(I470="",Z468+X470+Y470,Z468+I470+X470+Y470))))))</f>
        <v/>
      </c>
      <c r="AA470" s="45" t="str">
        <f>IF(AB470="",""," 1/")</f>
        <v/>
      </c>
      <c r="AB470" s="91"/>
      <c r="AC470" s="30" t="str">
        <f>IF(S470="","",IF(T470="","",IF(T470=1,0.013,0.012)))</f>
        <v/>
      </c>
      <c r="AD470" s="31" t="str">
        <f>IF(S470="","",IF(T470="","",(1/AC470*(W470/100/2)^(8/3)*(1/AB470*100)^(1/2)*1.65696)*100))</f>
        <v/>
      </c>
      <c r="AE470" s="31" t="str">
        <f>IF(S470="","",IF(T470="","",1/AC470*(W470/100/2)^(2/3)*(1/AB470)^(1/2)*0.70541))</f>
        <v/>
      </c>
      <c r="AF470" s="31" t="str">
        <f>IF(S470="","",IF(T470="","",ROUNDDOWN(AD470/($U$3/8.64),3)))</f>
        <v/>
      </c>
      <c r="AG470" s="32" t="str">
        <f>IF(S470="","",IF(T470="","",ROUNDDOWN(AF470*10000/$AJ$3,0)))</f>
        <v/>
      </c>
      <c r="AH470" s="33" t="str">
        <f t="shared" si="2484"/>
        <v/>
      </c>
      <c r="AI470" s="41" t="str">
        <f>IF(S470="","",Z470)</f>
        <v/>
      </c>
      <c r="AJ470" s="43" t="str">
        <f>IF(S470="","",AI470*$AJ$3/10000)</f>
        <v/>
      </c>
      <c r="AK470" s="33" t="str">
        <f>IF(S470="","",IF(T470="","",IF(AND(T470=1,AE470&gt;1),"NG",IF(AH470="＞","OK","NG"))))</f>
        <v/>
      </c>
    </row>
    <row r="471" spans="1:37" ht="15.75" customHeight="1" x14ac:dyDescent="0.15">
      <c r="A471" s="92"/>
      <c r="B471" s="93"/>
      <c r="C471" s="59"/>
      <c r="D471" s="61"/>
      <c r="E471" s="94"/>
      <c r="F471" s="95"/>
      <c r="G471" s="95"/>
      <c r="H471" s="96"/>
      <c r="I471" s="54"/>
      <c r="J471" s="46"/>
      <c r="K471" s="97"/>
      <c r="L471" s="57"/>
      <c r="M471" s="44"/>
      <c r="N471" s="44"/>
      <c r="O471" s="42"/>
      <c r="P471" s="50"/>
      <c r="Q471" s="42"/>
      <c r="R471" s="52"/>
      <c r="S471" s="98"/>
      <c r="T471" s="99">
        <v>9</v>
      </c>
      <c r="U471" s="34" t="str">
        <f>IF(S470="","",IF(T470=T471,"〃",IF(T471=1,"素焼土管",IF(T471=2,"合成樹脂管",IF(T471=3,"無孔管","")))))</f>
        <v/>
      </c>
      <c r="V471" s="35"/>
      <c r="W471" s="100"/>
      <c r="X471" s="101"/>
      <c r="Y471" s="95"/>
      <c r="Z471" s="42"/>
      <c r="AA471" s="46"/>
      <c r="AB471" s="97"/>
      <c r="AC471" s="36" t="str">
        <f>IF(S470="","",IF(T471=1,0.013,0.012))</f>
        <v/>
      </c>
      <c r="AD471" s="37" t="str">
        <f>IF(S470="","",(1/AC471*(W471/100/2)^(8/3)*(1/AB470*100)^(1/2)*1.65696)*100)</f>
        <v/>
      </c>
      <c r="AE471" s="37" t="str">
        <f>IF(S470="","",1/AC471*(W471/100/2)^(2/3)*(1/AB470)^(1/2)*0.70541)</f>
        <v/>
      </c>
      <c r="AF471" s="37" t="str">
        <f>IF(S470="","",ROUNDDOWN(AD471/($U$3/8.64),3))</f>
        <v/>
      </c>
      <c r="AG471" s="38" t="str">
        <f>IF(S470="","",ROUNDDOWN(AF471*10000/$AJ$3,0))</f>
        <v/>
      </c>
      <c r="AH471" s="39" t="str">
        <f t="shared" ref="AH471" si="2490">IF(S470="","",IF(AG471&gt;AI470,"＞",IF(AG471=AI470,"=","＜")))</f>
        <v/>
      </c>
      <c r="AI471" s="42"/>
      <c r="AJ471" s="44"/>
      <c r="AK471" s="39" t="str">
        <f>IF(S470="","",IF(AND(T471=1,AE471&gt;1),"NG",IF(AH471="＞","OK","NG")))</f>
        <v/>
      </c>
    </row>
    <row r="472" spans="1:37" ht="15.75" customHeight="1" x14ac:dyDescent="0.15">
      <c r="A472" s="80"/>
      <c r="B472" s="81">
        <v>10</v>
      </c>
      <c r="C472" s="58" t="str">
        <f>IF(A472="","",IF(B472=1,"素　焼土　管",IF(B472=2,"合　成樹脂管",IF(B472=3,"無孔管",""))))</f>
        <v/>
      </c>
      <c r="D472" s="60"/>
      <c r="E472" s="82"/>
      <c r="F472" s="83"/>
      <c r="G472" s="83"/>
      <c r="H472" s="84"/>
      <c r="I472" s="53" t="str">
        <f>IF(A472="","",F472-G472+H472)</f>
        <v/>
      </c>
      <c r="J472" s="55" t="str">
        <f>IF(A472="",""," 1/")</f>
        <v/>
      </c>
      <c r="K472" s="85"/>
      <c r="L472" s="56" t="str">
        <f>IF(A472="","",IF(B472=1,0.013,0.012))</f>
        <v/>
      </c>
      <c r="M472" s="47" t="str">
        <f>IF(A472="","",(1/L472*(E472/100/2)^(8/3)*(1/K472*100)^(1/2)*1.65696)*100)</f>
        <v/>
      </c>
      <c r="N472" s="47" t="str">
        <f>IF(A472="","",1/L472*(E472/100/2)^(2/3)*(1/K472)^(1/2)*0.70541)</f>
        <v/>
      </c>
      <c r="O472" s="48" t="str">
        <f>IF(A472="","",ROUNDDOWN(M472/($U$3/8.64)*10000/$AJ$3,0))</f>
        <v/>
      </c>
      <c r="P472" s="49" t="str">
        <f>IF(A472="","",IF(O472&gt;Q472,"＞","＜"))</f>
        <v/>
      </c>
      <c r="Q472" s="48" t="str">
        <f>IF(A472="","",I472)</f>
        <v/>
      </c>
      <c r="R472" s="51" t="str">
        <f>IF(A472="","",IF(P472="＞","OK","NG"))</f>
        <v/>
      </c>
      <c r="S472" s="86"/>
      <c r="T472" s="87"/>
      <c r="U472" s="28" t="str">
        <f>IF(S472="","",IF(T472=1,"素焼土管",IF(T472=2,"合成樹脂管",IF(T472=3,"無孔管",""))))</f>
        <v/>
      </c>
      <c r="V472" s="29"/>
      <c r="W472" s="88"/>
      <c r="X472" s="89"/>
      <c r="Y472" s="90"/>
      <c r="Z472" s="41" t="str">
        <f>IF(S472="","",IF(AND(T473=3,I472=""),Z470+Y472,IF(AND(Z470="",I470=""),I472+Y472,IF(AND(T473=3,I472&gt;0,Z470&gt;0),I472+Z470+Y472,IF(Z470="",I470+I472+X472+Y472,IF(I472="",Z470+X472+Y472,Z470+I472+X472+Y472))))))</f>
        <v/>
      </c>
      <c r="AA472" s="45" t="str">
        <f>IF(AB472="",""," 1/")</f>
        <v/>
      </c>
      <c r="AB472" s="91"/>
      <c r="AC472" s="30" t="str">
        <f>IF(S472="","",IF(T472="","",IF(T472=1,0.013,0.012)))</f>
        <v/>
      </c>
      <c r="AD472" s="31" t="str">
        <f>IF(S472="","",IF(T472="","",(1/AC472*(W472/100/2)^(8/3)*(1/AB472*100)^(1/2)*1.65696)*100))</f>
        <v/>
      </c>
      <c r="AE472" s="31" t="str">
        <f>IF(S472="","",IF(T472="","",1/AC472*(W472/100/2)^(2/3)*(1/AB472)^(1/2)*0.70541))</f>
        <v/>
      </c>
      <c r="AF472" s="31" t="str">
        <f>IF(S472="","",IF(T472="","",ROUNDDOWN(AD472/($U$3/8.64),3)))</f>
        <v/>
      </c>
      <c r="AG472" s="32" t="str">
        <f>IF(S472="","",IF(T472="","",ROUNDDOWN(AF472*10000/$AJ$3,0)))</f>
        <v/>
      </c>
      <c r="AH472" s="33" t="str">
        <f t="shared" si="2484"/>
        <v/>
      </c>
      <c r="AI472" s="41" t="str">
        <f>IF(S472="","",Z472)</f>
        <v/>
      </c>
      <c r="AJ472" s="43" t="str">
        <f>IF(S472="","",AI472*$AJ$3/10000)</f>
        <v/>
      </c>
      <c r="AK472" s="33" t="str">
        <f>IF(S472="","",IF(T472="","",IF(AND(T472=1,AE472&gt;1),"NG",IF(AH472="＞","OK","NG"))))</f>
        <v/>
      </c>
    </row>
    <row r="473" spans="1:37" ht="15.75" customHeight="1" x14ac:dyDescent="0.15">
      <c r="A473" s="92"/>
      <c r="B473" s="93"/>
      <c r="C473" s="59"/>
      <c r="D473" s="61"/>
      <c r="E473" s="94"/>
      <c r="F473" s="95"/>
      <c r="G473" s="95"/>
      <c r="H473" s="96"/>
      <c r="I473" s="54"/>
      <c r="J473" s="46"/>
      <c r="K473" s="97"/>
      <c r="L473" s="57"/>
      <c r="M473" s="44"/>
      <c r="N473" s="44"/>
      <c r="O473" s="42"/>
      <c r="P473" s="50"/>
      <c r="Q473" s="42"/>
      <c r="R473" s="52"/>
      <c r="S473" s="98"/>
      <c r="T473" s="99">
        <v>10</v>
      </c>
      <c r="U473" s="34" t="str">
        <f>IF(S472="","",IF(T472=T473,"〃",IF(T473=1,"素焼土管",IF(T473=2,"合成樹脂管",IF(T473=3,"無孔管","")))))</f>
        <v/>
      </c>
      <c r="V473" s="35"/>
      <c r="W473" s="100"/>
      <c r="X473" s="101"/>
      <c r="Y473" s="95"/>
      <c r="Z473" s="42"/>
      <c r="AA473" s="46"/>
      <c r="AB473" s="97"/>
      <c r="AC473" s="36" t="str">
        <f>IF(S472="","",IF(T473=1,0.013,0.012))</f>
        <v/>
      </c>
      <c r="AD473" s="37" t="str">
        <f>IF(S472="","",(1/AC473*(W473/100/2)^(8/3)*(1/AB472*100)^(1/2)*1.65696)*100)</f>
        <v/>
      </c>
      <c r="AE473" s="37" t="str">
        <f>IF(S472="","",1/AC473*(W473/100/2)^(2/3)*(1/AB472)^(1/2)*0.70541)</f>
        <v/>
      </c>
      <c r="AF473" s="37" t="str">
        <f>IF(S472="","",ROUNDDOWN(AD473/($U$3/8.64),3))</f>
        <v/>
      </c>
      <c r="AG473" s="38" t="str">
        <f>IF(S472="","",ROUNDDOWN(AF473*10000/$AJ$3,0))</f>
        <v/>
      </c>
      <c r="AH473" s="39" t="str">
        <f t="shared" ref="AH473" si="2491">IF(S472="","",IF(AG473&gt;AI472,"＞",IF(AG473=AI472,"=","＜")))</f>
        <v/>
      </c>
      <c r="AI473" s="42"/>
      <c r="AJ473" s="44"/>
      <c r="AK473" s="39" t="str">
        <f>IF(S472="","",IF(AND(T473=1,AE473&gt;1),"NG",IF(AH473="＞","OK","NG")))</f>
        <v/>
      </c>
    </row>
    <row r="474" spans="1:37" ht="15.75" customHeight="1" x14ac:dyDescent="0.15">
      <c r="A474" s="80"/>
      <c r="B474" s="81">
        <v>11</v>
      </c>
      <c r="C474" s="58" t="str">
        <f>IF(A474="","",IF(B474=1,"素　焼土　管",IF(B474=2,"合　成樹脂管",IF(B474=3,"無孔管",""))))</f>
        <v/>
      </c>
      <c r="D474" s="60"/>
      <c r="E474" s="82"/>
      <c r="F474" s="83"/>
      <c r="G474" s="83"/>
      <c r="H474" s="84"/>
      <c r="I474" s="53" t="str">
        <f>IF(A474="","",F474-G474+H474)</f>
        <v/>
      </c>
      <c r="J474" s="55" t="str">
        <f>IF(A474="",""," 1/")</f>
        <v/>
      </c>
      <c r="K474" s="85"/>
      <c r="L474" s="56" t="str">
        <f>IF(A474="","",IF(B474=1,0.013,0.012))</f>
        <v/>
      </c>
      <c r="M474" s="47" t="str">
        <f>IF(A474="","",(1/L474*(E474/100/2)^(8/3)*(1/K474*100)^(1/2)*1.65696)*100)</f>
        <v/>
      </c>
      <c r="N474" s="47" t="str">
        <f>IF(A474="","",1/L474*(E474/100/2)^(2/3)*(1/K474)^(1/2)*0.70541)</f>
        <v/>
      </c>
      <c r="O474" s="48" t="str">
        <f>IF(A474="","",ROUNDDOWN(M474/($U$3/8.64)*10000/$AJ$3,0))</f>
        <v/>
      </c>
      <c r="P474" s="49" t="str">
        <f>IF(A474="","",IF(O474&gt;Q474,"＞","＜"))</f>
        <v/>
      </c>
      <c r="Q474" s="48" t="str">
        <f>IF(A474="","",I474)</f>
        <v/>
      </c>
      <c r="R474" s="51" t="str">
        <f>IF(A474="","",IF(P474="＞","OK","NG"))</f>
        <v/>
      </c>
      <c r="S474" s="86"/>
      <c r="T474" s="87"/>
      <c r="U474" s="28" t="str">
        <f>IF(S474="","",IF(T474=1,"素焼土管",IF(T474=2,"合成樹脂管",IF(T474=3,"無孔管",""))))</f>
        <v/>
      </c>
      <c r="V474" s="29"/>
      <c r="W474" s="88"/>
      <c r="X474" s="89"/>
      <c r="Y474" s="90"/>
      <c r="Z474" s="41" t="str">
        <f>IF(S474="","",IF(AND(T475=3,I474=""),Z472+Y474,IF(AND(Z472="",I472=""),I474+Y474,IF(AND(T475=3,I474&gt;0,Z472&gt;0),I474+Z472+Y474,IF(Z472="",I472+I474+X474+Y474,IF(I474="",Z472+X474+Y474,Z472+I474+X474+Y474))))))</f>
        <v/>
      </c>
      <c r="AA474" s="45" t="str">
        <f>IF(AB474="",""," 1/")</f>
        <v/>
      </c>
      <c r="AB474" s="91"/>
      <c r="AC474" s="30" t="str">
        <f>IF(S474="","",IF(T474="","",IF(T474=1,0.013,0.012)))</f>
        <v/>
      </c>
      <c r="AD474" s="31" t="str">
        <f>IF(S474="","",IF(T474="","",(1/AC474*(W474/100/2)^(8/3)*(1/AB474*100)^(1/2)*1.65696)*100))</f>
        <v/>
      </c>
      <c r="AE474" s="31" t="str">
        <f>IF(S474="","",IF(T474="","",1/AC474*(W474/100/2)^(2/3)*(1/AB474)^(1/2)*0.70541))</f>
        <v/>
      </c>
      <c r="AF474" s="31" t="str">
        <f>IF(S474="","",IF(T474="","",ROUNDDOWN(AD474/($U$3/8.64),3)))</f>
        <v/>
      </c>
      <c r="AG474" s="32" t="str">
        <f>IF(S474="","",IF(T474="","",ROUNDDOWN(AF474*10000/$AJ$3,0)))</f>
        <v/>
      </c>
      <c r="AH474" s="33" t="str">
        <f t="shared" si="2484"/>
        <v/>
      </c>
      <c r="AI474" s="41" t="str">
        <f>IF(S474="","",Z474)</f>
        <v/>
      </c>
      <c r="AJ474" s="43" t="str">
        <f>IF(S474="","",AI474*$AJ$3/10000)</f>
        <v/>
      </c>
      <c r="AK474" s="33" t="str">
        <f>IF(S474="","",IF(T474="","",IF(AND(T474=1,AE474&gt;1),"NG",IF(AH474="＞","OK","NG"))))</f>
        <v/>
      </c>
    </row>
    <row r="475" spans="1:37" ht="15.75" customHeight="1" x14ac:dyDescent="0.15">
      <c r="A475" s="92"/>
      <c r="B475" s="93"/>
      <c r="C475" s="59"/>
      <c r="D475" s="61"/>
      <c r="E475" s="94"/>
      <c r="F475" s="95"/>
      <c r="G475" s="95"/>
      <c r="H475" s="96"/>
      <c r="I475" s="54"/>
      <c r="J475" s="46"/>
      <c r="K475" s="97"/>
      <c r="L475" s="57"/>
      <c r="M475" s="44"/>
      <c r="N475" s="44"/>
      <c r="O475" s="42"/>
      <c r="P475" s="50"/>
      <c r="Q475" s="42"/>
      <c r="R475" s="52"/>
      <c r="S475" s="98"/>
      <c r="T475" s="99">
        <v>11</v>
      </c>
      <c r="U475" s="34" t="str">
        <f>IF(S474="","",IF(T474=T475,"〃",IF(T475=1,"素焼土管",IF(T475=2,"合成樹脂管",IF(T475=3,"無孔管","")))))</f>
        <v/>
      </c>
      <c r="V475" s="35"/>
      <c r="W475" s="100"/>
      <c r="X475" s="101"/>
      <c r="Y475" s="95"/>
      <c r="Z475" s="42"/>
      <c r="AA475" s="46"/>
      <c r="AB475" s="97"/>
      <c r="AC475" s="36" t="str">
        <f>IF(S474="","",IF(T475=1,0.013,0.012))</f>
        <v/>
      </c>
      <c r="AD475" s="37" t="str">
        <f>IF(S474="","",(1/AC475*(W475/100/2)^(8/3)*(1/AB474*100)^(1/2)*1.65696)*100)</f>
        <v/>
      </c>
      <c r="AE475" s="37" t="str">
        <f>IF(S474="","",1/AC475*(W475/100/2)^(2/3)*(1/AB474)^(1/2)*0.70541)</f>
        <v/>
      </c>
      <c r="AF475" s="37" t="str">
        <f>IF(S474="","",ROUNDDOWN(AD475/($U$3/8.64),3))</f>
        <v/>
      </c>
      <c r="AG475" s="38" t="str">
        <f>IF(S474="","",ROUNDDOWN(AF475*10000/$AJ$3,0))</f>
        <v/>
      </c>
      <c r="AH475" s="39" t="str">
        <f t="shared" ref="AH475" si="2492">IF(S474="","",IF(AG475&gt;AI474,"＞",IF(AG475=AI474,"=","＜")))</f>
        <v/>
      </c>
      <c r="AI475" s="42"/>
      <c r="AJ475" s="44"/>
      <c r="AK475" s="39" t="str">
        <f>IF(S474="","",IF(AND(T475=1,AE475&gt;1),"NG",IF(AH475="＞","OK","NG")))</f>
        <v/>
      </c>
    </row>
    <row r="476" spans="1:37" ht="15.75" customHeight="1" x14ac:dyDescent="0.15">
      <c r="A476" s="80"/>
      <c r="B476" s="81">
        <v>12</v>
      </c>
      <c r="C476" s="58" t="str">
        <f>IF(A476="","",IF(B476=1,"素　焼土　管",IF(B476=2,"合　成樹脂管",IF(B476=3,"無孔管",""))))</f>
        <v/>
      </c>
      <c r="D476" s="60"/>
      <c r="E476" s="82"/>
      <c r="F476" s="83"/>
      <c r="G476" s="83"/>
      <c r="H476" s="84"/>
      <c r="I476" s="53" t="str">
        <f>IF(A476="","",F476-G476+H476)</f>
        <v/>
      </c>
      <c r="J476" s="55" t="str">
        <f>IF(A476="",""," 1/")</f>
        <v/>
      </c>
      <c r="K476" s="85"/>
      <c r="L476" s="56" t="str">
        <f>IF(A476="","",IF(B476=1,0.013,0.012))</f>
        <v/>
      </c>
      <c r="M476" s="47" t="str">
        <f>IF(A476="","",(1/L476*(E476/100/2)^(8/3)*(1/K476*100)^(1/2)*1.65696)*100)</f>
        <v/>
      </c>
      <c r="N476" s="47" t="str">
        <f>IF(A476="","",1/L476*(E476/100/2)^(2/3)*(1/K476)^(1/2)*0.70541)</f>
        <v/>
      </c>
      <c r="O476" s="48" t="str">
        <f>IF(A476="","",ROUNDDOWN(M476/($U$3/8.64)*10000/$AJ$3,0))</f>
        <v/>
      </c>
      <c r="P476" s="49" t="str">
        <f>IF(A476="","",IF(O476&gt;Q476,"＞","＜"))</f>
        <v/>
      </c>
      <c r="Q476" s="48" t="str">
        <f>IF(A476="","",I476)</f>
        <v/>
      </c>
      <c r="R476" s="51" t="str">
        <f>IF(A476="","",IF(P476="＞","OK","NG"))</f>
        <v/>
      </c>
      <c r="S476" s="86"/>
      <c r="T476" s="87"/>
      <c r="U476" s="28" t="str">
        <f>IF(S476="","",IF(T476=1,"素焼土管",IF(T476=2,"合成樹脂管",IF(T476=3,"無孔管",""))))</f>
        <v/>
      </c>
      <c r="V476" s="29"/>
      <c r="W476" s="88"/>
      <c r="X476" s="89"/>
      <c r="Y476" s="90"/>
      <c r="Z476" s="41" t="str">
        <f>IF(S476="","",IF(AND(T477=3,I476=""),Z474+Y476,IF(AND(Z474="",I474=""),I476+Y476,IF(AND(T477=3,I476&gt;0,Z474&gt;0),I476+Z474+Y476,IF(Z474="",I474+I476+X476+Y476,IF(I476="",Z474+X476+Y476,Z474+I476+X476+Y476))))))</f>
        <v/>
      </c>
      <c r="AA476" s="45" t="str">
        <f>IF(AB476="",""," 1/")</f>
        <v/>
      </c>
      <c r="AB476" s="91"/>
      <c r="AC476" s="30" t="str">
        <f>IF(S476="","",IF(T476="","",IF(T476=1,0.013,0.012)))</f>
        <v/>
      </c>
      <c r="AD476" s="31" t="str">
        <f>IF(S476="","",IF(T476="","",(1/AC476*(W476/100/2)^(8/3)*(1/AB476*100)^(1/2)*1.65696)*100))</f>
        <v/>
      </c>
      <c r="AE476" s="31" t="str">
        <f>IF(S476="","",IF(T476="","",1/AC476*(W476/100/2)^(2/3)*(1/AB476)^(1/2)*0.70541))</f>
        <v/>
      </c>
      <c r="AF476" s="31" t="str">
        <f>IF(S476="","",IF(T476="","",ROUNDDOWN(AD476/($U$3/8.64),3)))</f>
        <v/>
      </c>
      <c r="AG476" s="32" t="str">
        <f>IF(S476="","",IF(T476="","",ROUNDDOWN(AF476*10000/$AJ$3,0)))</f>
        <v/>
      </c>
      <c r="AH476" s="33" t="str">
        <f t="shared" si="2484"/>
        <v/>
      </c>
      <c r="AI476" s="41" t="str">
        <f>IF(S476="","",Z476)</f>
        <v/>
      </c>
      <c r="AJ476" s="43" t="str">
        <f>IF(S476="","",AI476*$AJ$3/10000)</f>
        <v/>
      </c>
      <c r="AK476" s="33" t="str">
        <f>IF(S476="","",IF(T476="","",IF(AND(T476=1,AE476&gt;1),"NG",IF(AH476="＞","OK","NG"))))</f>
        <v/>
      </c>
    </row>
    <row r="477" spans="1:37" ht="15.75" customHeight="1" x14ac:dyDescent="0.15">
      <c r="A477" s="92"/>
      <c r="B477" s="93"/>
      <c r="C477" s="59"/>
      <c r="D477" s="61"/>
      <c r="E477" s="94"/>
      <c r="F477" s="95"/>
      <c r="G477" s="95"/>
      <c r="H477" s="96"/>
      <c r="I477" s="54"/>
      <c r="J477" s="46"/>
      <c r="K477" s="97"/>
      <c r="L477" s="57"/>
      <c r="M477" s="44"/>
      <c r="N477" s="44"/>
      <c r="O477" s="42"/>
      <c r="P477" s="50"/>
      <c r="Q477" s="42"/>
      <c r="R477" s="52"/>
      <c r="S477" s="98"/>
      <c r="T477" s="99">
        <v>12</v>
      </c>
      <c r="U477" s="34" t="str">
        <f>IF(S476="","",IF(T476=T477,"〃",IF(T477=1,"素焼土管",IF(T477=2,"合成樹脂管",IF(T477=3,"無孔管","")))))</f>
        <v/>
      </c>
      <c r="V477" s="35"/>
      <c r="W477" s="100"/>
      <c r="X477" s="101"/>
      <c r="Y477" s="95"/>
      <c r="Z477" s="42"/>
      <c r="AA477" s="46"/>
      <c r="AB477" s="97"/>
      <c r="AC477" s="36" t="str">
        <f>IF(S476="","",IF(T477=1,0.013,0.012))</f>
        <v/>
      </c>
      <c r="AD477" s="37" t="str">
        <f>IF(S476="","",(1/AC477*(W477/100/2)^(8/3)*(1/AB476*100)^(1/2)*1.65696)*100)</f>
        <v/>
      </c>
      <c r="AE477" s="37" t="str">
        <f>IF(S476="","",1/AC477*(W477/100/2)^(2/3)*(1/AB476)^(1/2)*0.70541)</f>
        <v/>
      </c>
      <c r="AF477" s="37" t="str">
        <f>IF(S476="","",ROUNDDOWN(AD477/($U$3/8.64),3))</f>
        <v/>
      </c>
      <c r="AG477" s="38" t="str">
        <f>IF(S476="","",ROUNDDOWN(AF477*10000/$AJ$3,0))</f>
        <v/>
      </c>
      <c r="AH477" s="39" t="str">
        <f t="shared" ref="AH477" si="2493">IF(S476="","",IF(AG477&gt;AI476,"＞",IF(AG477=AI476,"=","＜")))</f>
        <v/>
      </c>
      <c r="AI477" s="42"/>
      <c r="AJ477" s="44"/>
      <c r="AK477" s="39" t="str">
        <f>IF(S476="","",IF(AND(T477=1,AE477&gt;1),"NG",IF(AH477="＞","OK","NG")))</f>
        <v/>
      </c>
    </row>
    <row r="478" spans="1:37" ht="15.75" customHeight="1" x14ac:dyDescent="0.15">
      <c r="A478" s="80"/>
      <c r="B478" s="81">
        <v>13</v>
      </c>
      <c r="C478" s="58" t="str">
        <f>IF(A478="","",IF(B478=1,"素　焼土　管",IF(B478=2,"合　成樹脂管",IF(B478=3,"無孔管",""))))</f>
        <v/>
      </c>
      <c r="D478" s="60"/>
      <c r="E478" s="82"/>
      <c r="F478" s="83"/>
      <c r="G478" s="83"/>
      <c r="H478" s="84"/>
      <c r="I478" s="53" t="str">
        <f>IF(A478="","",F478-G478+H478)</f>
        <v/>
      </c>
      <c r="J478" s="55" t="str">
        <f>IF(A478="",""," 1/")</f>
        <v/>
      </c>
      <c r="K478" s="85"/>
      <c r="L478" s="56" t="str">
        <f>IF(A478="","",IF(B478=1,0.013,0.012))</f>
        <v/>
      </c>
      <c r="M478" s="47" t="str">
        <f>IF(A478="","",(1/L478*(E478/100/2)^(8/3)*(1/K478*100)^(1/2)*1.65696)*100)</f>
        <v/>
      </c>
      <c r="N478" s="47" t="str">
        <f>IF(A478="","",1/L478*(E478/100/2)^(2/3)*(1/K478)^(1/2)*0.70541)</f>
        <v/>
      </c>
      <c r="O478" s="48" t="str">
        <f>IF(A478="","",ROUNDDOWN(M478/($U$3/8.64)*10000/$AJ$3,0))</f>
        <v/>
      </c>
      <c r="P478" s="49" t="str">
        <f>IF(A478="","",IF(O478&gt;Q478,"＞","＜"))</f>
        <v/>
      </c>
      <c r="Q478" s="48" t="str">
        <f>IF(A478="","",I478)</f>
        <v/>
      </c>
      <c r="R478" s="51" t="str">
        <f>IF(A478="","",IF(P478="＞","OK","NG"))</f>
        <v/>
      </c>
      <c r="S478" s="86"/>
      <c r="T478" s="87"/>
      <c r="U478" s="28" t="str">
        <f>IF(S478="","",IF(T478=1,"素焼土管",IF(T478=2,"合成樹脂管",IF(T478=3,"無孔管",""))))</f>
        <v/>
      </c>
      <c r="V478" s="29"/>
      <c r="W478" s="88"/>
      <c r="X478" s="89"/>
      <c r="Y478" s="90"/>
      <c r="Z478" s="41" t="str">
        <f>IF(S478="","",IF(AND(T479=3,I478=""),Z476+Y478,IF(AND(Z476="",I476=""),I478+Y478,IF(AND(T479=3,I478&gt;0,Z476&gt;0),I478+Z476+Y478,IF(Z476="",I476+I478+X478+Y478,IF(I478="",Z476+X478+Y478,Z476+I478+X478+Y478))))))</f>
        <v/>
      </c>
      <c r="AA478" s="45" t="str">
        <f>IF(AB478="",""," 1/")</f>
        <v/>
      </c>
      <c r="AB478" s="91"/>
      <c r="AC478" s="30" t="str">
        <f>IF(S478="","",IF(T478="","",IF(T478=1,0.013,0.012)))</f>
        <v/>
      </c>
      <c r="AD478" s="31" t="str">
        <f>IF(S478="","",IF(T478="","",(1/AC478*(W478/100/2)^(8/3)*(1/AB478*100)^(1/2)*1.65696)*100))</f>
        <v/>
      </c>
      <c r="AE478" s="31" t="str">
        <f>IF(S478="","",IF(T478="","",1/AC478*(W478/100/2)^(2/3)*(1/AB478)^(1/2)*0.70541))</f>
        <v/>
      </c>
      <c r="AF478" s="31" t="str">
        <f>IF(S478="","",IF(T478="","",ROUNDDOWN(AD478/($U$3/8.64),3)))</f>
        <v/>
      </c>
      <c r="AG478" s="32" t="str">
        <f>IF(S478="","",IF(T478="","",ROUNDDOWN(AF478*10000/$AJ$3,0)))</f>
        <v/>
      </c>
      <c r="AH478" s="33" t="str">
        <f t="shared" si="2484"/>
        <v/>
      </c>
      <c r="AI478" s="41" t="str">
        <f>IF(S478="","",Z478)</f>
        <v/>
      </c>
      <c r="AJ478" s="43" t="str">
        <f>IF(S478="","",AI478*$AJ$3/10000)</f>
        <v/>
      </c>
      <c r="AK478" s="33" t="str">
        <f>IF(S478="","",IF(T478="","",IF(AND(T478=1,AE478&gt;1),"NG",IF(AH478="＞","OK","NG"))))</f>
        <v/>
      </c>
    </row>
    <row r="479" spans="1:37" ht="15.75" customHeight="1" x14ac:dyDescent="0.15">
      <c r="A479" s="92"/>
      <c r="B479" s="93"/>
      <c r="C479" s="59"/>
      <c r="D479" s="61"/>
      <c r="E479" s="94"/>
      <c r="F479" s="95"/>
      <c r="G479" s="95"/>
      <c r="H479" s="96"/>
      <c r="I479" s="54"/>
      <c r="J479" s="46"/>
      <c r="K479" s="97"/>
      <c r="L479" s="57"/>
      <c r="M479" s="44"/>
      <c r="N479" s="44"/>
      <c r="O479" s="42"/>
      <c r="P479" s="50"/>
      <c r="Q479" s="42"/>
      <c r="R479" s="52"/>
      <c r="S479" s="98"/>
      <c r="T479" s="99">
        <v>13</v>
      </c>
      <c r="U479" s="34" t="str">
        <f>IF(S478="","",IF(T478=T479,"〃",IF(T479=1,"素焼土管",IF(T479=2,"合成樹脂管",IF(T479=3,"無孔管","")))))</f>
        <v/>
      </c>
      <c r="V479" s="35"/>
      <c r="W479" s="100"/>
      <c r="X479" s="101"/>
      <c r="Y479" s="95"/>
      <c r="Z479" s="42"/>
      <c r="AA479" s="46"/>
      <c r="AB479" s="97"/>
      <c r="AC479" s="36" t="str">
        <f>IF(S478="","",IF(T479=1,0.013,0.012))</f>
        <v/>
      </c>
      <c r="AD479" s="37" t="str">
        <f>IF(S478="","",(1/AC479*(W479/100/2)^(8/3)*(1/AB478*100)^(1/2)*1.65696)*100)</f>
        <v/>
      </c>
      <c r="AE479" s="37" t="str">
        <f>IF(S478="","",1/AC479*(W479/100/2)^(2/3)*(1/AB478)^(1/2)*0.70541)</f>
        <v/>
      </c>
      <c r="AF479" s="37" t="str">
        <f>IF(S478="","",ROUNDDOWN(AD479/($U$3/8.64),3))</f>
        <v/>
      </c>
      <c r="AG479" s="38" t="str">
        <f>IF(S478="","",ROUNDDOWN(AF479*10000/$AJ$3,0))</f>
        <v/>
      </c>
      <c r="AH479" s="39" t="str">
        <f t="shared" ref="AH479" si="2494">IF(S478="","",IF(AG479&gt;AI478,"＞",IF(AG479=AI478,"=","＜")))</f>
        <v/>
      </c>
      <c r="AI479" s="42"/>
      <c r="AJ479" s="44"/>
      <c r="AK479" s="39" t="str">
        <f>IF(S478="","",IF(AND(T479=1,AE479&gt;1),"NG",IF(AH479="＞","OK","NG")))</f>
        <v/>
      </c>
    </row>
    <row r="480" spans="1:37" ht="15.75" customHeight="1" x14ac:dyDescent="0.15">
      <c r="A480" s="80"/>
      <c r="B480" s="81">
        <v>14</v>
      </c>
      <c r="C480" s="58" t="str">
        <f>IF(A480="","",IF(B480=1,"素　焼土　管",IF(B480=2,"合　成樹脂管",IF(B480=3,"無孔管",""))))</f>
        <v/>
      </c>
      <c r="D480" s="60"/>
      <c r="E480" s="82"/>
      <c r="F480" s="83"/>
      <c r="G480" s="83"/>
      <c r="H480" s="84"/>
      <c r="I480" s="53" t="str">
        <f>IF(A480="","",F480-G480+H480)</f>
        <v/>
      </c>
      <c r="J480" s="55" t="str">
        <f>IF(A480="",""," 1/")</f>
        <v/>
      </c>
      <c r="K480" s="85"/>
      <c r="L480" s="56" t="str">
        <f>IF(A480="","",IF(B480=1,0.013,0.012))</f>
        <v/>
      </c>
      <c r="M480" s="47" t="str">
        <f>IF(A480="","",(1/L480*(E480/100/2)^(8/3)*(1/K480*100)^(1/2)*1.65696)*100)</f>
        <v/>
      </c>
      <c r="N480" s="47" t="str">
        <f>IF(A480="","",1/L480*(E480/100/2)^(2/3)*(1/K480)^(1/2)*0.70541)</f>
        <v/>
      </c>
      <c r="O480" s="48" t="str">
        <f>IF(A480="","",ROUNDDOWN(M480/($U$3/8.64)*10000/$AJ$3,0))</f>
        <v/>
      </c>
      <c r="P480" s="49" t="str">
        <f>IF(A480="","",IF(O480&gt;Q480,"＞","＜"))</f>
        <v/>
      </c>
      <c r="Q480" s="48" t="str">
        <f>IF(A480="","",I480)</f>
        <v/>
      </c>
      <c r="R480" s="51" t="str">
        <f>IF(A480="","",IF(P480="＞","OK","NG"))</f>
        <v/>
      </c>
      <c r="S480" s="86"/>
      <c r="T480" s="87"/>
      <c r="U480" s="28" t="str">
        <f>IF(S480="","",IF(T480=1,"素焼土管",IF(T480=2,"合成樹脂管",IF(T480=3,"無孔管",""))))</f>
        <v/>
      </c>
      <c r="V480" s="29"/>
      <c r="W480" s="88"/>
      <c r="X480" s="89"/>
      <c r="Y480" s="90"/>
      <c r="Z480" s="41" t="str">
        <f>IF(S480="","",IF(AND(T481=3,I480=""),Z478+Y480,IF(AND(Z478="",I478=""),I480+Y480,IF(AND(T481=3,I480&gt;0,Z478&gt;0),I480+Z478+Y480,IF(Z478="",I478+I480+X480+Y480,IF(I480="",Z478+X480+Y480,Z478+I480+X480+Y480))))))</f>
        <v/>
      </c>
      <c r="AA480" s="45" t="str">
        <f>IF(AB480="",""," 1/")</f>
        <v/>
      </c>
      <c r="AB480" s="91"/>
      <c r="AC480" s="30" t="str">
        <f>IF(S480="","",IF(T480="","",IF(T480=1,0.013,0.012)))</f>
        <v/>
      </c>
      <c r="AD480" s="31" t="str">
        <f>IF(S480="","",IF(T480="","",(1/AC480*(W480/100/2)^(8/3)*(1/AB480*100)^(1/2)*1.65696)*100))</f>
        <v/>
      </c>
      <c r="AE480" s="31" t="str">
        <f>IF(S480="","",IF(T480="","",1/AC480*(W480/100/2)^(2/3)*(1/AB480)^(1/2)*0.70541))</f>
        <v/>
      </c>
      <c r="AF480" s="31" t="str">
        <f>IF(S480="","",IF(T480="","",ROUNDDOWN(AD480/($U$3/8.64),3)))</f>
        <v/>
      </c>
      <c r="AG480" s="32" t="str">
        <f>IF(S480="","",IF(T480="","",ROUNDDOWN(AF480*10000/$AJ$3,0)))</f>
        <v/>
      </c>
      <c r="AH480" s="33" t="str">
        <f t="shared" si="2484"/>
        <v/>
      </c>
      <c r="AI480" s="41" t="str">
        <f>IF(S480="","",Z480)</f>
        <v/>
      </c>
      <c r="AJ480" s="43" t="str">
        <f>IF(S480="","",AI480*$AJ$3/10000)</f>
        <v/>
      </c>
      <c r="AK480" s="33" t="str">
        <f>IF(S480="","",IF(T480="","",IF(AND(T480=1,AE480&gt;1),"NG",IF(AH480="＞","OK","NG"))))</f>
        <v/>
      </c>
    </row>
    <row r="481" spans="1:37" ht="15.75" customHeight="1" x14ac:dyDescent="0.15">
      <c r="A481" s="92"/>
      <c r="B481" s="93"/>
      <c r="C481" s="59"/>
      <c r="D481" s="61"/>
      <c r="E481" s="94"/>
      <c r="F481" s="95"/>
      <c r="G481" s="95"/>
      <c r="H481" s="96"/>
      <c r="I481" s="54"/>
      <c r="J481" s="46"/>
      <c r="K481" s="97"/>
      <c r="L481" s="57"/>
      <c r="M481" s="44"/>
      <c r="N481" s="44"/>
      <c r="O481" s="42"/>
      <c r="P481" s="50"/>
      <c r="Q481" s="42"/>
      <c r="R481" s="52"/>
      <c r="S481" s="98"/>
      <c r="T481" s="99">
        <v>14</v>
      </c>
      <c r="U481" s="34" t="str">
        <f>IF(S480="","",IF(T480=T481,"〃",IF(T481=1,"素焼土管",IF(T481=2,"合成樹脂管",IF(T481=3,"無孔管","")))))</f>
        <v/>
      </c>
      <c r="V481" s="35"/>
      <c r="W481" s="100"/>
      <c r="X481" s="101"/>
      <c r="Y481" s="95"/>
      <c r="Z481" s="42"/>
      <c r="AA481" s="46"/>
      <c r="AB481" s="97"/>
      <c r="AC481" s="36" t="str">
        <f>IF(S480="","",IF(T481=1,0.013,0.012))</f>
        <v/>
      </c>
      <c r="AD481" s="37" t="str">
        <f>IF(S480="","",(1/AC481*(W481/100/2)^(8/3)*(1/AB480*100)^(1/2)*1.65696)*100)</f>
        <v/>
      </c>
      <c r="AE481" s="37" t="str">
        <f>IF(S480="","",1/AC481*(W481/100/2)^(2/3)*(1/AB480)^(1/2)*0.70541)</f>
        <v/>
      </c>
      <c r="AF481" s="37" t="str">
        <f>IF(S480="","",ROUNDDOWN(AD481/($U$3/8.64),3))</f>
        <v/>
      </c>
      <c r="AG481" s="38" t="str">
        <f>IF(S480="","",ROUNDDOWN(AF481*10000/$AJ$3,0))</f>
        <v/>
      </c>
      <c r="AH481" s="39" t="str">
        <f t="shared" ref="AH481" si="2495">IF(S480="","",IF(AG481&gt;AI480,"＞",IF(AG481=AI480,"=","＜")))</f>
        <v/>
      </c>
      <c r="AI481" s="42"/>
      <c r="AJ481" s="44"/>
      <c r="AK481" s="39" t="str">
        <f>IF(S480="","",IF(AND(T481=1,AE481&gt;1),"NG",IF(AH481="＞","OK","NG")))</f>
        <v/>
      </c>
    </row>
    <row r="482" spans="1:37" ht="15.75" customHeight="1" x14ac:dyDescent="0.15">
      <c r="A482" s="80"/>
      <c r="B482" s="81">
        <v>15</v>
      </c>
      <c r="C482" s="58" t="str">
        <f>IF(A482="","",IF(B482=1,"素　焼土　管",IF(B482=2,"合　成樹脂管",IF(B482=3,"無孔管",""))))</f>
        <v/>
      </c>
      <c r="D482" s="60"/>
      <c r="E482" s="82"/>
      <c r="F482" s="83"/>
      <c r="G482" s="83"/>
      <c r="H482" s="84"/>
      <c r="I482" s="53" t="str">
        <f>IF(A482="","",F482-G482+H482)</f>
        <v/>
      </c>
      <c r="J482" s="55" t="str">
        <f>IF(A482="",""," 1/")</f>
        <v/>
      </c>
      <c r="K482" s="85"/>
      <c r="L482" s="56" t="str">
        <f>IF(A482="","",IF(B482=1,0.013,0.012))</f>
        <v/>
      </c>
      <c r="M482" s="47" t="str">
        <f>IF(A482="","",(1/L482*(E482/100/2)^(8/3)*(1/K482*100)^(1/2)*1.65696)*100)</f>
        <v/>
      </c>
      <c r="N482" s="47" t="str">
        <f>IF(A482="","",1/L482*(E482/100/2)^(2/3)*(1/K482)^(1/2)*0.70541)</f>
        <v/>
      </c>
      <c r="O482" s="48" t="str">
        <f>IF(A482="","",ROUNDDOWN(M482/($U$3/8.64)*10000/$AJ$3,0))</f>
        <v/>
      </c>
      <c r="P482" s="49" t="str">
        <f>IF(A482="","",IF(O482&gt;Q482,"＞","＜"))</f>
        <v/>
      </c>
      <c r="Q482" s="48" t="str">
        <f>IF(A482="","",I482)</f>
        <v/>
      </c>
      <c r="R482" s="51" t="str">
        <f>IF(A482="","",IF(P482="＞","OK","NG"))</f>
        <v/>
      </c>
      <c r="S482" s="86"/>
      <c r="T482" s="87"/>
      <c r="U482" s="28" t="str">
        <f>IF(S482="","",IF(T482=1,"素焼土管",IF(T482=2,"合成樹脂管",IF(T482=3,"無孔管",""))))</f>
        <v/>
      </c>
      <c r="V482" s="29"/>
      <c r="W482" s="88"/>
      <c r="X482" s="89"/>
      <c r="Y482" s="90"/>
      <c r="Z482" s="41" t="str">
        <f>IF(S482="","",IF(AND(T483=3,I482=""),Z480+Y482,IF(AND(Z480="",I480=""),I482+Y482,IF(AND(T483=3,I482&gt;0,Z480&gt;0),I482+Z480+Y482,IF(Z480="",I480+I482+X482+Y482,IF(I482="",Z480+X482+Y482,Z480+I482+X482+Y482))))))</f>
        <v/>
      </c>
      <c r="AA482" s="45" t="str">
        <f>IF(AB482="",""," 1/")</f>
        <v/>
      </c>
      <c r="AB482" s="91"/>
      <c r="AC482" s="30" t="str">
        <f>IF(S482="","",IF(T482="","",IF(T482=1,0.013,0.012)))</f>
        <v/>
      </c>
      <c r="AD482" s="31" t="str">
        <f>IF(S482="","",IF(T482="","",(1/AC482*(W482/100/2)^(8/3)*(1/AB482*100)^(1/2)*1.65696)*100))</f>
        <v/>
      </c>
      <c r="AE482" s="31" t="str">
        <f>IF(S482="","",IF(T482="","",1/AC482*(W482/100/2)^(2/3)*(1/AB482)^(1/2)*0.70541))</f>
        <v/>
      </c>
      <c r="AF482" s="31" t="str">
        <f>IF(S482="","",IF(T482="","",ROUNDDOWN(AD482/($U$3/8.64),3)))</f>
        <v/>
      </c>
      <c r="AG482" s="32" t="str">
        <f>IF(S482="","",IF(T482="","",ROUNDDOWN(AF482*10000/$AJ$3,0)))</f>
        <v/>
      </c>
      <c r="AH482" s="33" t="str">
        <f t="shared" si="2484"/>
        <v/>
      </c>
      <c r="AI482" s="41" t="str">
        <f>IF(S482="","",Z482)</f>
        <v/>
      </c>
      <c r="AJ482" s="43" t="str">
        <f>IF(S482="","",AI482*$AJ$3/10000)</f>
        <v/>
      </c>
      <c r="AK482" s="33" t="str">
        <f>IF(S482="","",IF(T482="","",IF(AND(T482=1,AE482&gt;1),"NG",IF(AH482="＞","OK","NG"))))</f>
        <v/>
      </c>
    </row>
    <row r="483" spans="1:37" ht="15.75" customHeight="1" x14ac:dyDescent="0.15">
      <c r="A483" s="92"/>
      <c r="B483" s="93"/>
      <c r="C483" s="59"/>
      <c r="D483" s="61"/>
      <c r="E483" s="94"/>
      <c r="F483" s="95"/>
      <c r="G483" s="95"/>
      <c r="H483" s="96"/>
      <c r="I483" s="54"/>
      <c r="J483" s="46"/>
      <c r="K483" s="97"/>
      <c r="L483" s="57"/>
      <c r="M483" s="44"/>
      <c r="N483" s="44"/>
      <c r="O483" s="42"/>
      <c r="P483" s="50"/>
      <c r="Q483" s="42"/>
      <c r="R483" s="52"/>
      <c r="S483" s="98"/>
      <c r="T483" s="99">
        <v>15</v>
      </c>
      <c r="U483" s="34" t="str">
        <f>IF(S482="","",IF(T482=T483,"〃",IF(T483=1,"素焼土管",IF(T483=2,"合成樹脂管",IF(T483=3,"無孔管","")))))</f>
        <v/>
      </c>
      <c r="V483" s="35"/>
      <c r="W483" s="100"/>
      <c r="X483" s="101"/>
      <c r="Y483" s="95"/>
      <c r="Z483" s="42"/>
      <c r="AA483" s="46"/>
      <c r="AB483" s="97"/>
      <c r="AC483" s="36" t="str">
        <f>IF(S482="","",IF(T483=1,0.013,0.012))</f>
        <v/>
      </c>
      <c r="AD483" s="37" t="str">
        <f>IF(S482="","",(1/AC483*(W483/100/2)^(8/3)*(1/AB482*100)^(1/2)*1.65696)*100)</f>
        <v/>
      </c>
      <c r="AE483" s="37" t="str">
        <f>IF(S482="","",1/AC483*(W483/100/2)^(2/3)*(1/AB482)^(1/2)*0.70541)</f>
        <v/>
      </c>
      <c r="AF483" s="37" t="str">
        <f>IF(S482="","",ROUNDDOWN(AD483/($U$3/8.64),3))</f>
        <v/>
      </c>
      <c r="AG483" s="38" t="str">
        <f>IF(S482="","",ROUNDDOWN(AF483*10000/$AJ$3,0))</f>
        <v/>
      </c>
      <c r="AH483" s="39" t="str">
        <f t="shared" ref="AH483" si="2496">IF(S482="","",IF(AG483&gt;AI482,"＞",IF(AG483=AI482,"=","＜")))</f>
        <v/>
      </c>
      <c r="AI483" s="42"/>
      <c r="AJ483" s="44"/>
      <c r="AK483" s="39" t="str">
        <f>IF(S482="","",IF(AND(T483=1,AE483&gt;1),"NG",IF(AH483="＞","OK","NG")))</f>
        <v/>
      </c>
    </row>
    <row r="484" spans="1:37" ht="15.75" customHeight="1" x14ac:dyDescent="0.15">
      <c r="A484" s="80"/>
      <c r="B484" s="81">
        <v>16</v>
      </c>
      <c r="C484" s="58" t="str">
        <f>IF(A484="","",IF(B484=1,"素　焼土　管",IF(B484=2,"合　成樹脂管",IF(B484=3,"無孔管",""))))</f>
        <v/>
      </c>
      <c r="D484" s="60"/>
      <c r="E484" s="82"/>
      <c r="F484" s="83"/>
      <c r="G484" s="83"/>
      <c r="H484" s="84"/>
      <c r="I484" s="53" t="str">
        <f>IF(A484="","",F484-G484+H484)</f>
        <v/>
      </c>
      <c r="J484" s="55" t="str">
        <f>IF(A484="",""," 1/")</f>
        <v/>
      </c>
      <c r="K484" s="85"/>
      <c r="L484" s="56" t="str">
        <f>IF(A484="","",IF(B484=1,0.013,0.012))</f>
        <v/>
      </c>
      <c r="M484" s="47" t="str">
        <f>IF(A484="","",(1/L484*(E484/100/2)^(8/3)*(1/K484*100)^(1/2)*1.65696)*100)</f>
        <v/>
      </c>
      <c r="N484" s="47" t="str">
        <f>IF(A484="","",1/L484*(E484/100/2)^(2/3)*(1/K484)^(1/2)*0.70541)</f>
        <v/>
      </c>
      <c r="O484" s="48" t="str">
        <f>IF(A484="","",ROUNDDOWN(M484/($U$3/8.64)*10000/$AJ$3,0))</f>
        <v/>
      </c>
      <c r="P484" s="49" t="str">
        <f>IF(A484="","",IF(O484&gt;Q484,"＞","＜"))</f>
        <v/>
      </c>
      <c r="Q484" s="48" t="str">
        <f>IF(A484="","",I484)</f>
        <v/>
      </c>
      <c r="R484" s="51" t="str">
        <f>IF(A484="","",IF(P484="＞","OK","NG"))</f>
        <v/>
      </c>
      <c r="S484" s="86"/>
      <c r="T484" s="87"/>
      <c r="U484" s="28" t="str">
        <f>IF(S484="","",IF(T484=1,"素焼土管",IF(T484=2,"合成樹脂管",IF(T484=3,"無孔管",""))))</f>
        <v/>
      </c>
      <c r="V484" s="29"/>
      <c r="W484" s="88"/>
      <c r="X484" s="89"/>
      <c r="Y484" s="90"/>
      <c r="Z484" s="41" t="str">
        <f>IF(S484="","",IF(AND(T485=3,I484=""),Z482+Y484,IF(AND(Z482="",I482=""),I484+Y484,IF(AND(T485=3,I484&gt;0,Z482&gt;0),I484+Z482+Y484,IF(Z482="",I482+I484+X484+Y484,IF(I484="",Z482+X484+Y484,Z482+I484+X484+Y484))))))</f>
        <v/>
      </c>
      <c r="AA484" s="45" t="str">
        <f>IF(AB484="",""," 1/")</f>
        <v/>
      </c>
      <c r="AB484" s="91"/>
      <c r="AC484" s="30" t="str">
        <f>IF(S484="","",IF(T484="","",IF(T484=1,0.013,0.012)))</f>
        <v/>
      </c>
      <c r="AD484" s="31" t="str">
        <f>IF(S484="","",IF(T484="","",(1/AC484*(W484/100/2)^(8/3)*(1/AB484*100)^(1/2)*1.65696)*100))</f>
        <v/>
      </c>
      <c r="AE484" s="31" t="str">
        <f>IF(S484="","",IF(T484="","",1/AC484*(W484/100/2)^(2/3)*(1/AB484)^(1/2)*0.70541))</f>
        <v/>
      </c>
      <c r="AF484" s="31" t="str">
        <f>IF(S484="","",IF(T484="","",ROUNDDOWN(AD484/($U$3/8.64),3)))</f>
        <v/>
      </c>
      <c r="AG484" s="32" t="str">
        <f>IF(S484="","",IF(T484="","",ROUNDDOWN(AF484*10000/$AJ$3,0)))</f>
        <v/>
      </c>
      <c r="AH484" s="33" t="str">
        <f t="shared" si="2484"/>
        <v/>
      </c>
      <c r="AI484" s="41" t="str">
        <f>IF(S484="","",Z484)</f>
        <v/>
      </c>
      <c r="AJ484" s="43" t="str">
        <f>IF(S484="","",AI484*$AJ$3/10000)</f>
        <v/>
      </c>
      <c r="AK484" s="33" t="str">
        <f>IF(S484="","",IF(T484="","",IF(AND(T484=1,AE484&gt;1),"NG",IF(AH484="＞","OK","NG"))))</f>
        <v/>
      </c>
    </row>
    <row r="485" spans="1:37" ht="15.75" customHeight="1" x14ac:dyDescent="0.15">
      <c r="A485" s="92"/>
      <c r="B485" s="93"/>
      <c r="C485" s="59"/>
      <c r="D485" s="61"/>
      <c r="E485" s="94"/>
      <c r="F485" s="95"/>
      <c r="G485" s="95"/>
      <c r="H485" s="96"/>
      <c r="I485" s="54"/>
      <c r="J485" s="46"/>
      <c r="K485" s="97"/>
      <c r="L485" s="57"/>
      <c r="M485" s="44"/>
      <c r="N485" s="44"/>
      <c r="O485" s="42"/>
      <c r="P485" s="50"/>
      <c r="Q485" s="42"/>
      <c r="R485" s="52"/>
      <c r="S485" s="98"/>
      <c r="T485" s="99">
        <v>16</v>
      </c>
      <c r="U485" s="34" t="str">
        <f>IF(S484="","",IF(T484=T485,"〃",IF(T485=1,"素焼土管",IF(T485=2,"合成樹脂管",IF(T485=3,"無孔管","")))))</f>
        <v/>
      </c>
      <c r="V485" s="35"/>
      <c r="W485" s="100"/>
      <c r="X485" s="101"/>
      <c r="Y485" s="95"/>
      <c r="Z485" s="42"/>
      <c r="AA485" s="46"/>
      <c r="AB485" s="97"/>
      <c r="AC485" s="36" t="str">
        <f>IF(S484="","",IF(T485=1,0.013,0.012))</f>
        <v/>
      </c>
      <c r="AD485" s="37" t="str">
        <f>IF(S484="","",(1/AC485*(W485/100/2)^(8/3)*(1/AB484*100)^(1/2)*1.65696)*100)</f>
        <v/>
      </c>
      <c r="AE485" s="37" t="str">
        <f>IF(S484="","",1/AC485*(W485/100/2)^(2/3)*(1/AB484)^(1/2)*0.70541)</f>
        <v/>
      </c>
      <c r="AF485" s="37" t="str">
        <f>IF(S484="","",ROUNDDOWN(AD485/($U$3/8.64),3))</f>
        <v/>
      </c>
      <c r="AG485" s="38" t="str">
        <f>IF(S484="","",ROUNDDOWN(AF485*10000/$AJ$3,0))</f>
        <v/>
      </c>
      <c r="AH485" s="39" t="str">
        <f t="shared" ref="AH485" si="2497">IF(S484="","",IF(AG485&gt;AI484,"＞",IF(AG485=AI484,"=","＜")))</f>
        <v/>
      </c>
      <c r="AI485" s="42"/>
      <c r="AJ485" s="44"/>
      <c r="AK485" s="39" t="str">
        <f>IF(S484="","",IF(AND(T485=1,AE485&gt;1),"NG",IF(AH485="＞","OK","NG")))</f>
        <v/>
      </c>
    </row>
    <row r="486" spans="1:37" ht="15.75" customHeight="1" x14ac:dyDescent="0.15">
      <c r="A486" s="80"/>
      <c r="B486" s="81">
        <v>17</v>
      </c>
      <c r="C486" s="58" t="str">
        <f>IF(A486="","",IF(B486=1,"素　焼土　管",IF(B486=2,"合　成樹脂管",IF(B486=3,"無孔管",""))))</f>
        <v/>
      </c>
      <c r="D486" s="60"/>
      <c r="E486" s="82"/>
      <c r="F486" s="83"/>
      <c r="G486" s="83"/>
      <c r="H486" s="84"/>
      <c r="I486" s="53" t="str">
        <f>IF(A486="","",F486-G486+H486)</f>
        <v/>
      </c>
      <c r="J486" s="55" t="str">
        <f>IF(A486="",""," 1/")</f>
        <v/>
      </c>
      <c r="K486" s="85"/>
      <c r="L486" s="56" t="str">
        <f>IF(A486="","",IF(B486=1,0.013,0.012))</f>
        <v/>
      </c>
      <c r="M486" s="47" t="str">
        <f>IF(A486="","",(1/L486*(E486/100/2)^(8/3)*(1/K486*100)^(1/2)*1.65696)*100)</f>
        <v/>
      </c>
      <c r="N486" s="47" t="str">
        <f>IF(A486="","",1/L486*(E486/100/2)^(2/3)*(1/K486)^(1/2)*0.70541)</f>
        <v/>
      </c>
      <c r="O486" s="48" t="str">
        <f>IF(A486="","",ROUNDDOWN(M486/($U$3/8.64)*10000/$AJ$3,0))</f>
        <v/>
      </c>
      <c r="P486" s="49" t="str">
        <f>IF(A486="","",IF(O486&gt;Q486,"＞","＜"))</f>
        <v/>
      </c>
      <c r="Q486" s="48" t="str">
        <f>IF(A486="","",I486)</f>
        <v/>
      </c>
      <c r="R486" s="51" t="str">
        <f>IF(A486="","",IF(P486="＞","OK","NG"))</f>
        <v/>
      </c>
      <c r="S486" s="86"/>
      <c r="T486" s="87"/>
      <c r="U486" s="28" t="str">
        <f>IF(S486="","",IF(T486=1,"素焼土管",IF(T486=2,"合成樹脂管",IF(T486=3,"無孔管",""))))</f>
        <v/>
      </c>
      <c r="V486" s="29"/>
      <c r="W486" s="88"/>
      <c r="X486" s="89"/>
      <c r="Y486" s="90"/>
      <c r="Z486" s="41" t="str">
        <f>IF(S486="","",IF(AND(T487=3,I486=""),Z484+Y486,IF(AND(Z484="",I484=""),I486+Y486,IF(AND(T487=3,I486&gt;0,Z484&gt;0),I486+Z484+Y486,IF(Z484="",I484+I486+X486+Y486,IF(I486="",Z484+X486+Y486,Z484+I486+X486+Y486))))))</f>
        <v/>
      </c>
      <c r="AA486" s="45" t="str">
        <f>IF(AB486="",""," 1/")</f>
        <v/>
      </c>
      <c r="AB486" s="91"/>
      <c r="AC486" s="30" t="str">
        <f>IF(S486="","",IF(T486="","",IF(T486=1,0.013,0.012)))</f>
        <v/>
      </c>
      <c r="AD486" s="31" t="str">
        <f>IF(S486="","",IF(T486="","",(1/AC486*(W486/100/2)^(8/3)*(1/AB486*100)^(1/2)*1.65696)*100))</f>
        <v/>
      </c>
      <c r="AE486" s="31" t="str">
        <f>IF(S486="","",IF(T486="","",1/AC486*(W486/100/2)^(2/3)*(1/AB486)^(1/2)*0.70541))</f>
        <v/>
      </c>
      <c r="AF486" s="31" t="str">
        <f>IF(S486="","",IF(T486="","",ROUNDDOWN(AD486/($U$3/8.64),3)))</f>
        <v/>
      </c>
      <c r="AG486" s="32" t="str">
        <f>IF(S486="","",IF(T486="","",ROUNDDOWN(AF486*10000/$AJ$3,0)))</f>
        <v/>
      </c>
      <c r="AH486" s="33" t="str">
        <f t="shared" si="2484"/>
        <v/>
      </c>
      <c r="AI486" s="41" t="str">
        <f>IF(S486="","",Z486)</f>
        <v/>
      </c>
      <c r="AJ486" s="43" t="str">
        <f>IF(S486="","",AI486*$AJ$3/10000)</f>
        <v/>
      </c>
      <c r="AK486" s="33" t="str">
        <f>IF(S486="","",IF(T486="","",IF(AND(T486=1,AE486&gt;1),"NG",IF(AH486="＞","OK","NG"))))</f>
        <v/>
      </c>
    </row>
    <row r="487" spans="1:37" ht="15.75" customHeight="1" x14ac:dyDescent="0.15">
      <c r="A487" s="92"/>
      <c r="B487" s="93"/>
      <c r="C487" s="59"/>
      <c r="D487" s="61"/>
      <c r="E487" s="94"/>
      <c r="F487" s="95"/>
      <c r="G487" s="95"/>
      <c r="H487" s="96"/>
      <c r="I487" s="54"/>
      <c r="J487" s="46"/>
      <c r="K487" s="97"/>
      <c r="L487" s="57"/>
      <c r="M487" s="44"/>
      <c r="N487" s="44"/>
      <c r="O487" s="42"/>
      <c r="P487" s="50"/>
      <c r="Q487" s="42"/>
      <c r="R487" s="52"/>
      <c r="S487" s="98"/>
      <c r="T487" s="99">
        <v>17</v>
      </c>
      <c r="U487" s="34" t="str">
        <f>IF(S486="","",IF(T486=T487,"〃",IF(T487=1,"素焼土管",IF(T487=2,"合成樹脂管",IF(T487=3,"無孔管","")))))</f>
        <v/>
      </c>
      <c r="V487" s="35"/>
      <c r="W487" s="100"/>
      <c r="X487" s="101"/>
      <c r="Y487" s="95"/>
      <c r="Z487" s="42"/>
      <c r="AA487" s="46"/>
      <c r="AB487" s="97"/>
      <c r="AC487" s="36" t="str">
        <f>IF(S486="","",IF(T487=1,0.013,0.012))</f>
        <v/>
      </c>
      <c r="AD487" s="37" t="str">
        <f>IF(S486="","",(1/AC487*(W487/100/2)^(8/3)*(1/AB486*100)^(1/2)*1.65696)*100)</f>
        <v/>
      </c>
      <c r="AE487" s="37" t="str">
        <f>IF(S486="","",1/AC487*(W487/100/2)^(2/3)*(1/AB486)^(1/2)*0.70541)</f>
        <v/>
      </c>
      <c r="AF487" s="37" t="str">
        <f>IF(S486="","",ROUNDDOWN(AD487/($U$3/8.64),3))</f>
        <v/>
      </c>
      <c r="AG487" s="38" t="str">
        <f>IF(S486="","",ROUNDDOWN(AF487*10000/$AJ$3,0))</f>
        <v/>
      </c>
      <c r="AH487" s="39" t="str">
        <f t="shared" ref="AH487" si="2498">IF(S486="","",IF(AG487&gt;AI486,"＞",IF(AG487=AI486,"=","＜")))</f>
        <v/>
      </c>
      <c r="AI487" s="42"/>
      <c r="AJ487" s="44"/>
      <c r="AK487" s="39" t="str">
        <f>IF(S486="","",IF(AND(T487=1,AE487&gt;1),"NG",IF(AH487="＞","OK","NG")))</f>
        <v/>
      </c>
    </row>
    <row r="488" spans="1:37" ht="15.75" customHeight="1" x14ac:dyDescent="0.15">
      <c r="A488" s="80"/>
      <c r="B488" s="81">
        <v>18</v>
      </c>
      <c r="C488" s="58" t="str">
        <f>IF(A488="","",IF(B488=1,"素　焼土　管",IF(B488=2,"合　成樹脂管",IF(B488=3,"無孔管",""))))</f>
        <v/>
      </c>
      <c r="D488" s="60"/>
      <c r="E488" s="82"/>
      <c r="F488" s="83"/>
      <c r="G488" s="83"/>
      <c r="H488" s="84"/>
      <c r="I488" s="53" t="str">
        <f>IF(A488="","",F488-G488+H488)</f>
        <v/>
      </c>
      <c r="J488" s="55" t="str">
        <f>IF(A488="",""," 1/")</f>
        <v/>
      </c>
      <c r="K488" s="85"/>
      <c r="L488" s="56" t="str">
        <f>IF(A488="","",IF(B488=1,0.013,0.012))</f>
        <v/>
      </c>
      <c r="M488" s="47" t="str">
        <f>IF(A488="","",(1/L488*(E488/100/2)^(8/3)*(1/K488*100)^(1/2)*1.65696)*100)</f>
        <v/>
      </c>
      <c r="N488" s="47" t="str">
        <f>IF(A488="","",1/L488*(E488/100/2)^(2/3)*(1/K488)^(1/2)*0.70541)</f>
        <v/>
      </c>
      <c r="O488" s="48" t="str">
        <f>IF(A488="","",ROUNDDOWN(M488/($U$3/8.64)*10000/$AJ$3,0))</f>
        <v/>
      </c>
      <c r="P488" s="49" t="str">
        <f>IF(A488="","",IF(O488&gt;Q488,"＞","＜"))</f>
        <v/>
      </c>
      <c r="Q488" s="48" t="str">
        <f>IF(A488="","",I488)</f>
        <v/>
      </c>
      <c r="R488" s="51" t="str">
        <f>IF(A488="","",IF(P488="＞","OK","NG"))</f>
        <v/>
      </c>
      <c r="S488" s="86"/>
      <c r="T488" s="87"/>
      <c r="U488" s="28" t="str">
        <f>IF(S488="","",IF(T488=1,"素焼土管",IF(T488=2,"合成樹脂管",IF(T488=3,"無孔管",""))))</f>
        <v/>
      </c>
      <c r="V488" s="29"/>
      <c r="W488" s="88"/>
      <c r="X488" s="89"/>
      <c r="Y488" s="90"/>
      <c r="Z488" s="41" t="str">
        <f>IF(S488="","",IF(AND(T489=3,I488=""),Z486+Y488,IF(AND(Z486="",I486=""),I488+Y488,IF(AND(T489=3,I488&gt;0,Z486&gt;0),I488+Z486+Y488,IF(Z486="",I486+I488+X488+Y488,IF(I488="",Z486+X488+Y488,Z486+I488+X488+Y488))))))</f>
        <v/>
      </c>
      <c r="AA488" s="45" t="str">
        <f>IF(AB488="",""," 1/")</f>
        <v/>
      </c>
      <c r="AB488" s="91"/>
      <c r="AC488" s="30" t="str">
        <f>IF(S488="","",IF(T488="","",IF(T488=1,0.013,0.012)))</f>
        <v/>
      </c>
      <c r="AD488" s="31" t="str">
        <f>IF(S488="","",IF(T488="","",(1/AC488*(W488/100/2)^(8/3)*(1/AB488*100)^(1/2)*1.65696)*100))</f>
        <v/>
      </c>
      <c r="AE488" s="31" t="str">
        <f>IF(S488="","",IF(T488="","",1/AC488*(W488/100/2)^(2/3)*(1/AB488)^(1/2)*0.70541))</f>
        <v/>
      </c>
      <c r="AF488" s="31" t="str">
        <f>IF(S488="","",IF(T488="","",ROUNDDOWN(AD488/($U$3/8.64),3)))</f>
        <v/>
      </c>
      <c r="AG488" s="32" t="str">
        <f>IF(S488="","",IF(T488="","",ROUNDDOWN(AF488*10000/$AJ$3,0)))</f>
        <v/>
      </c>
      <c r="AH488" s="33" t="str">
        <f t="shared" si="2484"/>
        <v/>
      </c>
      <c r="AI488" s="41" t="str">
        <f>IF(S488="","",Z488)</f>
        <v/>
      </c>
      <c r="AJ488" s="43" t="str">
        <f>IF(S488="","",AI488*$AJ$3/10000)</f>
        <v/>
      </c>
      <c r="AK488" s="33" t="str">
        <f>IF(S488="","",IF(T488="","",IF(AND(T488=1,AE488&gt;1),"NG",IF(AH488="＞","OK","NG"))))</f>
        <v/>
      </c>
    </row>
    <row r="489" spans="1:37" ht="15.75" customHeight="1" x14ac:dyDescent="0.15">
      <c r="A489" s="92"/>
      <c r="B489" s="93"/>
      <c r="C489" s="59"/>
      <c r="D489" s="61"/>
      <c r="E489" s="94"/>
      <c r="F489" s="95"/>
      <c r="G489" s="95"/>
      <c r="H489" s="96"/>
      <c r="I489" s="54"/>
      <c r="J489" s="46"/>
      <c r="K489" s="97"/>
      <c r="L489" s="57"/>
      <c r="M489" s="44"/>
      <c r="N489" s="44"/>
      <c r="O489" s="42"/>
      <c r="P489" s="50"/>
      <c r="Q489" s="42"/>
      <c r="R489" s="52"/>
      <c r="S489" s="98"/>
      <c r="T489" s="99">
        <v>18</v>
      </c>
      <c r="U489" s="34" t="str">
        <f>IF(S488="","",IF(T488=T489,"〃",IF(T489=1,"素焼土管",IF(T489=2,"合成樹脂管",IF(T489=3,"無孔管","")))))</f>
        <v/>
      </c>
      <c r="V489" s="35"/>
      <c r="W489" s="100"/>
      <c r="X489" s="101"/>
      <c r="Y489" s="95"/>
      <c r="Z489" s="42"/>
      <c r="AA489" s="46"/>
      <c r="AB489" s="97"/>
      <c r="AC489" s="36" t="str">
        <f>IF(S488="","",IF(T489=1,0.013,0.012))</f>
        <v/>
      </c>
      <c r="AD489" s="37" t="str">
        <f>IF(S488="","",(1/AC489*(W489/100/2)^(8/3)*(1/AB488*100)^(1/2)*1.65696)*100)</f>
        <v/>
      </c>
      <c r="AE489" s="37" t="str">
        <f>IF(S488="","",1/AC489*(W489/100/2)^(2/3)*(1/AB488)^(1/2)*0.70541)</f>
        <v/>
      </c>
      <c r="AF489" s="37" t="str">
        <f>IF(S488="","",ROUNDDOWN(AD489/($U$3/8.64),3))</f>
        <v/>
      </c>
      <c r="AG489" s="38" t="str">
        <f>IF(S488="","",ROUNDDOWN(AF489*10000/$AJ$3,0))</f>
        <v/>
      </c>
      <c r="AH489" s="39" t="str">
        <f t="shared" ref="AH489" si="2499">IF(S488="","",IF(AG489&gt;AI488,"＞",IF(AG489=AI488,"=","＜")))</f>
        <v/>
      </c>
      <c r="AI489" s="42"/>
      <c r="AJ489" s="44"/>
      <c r="AK489" s="39" t="str">
        <f>IF(S488="","",IF(AND(T489=1,AE489&gt;1),"NG",IF(AH489="＞","OK","NG")))</f>
        <v/>
      </c>
    </row>
    <row r="490" spans="1:37" ht="15.75" customHeight="1" x14ac:dyDescent="0.15">
      <c r="A490" s="80"/>
      <c r="B490" s="81">
        <v>19</v>
      </c>
      <c r="C490" s="58" t="str">
        <f>IF(A490="","",IF(B490=1,"素　焼土　管",IF(B490=2,"合　成樹脂管",IF(B490=3,"無孔管",""))))</f>
        <v/>
      </c>
      <c r="D490" s="60"/>
      <c r="E490" s="82"/>
      <c r="F490" s="83"/>
      <c r="G490" s="83"/>
      <c r="H490" s="84"/>
      <c r="I490" s="53" t="str">
        <f>IF(A490="","",F490-G490+H490)</f>
        <v/>
      </c>
      <c r="J490" s="55" t="str">
        <f>IF(A490="",""," 1/")</f>
        <v/>
      </c>
      <c r="K490" s="85"/>
      <c r="L490" s="56" t="str">
        <f>IF(A490="","",IF(B490=1,0.013,0.012))</f>
        <v/>
      </c>
      <c r="M490" s="47" t="str">
        <f>IF(A490="","",(1/L490*(E490/100/2)^(8/3)*(1/K490*100)^(1/2)*1.65696)*100)</f>
        <v/>
      </c>
      <c r="N490" s="47" t="str">
        <f>IF(A490="","",1/L490*(E490/100/2)^(2/3)*(1/K490)^(1/2)*0.70541)</f>
        <v/>
      </c>
      <c r="O490" s="48" t="str">
        <f>IF(A490="","",ROUNDDOWN(M490/($U$3/8.64)*10000/$AJ$3,0))</f>
        <v/>
      </c>
      <c r="P490" s="49" t="str">
        <f>IF(A490="","",IF(O490&gt;Q490,"＞","＜"))</f>
        <v/>
      </c>
      <c r="Q490" s="48" t="str">
        <f>IF(A490="","",I490)</f>
        <v/>
      </c>
      <c r="R490" s="51" t="str">
        <f>IF(A490="","",IF(P490="＞","OK","NG"))</f>
        <v/>
      </c>
      <c r="S490" s="86"/>
      <c r="T490" s="87"/>
      <c r="U490" s="28" t="str">
        <f>IF(S490="","",IF(T490=1,"素焼土管",IF(T490=2,"合成樹脂管",IF(T490=3,"無孔管",""))))</f>
        <v/>
      </c>
      <c r="V490" s="29"/>
      <c r="W490" s="88"/>
      <c r="X490" s="89"/>
      <c r="Y490" s="90"/>
      <c r="Z490" s="41" t="str">
        <f>IF(S490="","",IF(AND(T491=3,I490=""),Z488+Y490,IF(AND(Z488="",I488=""),I490+Y490,IF(AND(T491=3,I490&gt;0,Z488&gt;0),I490+Z488+Y490,IF(Z488="",I488+I490+X490+Y490,IF(I490="",Z488+X490+Y490,Z488+I490+X490+Y490))))))</f>
        <v/>
      </c>
      <c r="AA490" s="45" t="str">
        <f>IF(AB490="",""," 1/")</f>
        <v/>
      </c>
      <c r="AB490" s="91"/>
      <c r="AC490" s="30" t="str">
        <f>IF(S490="","",IF(T490="","",IF(T490=1,0.013,0.012)))</f>
        <v/>
      </c>
      <c r="AD490" s="31" t="str">
        <f>IF(S490="","",IF(T490="","",(1/AC490*(W490/100/2)^(8/3)*(1/AB490*100)^(1/2)*1.65696)*100))</f>
        <v/>
      </c>
      <c r="AE490" s="31" t="str">
        <f>IF(S490="","",IF(T490="","",1/AC490*(W490/100/2)^(2/3)*(1/AB490)^(1/2)*0.70541))</f>
        <v/>
      </c>
      <c r="AF490" s="31" t="str">
        <f>IF(S490="","",IF(T490="","",ROUNDDOWN(AD490/($U$3/8.64),3)))</f>
        <v/>
      </c>
      <c r="AG490" s="32" t="str">
        <f>IF(S490="","",IF(T490="","",ROUNDDOWN(AF490*10000/$AJ$3,0)))</f>
        <v/>
      </c>
      <c r="AH490" s="33" t="str">
        <f t="shared" si="2484"/>
        <v/>
      </c>
      <c r="AI490" s="41" t="str">
        <f>IF(S490="","",Z490)</f>
        <v/>
      </c>
      <c r="AJ490" s="43" t="str">
        <f>IF(S490="","",AI490*$AJ$3/10000)</f>
        <v/>
      </c>
      <c r="AK490" s="33" t="str">
        <f>IF(S490="","",IF(T490="","",IF(AND(T490=1,AE490&gt;1),"NG",IF(AH490="＞","OK","NG"))))</f>
        <v/>
      </c>
    </row>
    <row r="491" spans="1:37" ht="15.75" customHeight="1" x14ac:dyDescent="0.15">
      <c r="A491" s="92"/>
      <c r="B491" s="93"/>
      <c r="C491" s="59"/>
      <c r="D491" s="61"/>
      <c r="E491" s="94"/>
      <c r="F491" s="95"/>
      <c r="G491" s="95"/>
      <c r="H491" s="96"/>
      <c r="I491" s="54"/>
      <c r="J491" s="46"/>
      <c r="K491" s="97"/>
      <c r="L491" s="57"/>
      <c r="M491" s="44"/>
      <c r="N491" s="44"/>
      <c r="O491" s="42"/>
      <c r="P491" s="50"/>
      <c r="Q491" s="42"/>
      <c r="R491" s="52"/>
      <c r="S491" s="98"/>
      <c r="T491" s="99">
        <v>19</v>
      </c>
      <c r="U491" s="34" t="str">
        <f>IF(S490="","",IF(T490=T491,"〃",IF(T491=1,"素焼土管",IF(T491=2,"合成樹脂管",IF(T491=3,"無孔管","")))))</f>
        <v/>
      </c>
      <c r="V491" s="35"/>
      <c r="W491" s="100"/>
      <c r="X491" s="101"/>
      <c r="Y491" s="95"/>
      <c r="Z491" s="42"/>
      <c r="AA491" s="46"/>
      <c r="AB491" s="97"/>
      <c r="AC491" s="36" t="str">
        <f>IF(S490="","",IF(T491=1,0.013,0.012))</f>
        <v/>
      </c>
      <c r="AD491" s="37" t="str">
        <f>IF(S490="","",(1/AC491*(W491/100/2)^(8/3)*(1/AB490*100)^(1/2)*1.65696)*100)</f>
        <v/>
      </c>
      <c r="AE491" s="37" t="str">
        <f>IF(S490="","",1/AC491*(W491/100/2)^(2/3)*(1/AB490)^(1/2)*0.70541)</f>
        <v/>
      </c>
      <c r="AF491" s="37" t="str">
        <f>IF(S490="","",ROUNDDOWN(AD491/($U$3/8.64),3))</f>
        <v/>
      </c>
      <c r="AG491" s="38" t="str">
        <f>IF(S490="","",ROUNDDOWN(AF491*10000/$AJ$3,0))</f>
        <v/>
      </c>
      <c r="AH491" s="39" t="str">
        <f t="shared" ref="AH491" si="2500">IF(S490="","",IF(AG491&gt;AI490,"＞",IF(AG491=AI490,"=","＜")))</f>
        <v/>
      </c>
      <c r="AI491" s="42"/>
      <c r="AJ491" s="44"/>
      <c r="AK491" s="39" t="str">
        <f>IF(S490="","",IF(AND(T491=1,AE491&gt;1),"NG",IF(AH491="＞","OK","NG")))</f>
        <v/>
      </c>
    </row>
    <row r="492" spans="1:37" ht="15.75" customHeight="1" x14ac:dyDescent="0.15">
      <c r="A492" s="80"/>
      <c r="B492" s="81">
        <v>20</v>
      </c>
      <c r="C492" s="58" t="str">
        <f>IF(A492="","",IF(B492=1,"素　焼土　管",IF(B492=2,"合　成樹脂管",IF(B492=3,"無孔管",""))))</f>
        <v/>
      </c>
      <c r="D492" s="60"/>
      <c r="E492" s="82"/>
      <c r="F492" s="83"/>
      <c r="G492" s="83"/>
      <c r="H492" s="84"/>
      <c r="I492" s="53" t="str">
        <f>IF(A492="","",F492-G492+H492)</f>
        <v/>
      </c>
      <c r="J492" s="55" t="str">
        <f>IF(A492="",""," 1/")</f>
        <v/>
      </c>
      <c r="K492" s="85"/>
      <c r="L492" s="56" t="str">
        <f>IF(A492="","",IF(B492=1,0.013,0.012))</f>
        <v/>
      </c>
      <c r="M492" s="47" t="str">
        <f>IF(A492="","",(1/L492*(E492/100/2)^(8/3)*(1/K492*100)^(1/2)*1.65696)*100)</f>
        <v/>
      </c>
      <c r="N492" s="47" t="str">
        <f>IF(A492="","",1/L492*(E492/100/2)^(2/3)*(1/K492)^(1/2)*0.70541)</f>
        <v/>
      </c>
      <c r="O492" s="48" t="str">
        <f>IF(A492="","",ROUNDDOWN(M492/($U$3/8.64)*10000/$AJ$3,0))</f>
        <v/>
      </c>
      <c r="P492" s="49" t="str">
        <f>IF(A492="","",IF(O492&gt;Q492,"＞","＜"))</f>
        <v/>
      </c>
      <c r="Q492" s="48" t="str">
        <f>IF(A492="","",I492)</f>
        <v/>
      </c>
      <c r="R492" s="51" t="str">
        <f>IF(A492="","",IF(P492="＞","OK","NG"))</f>
        <v/>
      </c>
      <c r="S492" s="86"/>
      <c r="T492" s="87"/>
      <c r="U492" s="28" t="str">
        <f>IF(S492="","",IF(T492=1,"素焼土管",IF(T492=2,"合成樹脂管",IF(T492=3,"無孔管",""))))</f>
        <v/>
      </c>
      <c r="V492" s="29"/>
      <c r="W492" s="88"/>
      <c r="X492" s="89"/>
      <c r="Y492" s="90"/>
      <c r="Z492" s="41" t="str">
        <f>IF(S492="","",IF(AND(T493=3,I492=""),Z490+Y492,IF(AND(Z490="",I490=""),I492+Y492,IF(AND(T493=3,I492&gt;0,Z490&gt;0),I492+Z490+Y492,IF(Z490="",I490+I492+X492+Y492,IF(I492="",Z490+X492+Y492,Z490+I492+X492+Y492))))))</f>
        <v/>
      </c>
      <c r="AA492" s="45" t="str">
        <f>IF(AB492="",""," 1/")</f>
        <v/>
      </c>
      <c r="AB492" s="91"/>
      <c r="AC492" s="30" t="str">
        <f>IF(S492="","",IF(T492="","",IF(T492=1,0.013,0.012)))</f>
        <v/>
      </c>
      <c r="AD492" s="31" t="str">
        <f>IF(S492="","",IF(T492="","",(1/AC492*(W492/100/2)^(8/3)*(1/AB492*100)^(1/2)*1.65696)*100))</f>
        <v/>
      </c>
      <c r="AE492" s="31" t="str">
        <f>IF(S492="","",IF(T492="","",1/AC492*(W492/100/2)^(2/3)*(1/AB492)^(1/2)*0.70541))</f>
        <v/>
      </c>
      <c r="AF492" s="31" t="str">
        <f>IF(S492="","",IF(T492="","",ROUNDDOWN(AD492/($U$3/8.64),3)))</f>
        <v/>
      </c>
      <c r="AG492" s="32" t="str">
        <f>IF(S492="","",IF(T492="","",ROUNDDOWN(AF492*10000/$AJ$3,0)))</f>
        <v/>
      </c>
      <c r="AH492" s="33" t="str">
        <f t="shared" si="2484"/>
        <v/>
      </c>
      <c r="AI492" s="41" t="str">
        <f>IF(S492="","",Z492)</f>
        <v/>
      </c>
      <c r="AJ492" s="43" t="str">
        <f>IF(S492="","",AI492*$AJ$3/10000)</f>
        <v/>
      </c>
      <c r="AK492" s="33" t="str">
        <f>IF(S492="","",IF(T492="","",IF(AND(T492=1,AE492&gt;1),"NG",IF(AH492="＞","OK","NG"))))</f>
        <v/>
      </c>
    </row>
    <row r="493" spans="1:37" ht="15.75" customHeight="1" x14ac:dyDescent="0.15">
      <c r="A493" s="92"/>
      <c r="B493" s="93"/>
      <c r="C493" s="59"/>
      <c r="D493" s="61"/>
      <c r="E493" s="94"/>
      <c r="F493" s="95"/>
      <c r="G493" s="95"/>
      <c r="H493" s="96"/>
      <c r="I493" s="54"/>
      <c r="J493" s="46"/>
      <c r="K493" s="97"/>
      <c r="L493" s="57"/>
      <c r="M493" s="44"/>
      <c r="N493" s="44"/>
      <c r="O493" s="42"/>
      <c r="P493" s="50"/>
      <c r="Q493" s="42"/>
      <c r="R493" s="52"/>
      <c r="S493" s="98"/>
      <c r="T493" s="99">
        <v>20</v>
      </c>
      <c r="U493" s="34" t="str">
        <f>IF(S492="","",IF(T492=T493,"〃",IF(T493=1,"素焼土管",IF(T493=2,"合成樹脂管",IF(T493=3,"無孔管","")))))</f>
        <v/>
      </c>
      <c r="V493" s="35"/>
      <c r="W493" s="100"/>
      <c r="X493" s="101"/>
      <c r="Y493" s="95"/>
      <c r="Z493" s="42"/>
      <c r="AA493" s="46"/>
      <c r="AB493" s="97"/>
      <c r="AC493" s="36" t="str">
        <f>IF(S492="","",IF(T493=1,0.013,0.012))</f>
        <v/>
      </c>
      <c r="AD493" s="37" t="str">
        <f>IF(S492="","",(1/AC493*(W493/100/2)^(8/3)*(1/AB492*100)^(1/2)*1.65696)*100)</f>
        <v/>
      </c>
      <c r="AE493" s="37" t="str">
        <f>IF(S492="","",1/AC493*(W493/100/2)^(2/3)*(1/AB492)^(1/2)*0.70541)</f>
        <v/>
      </c>
      <c r="AF493" s="37" t="str">
        <f>IF(S492="","",ROUNDDOWN(AD493/($U$3/8.64),3))</f>
        <v/>
      </c>
      <c r="AG493" s="38" t="str">
        <f>IF(S492="","",ROUNDDOWN(AF493*10000/$AJ$3,0))</f>
        <v/>
      </c>
      <c r="AH493" s="39" t="str">
        <f t="shared" ref="AH493" si="2501">IF(S492="","",IF(AG493&gt;AI492,"＞",IF(AG493=AI492,"=","＜")))</f>
        <v/>
      </c>
      <c r="AI493" s="42"/>
      <c r="AJ493" s="44"/>
      <c r="AK493" s="39" t="str">
        <f>IF(S492="","",IF(AND(T493=1,AE493&gt;1),"NG",IF(AH493="＞","OK","NG")))</f>
        <v/>
      </c>
    </row>
    <row r="494" spans="1:37" ht="15.75" customHeight="1" x14ac:dyDescent="0.15">
      <c r="A494" s="80"/>
      <c r="B494" s="81">
        <v>21</v>
      </c>
      <c r="C494" s="58" t="str">
        <f>IF(A494="","",IF(B494=1,"素　焼土　管",IF(B494=2,"合　成樹脂管",IF(B494=3,"無孔管",""))))</f>
        <v/>
      </c>
      <c r="D494" s="60"/>
      <c r="E494" s="82"/>
      <c r="F494" s="83"/>
      <c r="G494" s="83"/>
      <c r="H494" s="84"/>
      <c r="I494" s="53" t="str">
        <f>IF(A494="","",F494-G494+H494)</f>
        <v/>
      </c>
      <c r="J494" s="55" t="str">
        <f>IF(A494="",""," 1/")</f>
        <v/>
      </c>
      <c r="K494" s="85"/>
      <c r="L494" s="56" t="str">
        <f>IF(A494="","",IF(B494=1,0.013,0.012))</f>
        <v/>
      </c>
      <c r="M494" s="47" t="str">
        <f>IF(A494="","",(1/L494*(E494/100/2)^(8/3)*(1/K494*100)^(1/2)*1.65696)*100)</f>
        <v/>
      </c>
      <c r="N494" s="47" t="str">
        <f>IF(A494="","",1/L494*(E494/100/2)^(2/3)*(1/K494)^(1/2)*0.70541)</f>
        <v/>
      </c>
      <c r="O494" s="48" t="str">
        <f>IF(A494="","",ROUNDDOWN(M494/($U$3/8.64)*10000/$AJ$3,0))</f>
        <v/>
      </c>
      <c r="P494" s="49" t="str">
        <f>IF(A494="","",IF(O494&gt;Q494,"＞","＜"))</f>
        <v/>
      </c>
      <c r="Q494" s="48" t="str">
        <f>IF(A494="","",I494)</f>
        <v/>
      </c>
      <c r="R494" s="51" t="str">
        <f>IF(A494="","",IF(P494="＞","OK","NG"))</f>
        <v/>
      </c>
      <c r="S494" s="86"/>
      <c r="T494" s="87"/>
      <c r="U494" s="28" t="str">
        <f>IF(S494="","",IF(T494=1,"素焼土管",IF(T494=2,"合成樹脂管",IF(T494=3,"無孔管",""))))</f>
        <v/>
      </c>
      <c r="V494" s="29"/>
      <c r="W494" s="88"/>
      <c r="X494" s="89"/>
      <c r="Y494" s="90"/>
      <c r="Z494" s="41" t="str">
        <f>IF(S494="","",IF(AND(T495=3,I494=""),Z492+Y494,IF(AND(Z492="",I492=""),I494+Y494,IF(AND(T495=3,I494&gt;0,Z492&gt;0),I494+Z492+Y494,IF(Z492="",I492+I494+X494+Y494,IF(I494="",Z492+X494+Y494,Z492+I494+X494+Y494))))))</f>
        <v/>
      </c>
      <c r="AA494" s="45" t="str">
        <f>IF(AB494="",""," 1/")</f>
        <v/>
      </c>
      <c r="AB494" s="91"/>
      <c r="AC494" s="30" t="str">
        <f>IF(S494="","",IF(T494="","",IF(T494=1,0.013,0.012)))</f>
        <v/>
      </c>
      <c r="AD494" s="31" t="str">
        <f>IF(S494="","",IF(T494="","",(1/AC494*(W494/100/2)^(8/3)*(1/AB494*100)^(1/2)*1.65696)*100))</f>
        <v/>
      </c>
      <c r="AE494" s="31" t="str">
        <f>IF(S494="","",IF(T494="","",1/AC494*(W494/100/2)^(2/3)*(1/AB494)^(1/2)*0.70541))</f>
        <v/>
      </c>
      <c r="AF494" s="31" t="str">
        <f>IF(S494="","",IF(T494="","",ROUNDDOWN(AD494/($U$3/8.64),3)))</f>
        <v/>
      </c>
      <c r="AG494" s="32" t="str">
        <f>IF(S494="","",IF(T494="","",ROUNDDOWN(AF494*10000/$AJ$3,0)))</f>
        <v/>
      </c>
      <c r="AH494" s="33" t="str">
        <f t="shared" si="2484"/>
        <v/>
      </c>
      <c r="AI494" s="41" t="str">
        <f>IF(S494="","",Z494)</f>
        <v/>
      </c>
      <c r="AJ494" s="43" t="str">
        <f>IF(S494="","",AI494*$AJ$3/10000)</f>
        <v/>
      </c>
      <c r="AK494" s="33" t="str">
        <f>IF(S494="","",IF(T494="","",IF(AND(T494=1,AE494&gt;1),"NG",IF(AH494="＞","OK","NG"))))</f>
        <v/>
      </c>
    </row>
    <row r="495" spans="1:37" ht="15.75" customHeight="1" x14ac:dyDescent="0.15">
      <c r="A495" s="92"/>
      <c r="B495" s="93"/>
      <c r="C495" s="59"/>
      <c r="D495" s="61"/>
      <c r="E495" s="94"/>
      <c r="F495" s="95"/>
      <c r="G495" s="95"/>
      <c r="H495" s="96"/>
      <c r="I495" s="54"/>
      <c r="J495" s="46"/>
      <c r="K495" s="97"/>
      <c r="L495" s="57"/>
      <c r="M495" s="44"/>
      <c r="N495" s="44"/>
      <c r="O495" s="42"/>
      <c r="P495" s="50"/>
      <c r="Q495" s="42"/>
      <c r="R495" s="52"/>
      <c r="S495" s="98"/>
      <c r="T495" s="99">
        <v>21</v>
      </c>
      <c r="U495" s="34" t="str">
        <f>IF(S494="","",IF(T494=T495,"〃",IF(T495=1,"素焼土管",IF(T495=2,"合成樹脂管",IF(T495=3,"無孔管","")))))</f>
        <v/>
      </c>
      <c r="V495" s="35"/>
      <c r="W495" s="100"/>
      <c r="X495" s="101"/>
      <c r="Y495" s="95"/>
      <c r="Z495" s="42"/>
      <c r="AA495" s="46"/>
      <c r="AB495" s="97"/>
      <c r="AC495" s="36" t="str">
        <f>IF(S494="","",IF(T495=1,0.013,0.012))</f>
        <v/>
      </c>
      <c r="AD495" s="37" t="str">
        <f>IF(S494="","",(1/AC495*(W495/100/2)^(8/3)*(1/AB494*100)^(1/2)*1.65696)*100)</f>
        <v/>
      </c>
      <c r="AE495" s="37" t="str">
        <f>IF(S494="","",1/AC495*(W495/100/2)^(2/3)*(1/AB494)^(1/2)*0.70541)</f>
        <v/>
      </c>
      <c r="AF495" s="37" t="str">
        <f>IF(S494="","",ROUNDDOWN(AD495/($U$3/8.64),3))</f>
        <v/>
      </c>
      <c r="AG495" s="38" t="str">
        <f>IF(S494="","",ROUNDDOWN(AF495*10000/$AJ$3,0))</f>
        <v/>
      </c>
      <c r="AH495" s="39" t="str">
        <f t="shared" ref="AH495" si="2502">IF(S494="","",IF(AG495&gt;AI494,"＞",IF(AG495=AI494,"=","＜")))</f>
        <v/>
      </c>
      <c r="AI495" s="42"/>
      <c r="AJ495" s="44"/>
      <c r="AK495" s="39" t="str">
        <f>IF(S494="","",IF(AND(T495=1,AE495&gt;1),"NG",IF(AH495="＞","OK","NG")))</f>
        <v/>
      </c>
    </row>
    <row r="496" spans="1:37" ht="15.75" customHeight="1" x14ac:dyDescent="0.15">
      <c r="A496" s="80"/>
      <c r="B496" s="81">
        <v>22</v>
      </c>
      <c r="C496" s="58" t="str">
        <f>IF(A496="","",IF(B496=1,"素　焼土　管",IF(B496=2,"合　成樹脂管",IF(B496=3,"無孔管",""))))</f>
        <v/>
      </c>
      <c r="D496" s="60"/>
      <c r="E496" s="82"/>
      <c r="F496" s="83"/>
      <c r="G496" s="83"/>
      <c r="H496" s="84"/>
      <c r="I496" s="53" t="str">
        <f>IF(A496="","",F496-G496+H496)</f>
        <v/>
      </c>
      <c r="J496" s="55" t="str">
        <f>IF(A496="",""," 1/")</f>
        <v/>
      </c>
      <c r="K496" s="85"/>
      <c r="L496" s="56" t="str">
        <f>IF(A496="","",IF(B496=1,0.013,0.012))</f>
        <v/>
      </c>
      <c r="M496" s="47" t="str">
        <f>IF(A496="","",(1/L496*(E496/100/2)^(8/3)*(1/K496*100)^(1/2)*1.65696)*100)</f>
        <v/>
      </c>
      <c r="N496" s="47" t="str">
        <f>IF(A496="","",1/L496*(E496/100/2)^(2/3)*(1/K496)^(1/2)*0.70541)</f>
        <v/>
      </c>
      <c r="O496" s="48" t="str">
        <f>IF(A496="","",ROUNDDOWN(M496/($U$3/8.64)*10000/$AJ$3,0))</f>
        <v/>
      </c>
      <c r="P496" s="49" t="str">
        <f>IF(A496="","",IF(O496&gt;Q496,"＞","＜"))</f>
        <v/>
      </c>
      <c r="Q496" s="48" t="str">
        <f>IF(A496="","",I496)</f>
        <v/>
      </c>
      <c r="R496" s="51" t="str">
        <f>IF(A496="","",IF(P496="＞","OK","NG"))</f>
        <v/>
      </c>
      <c r="S496" s="86"/>
      <c r="T496" s="87"/>
      <c r="U496" s="28" t="str">
        <f>IF(S496="","",IF(T496=1,"素焼土管",IF(T496=2,"合成樹脂管",IF(T496=3,"無孔管",""))))</f>
        <v/>
      </c>
      <c r="V496" s="29"/>
      <c r="W496" s="88"/>
      <c r="X496" s="89"/>
      <c r="Y496" s="90"/>
      <c r="Z496" s="41" t="str">
        <f>IF(S496="","",IF(AND(T497=3,I496=""),Z494+Y496,IF(AND(Z494="",I494=""),I496+Y496,IF(AND(T497=3,I496&gt;0,Z494&gt;0),I496+Z494+Y496,IF(Z494="",I494+I496+X496+Y496,IF(I496="",Z494+X496+Y496,Z494+I496+X496+Y496))))))</f>
        <v/>
      </c>
      <c r="AA496" s="45" t="str">
        <f>IF(AB496="",""," 1/")</f>
        <v/>
      </c>
      <c r="AB496" s="91"/>
      <c r="AC496" s="30" t="str">
        <f>IF(S496="","",IF(T496="","",IF(T496=1,0.013,0.012)))</f>
        <v/>
      </c>
      <c r="AD496" s="31" t="str">
        <f>IF(S496="","",IF(T496="","",(1/AC496*(W496/100/2)^(8/3)*(1/AB496*100)^(1/2)*1.65696)*100))</f>
        <v/>
      </c>
      <c r="AE496" s="31" t="str">
        <f>IF(S496="","",IF(T496="","",1/AC496*(W496/100/2)^(2/3)*(1/AB496)^(1/2)*0.70541))</f>
        <v/>
      </c>
      <c r="AF496" s="31" t="str">
        <f>IF(S496="","",IF(T496="","",ROUNDDOWN(AD496/($U$3/8.64),3)))</f>
        <v/>
      </c>
      <c r="AG496" s="32" t="str">
        <f>IF(S496="","",IF(T496="","",ROUNDDOWN(AF496*10000/$AJ$3,0)))</f>
        <v/>
      </c>
      <c r="AH496" s="33" t="str">
        <f t="shared" si="2484"/>
        <v/>
      </c>
      <c r="AI496" s="41" t="str">
        <f>IF(S496="","",Z496)</f>
        <v/>
      </c>
      <c r="AJ496" s="43" t="str">
        <f>IF(S496="","",AI496*$AJ$3/10000)</f>
        <v/>
      </c>
      <c r="AK496" s="33" t="str">
        <f>IF(S496="","",IF(T496="","",IF(AND(T496=1,AE496&gt;1),"NG",IF(AH496="＞","OK","NG"))))</f>
        <v/>
      </c>
    </row>
    <row r="497" spans="1:37" ht="15.75" customHeight="1" x14ac:dyDescent="0.15">
      <c r="A497" s="92"/>
      <c r="B497" s="93"/>
      <c r="C497" s="59"/>
      <c r="D497" s="61"/>
      <c r="E497" s="94"/>
      <c r="F497" s="95"/>
      <c r="G497" s="95"/>
      <c r="H497" s="96"/>
      <c r="I497" s="54"/>
      <c r="J497" s="46"/>
      <c r="K497" s="97"/>
      <c r="L497" s="57"/>
      <c r="M497" s="44"/>
      <c r="N497" s="44"/>
      <c r="O497" s="42"/>
      <c r="P497" s="50"/>
      <c r="Q497" s="42"/>
      <c r="R497" s="52"/>
      <c r="S497" s="98"/>
      <c r="T497" s="99">
        <v>22</v>
      </c>
      <c r="U497" s="34" t="str">
        <f>IF(S496="","",IF(T496=T497,"〃",IF(T497=1,"素焼土管",IF(T497=2,"合成樹脂管",IF(T497=3,"無孔管","")))))</f>
        <v/>
      </c>
      <c r="V497" s="35"/>
      <c r="W497" s="100"/>
      <c r="X497" s="101"/>
      <c r="Y497" s="95"/>
      <c r="Z497" s="42"/>
      <c r="AA497" s="46"/>
      <c r="AB497" s="97"/>
      <c r="AC497" s="36" t="str">
        <f>IF(S496="","",IF(T497=1,0.013,0.012))</f>
        <v/>
      </c>
      <c r="AD497" s="37" t="str">
        <f>IF(S496="","",(1/AC497*(W497/100/2)^(8/3)*(1/AB496*100)^(1/2)*1.65696)*100)</f>
        <v/>
      </c>
      <c r="AE497" s="37" t="str">
        <f>IF(S496="","",1/AC497*(W497/100/2)^(2/3)*(1/AB496)^(1/2)*0.70541)</f>
        <v/>
      </c>
      <c r="AF497" s="37" t="str">
        <f>IF(S496="","",ROUNDDOWN(AD497/($U$3/8.64),3))</f>
        <v/>
      </c>
      <c r="AG497" s="38" t="str">
        <f>IF(S496="","",ROUNDDOWN(AF497*10000/$AJ$3,0))</f>
        <v/>
      </c>
      <c r="AH497" s="39" t="str">
        <f t="shared" ref="AH497" si="2503">IF(S496="","",IF(AG497&gt;AI496,"＞",IF(AG497=AI496,"=","＜")))</f>
        <v/>
      </c>
      <c r="AI497" s="42"/>
      <c r="AJ497" s="44"/>
      <c r="AK497" s="39" t="str">
        <f>IF(S496="","",IF(AND(T497=1,AE497&gt;1),"NG",IF(AH497="＞","OK","NG")))</f>
        <v/>
      </c>
    </row>
    <row r="498" spans="1:37" ht="15.75" customHeight="1" x14ac:dyDescent="0.15">
      <c r="A498" s="80"/>
      <c r="B498" s="81">
        <v>23</v>
      </c>
      <c r="C498" s="58" t="str">
        <f>IF(A498="","",IF(B498=1,"素　焼土　管",IF(B498=2,"合　成樹脂管",IF(B498=3,"無孔管",""))))</f>
        <v/>
      </c>
      <c r="D498" s="60"/>
      <c r="E498" s="82"/>
      <c r="F498" s="83"/>
      <c r="G498" s="83"/>
      <c r="H498" s="84"/>
      <c r="I498" s="53" t="str">
        <f>IF(A498="","",F498-G498+H498)</f>
        <v/>
      </c>
      <c r="J498" s="55" t="str">
        <f>IF(A498="",""," 1/")</f>
        <v/>
      </c>
      <c r="K498" s="85"/>
      <c r="L498" s="56" t="str">
        <f>IF(A498="","",IF(B498=1,0.013,0.012))</f>
        <v/>
      </c>
      <c r="M498" s="47" t="str">
        <f>IF(A498="","",(1/L498*(E498/100/2)^(8/3)*(1/K498*100)^(1/2)*1.65696)*100)</f>
        <v/>
      </c>
      <c r="N498" s="47" t="str">
        <f>IF(A498="","",1/L498*(E498/100/2)^(2/3)*(1/K498)^(1/2)*0.70541)</f>
        <v/>
      </c>
      <c r="O498" s="48" t="str">
        <f>IF(A498="","",ROUNDDOWN(M498/($U$3/8.64)*10000/$AJ$3,0))</f>
        <v/>
      </c>
      <c r="P498" s="49" t="str">
        <f>IF(A498="","",IF(O498&gt;Q498,"＞","＜"))</f>
        <v/>
      </c>
      <c r="Q498" s="48" t="str">
        <f>IF(A498="","",I498)</f>
        <v/>
      </c>
      <c r="R498" s="51" t="str">
        <f>IF(A498="","",IF(P498="＞","OK","NG"))</f>
        <v/>
      </c>
      <c r="S498" s="86"/>
      <c r="T498" s="87"/>
      <c r="U498" s="28" t="str">
        <f>IF(S498="","",IF(T498=1,"素焼土管",IF(T498=2,"合成樹脂管",IF(T498=3,"無孔管",""))))</f>
        <v/>
      </c>
      <c r="V498" s="29"/>
      <c r="W498" s="88"/>
      <c r="X498" s="89"/>
      <c r="Y498" s="90"/>
      <c r="Z498" s="41" t="str">
        <f>IF(S498="","",IF(AND(T499=3,I498=""),Z496+Y498,IF(AND(Z496="",I496=""),I498+Y498,IF(AND(T499=3,I498&gt;0,Z496&gt;0),I498+Z496+Y498,IF(Z496="",I496+I498+X498+Y498,IF(I498="",Z496+X498+Y498,Z496+I498+X498+Y498))))))</f>
        <v/>
      </c>
      <c r="AA498" s="45" t="str">
        <f>IF(AB498="",""," 1/")</f>
        <v/>
      </c>
      <c r="AB498" s="91"/>
      <c r="AC498" s="30" t="str">
        <f>IF(S498="","",IF(T498="","",IF(T498=1,0.013,0.012)))</f>
        <v/>
      </c>
      <c r="AD498" s="31" t="str">
        <f>IF(S498="","",IF(T498="","",(1/AC498*(W498/100/2)^(8/3)*(1/AB498*100)^(1/2)*1.65696)*100))</f>
        <v/>
      </c>
      <c r="AE498" s="31" t="str">
        <f>IF(S498="","",IF(T498="","",1/AC498*(W498/100/2)^(2/3)*(1/AB498)^(1/2)*0.70541))</f>
        <v/>
      </c>
      <c r="AF498" s="31" t="str">
        <f>IF(S498="","",IF(T498="","",ROUNDDOWN(AD498/($U$3/8.64),3)))</f>
        <v/>
      </c>
      <c r="AG498" s="32" t="str">
        <f>IF(S498="","",IF(T498="","",ROUNDDOWN(AF498*10000/$AJ$3,0)))</f>
        <v/>
      </c>
      <c r="AH498" s="33" t="str">
        <f t="shared" si="2484"/>
        <v/>
      </c>
      <c r="AI498" s="41" t="str">
        <f>IF(S498="","",Z498)</f>
        <v/>
      </c>
      <c r="AJ498" s="43" t="str">
        <f>IF(S498="","",AI498*$AJ$3/10000)</f>
        <v/>
      </c>
      <c r="AK498" s="33" t="str">
        <f>IF(S498="","",IF(T498="","",IF(AND(T498=1,AE498&gt;1),"NG",IF(AH498="＞","OK","NG"))))</f>
        <v/>
      </c>
    </row>
    <row r="499" spans="1:37" ht="15.75" customHeight="1" x14ac:dyDescent="0.15">
      <c r="A499" s="92"/>
      <c r="B499" s="93"/>
      <c r="C499" s="59"/>
      <c r="D499" s="61"/>
      <c r="E499" s="94"/>
      <c r="F499" s="95"/>
      <c r="G499" s="95"/>
      <c r="H499" s="96"/>
      <c r="I499" s="54"/>
      <c r="J499" s="46"/>
      <c r="K499" s="97"/>
      <c r="L499" s="57"/>
      <c r="M499" s="44"/>
      <c r="N499" s="44"/>
      <c r="O499" s="42"/>
      <c r="P499" s="50"/>
      <c r="Q499" s="42"/>
      <c r="R499" s="52"/>
      <c r="S499" s="98"/>
      <c r="T499" s="99">
        <v>23</v>
      </c>
      <c r="U499" s="34" t="str">
        <f>IF(S498="","",IF(T498=T499,"〃",IF(T499=1,"素焼土管",IF(T499=2,"合成樹脂管",IF(T499=3,"無孔管","")))))</f>
        <v/>
      </c>
      <c r="V499" s="35"/>
      <c r="W499" s="100"/>
      <c r="X499" s="101"/>
      <c r="Y499" s="95"/>
      <c r="Z499" s="42"/>
      <c r="AA499" s="46"/>
      <c r="AB499" s="97"/>
      <c r="AC499" s="36" t="str">
        <f>IF(S498="","",IF(T499=1,0.013,0.012))</f>
        <v/>
      </c>
      <c r="AD499" s="37" t="str">
        <f>IF(S498="","",(1/AC499*(W499/100/2)^(8/3)*(1/AB498*100)^(1/2)*1.65696)*100)</f>
        <v/>
      </c>
      <c r="AE499" s="37" t="str">
        <f>IF(S498="","",1/AC499*(W499/100/2)^(2/3)*(1/AB498)^(1/2)*0.70541)</f>
        <v/>
      </c>
      <c r="AF499" s="37" t="str">
        <f>IF(S498="","",ROUNDDOWN(AD499/($U$3/8.64),3))</f>
        <v/>
      </c>
      <c r="AG499" s="38" t="str">
        <f>IF(S498="","",ROUNDDOWN(AF499*10000/$AJ$3,0))</f>
        <v/>
      </c>
      <c r="AH499" s="39" t="str">
        <f t="shared" ref="AH499" si="2504">IF(S498="","",IF(AG499&gt;AI498,"＞",IF(AG499=AI498,"=","＜")))</f>
        <v/>
      </c>
      <c r="AI499" s="42"/>
      <c r="AJ499" s="44"/>
      <c r="AK499" s="39" t="str">
        <f>IF(S498="","",IF(AND(T499=1,AE499&gt;1),"NG",IF(AH499="＞","OK","NG")))</f>
        <v/>
      </c>
    </row>
    <row r="500" spans="1:37" ht="15.75" customHeight="1" x14ac:dyDescent="0.15">
      <c r="A500" s="80"/>
      <c r="B500" s="81">
        <v>24</v>
      </c>
      <c r="C500" s="58" t="str">
        <f>IF(A500="","",IF(B500=1,"素　焼土　管",IF(B500=2,"合　成樹脂管",IF(B500=3,"無孔管",""))))</f>
        <v/>
      </c>
      <c r="D500" s="60"/>
      <c r="E500" s="82"/>
      <c r="F500" s="83"/>
      <c r="G500" s="83"/>
      <c r="H500" s="84"/>
      <c r="I500" s="53" t="str">
        <f>IF(A500="","",F500-G500+H500)</f>
        <v/>
      </c>
      <c r="J500" s="55" t="str">
        <f>IF(A500="",""," 1/")</f>
        <v/>
      </c>
      <c r="K500" s="85"/>
      <c r="L500" s="56" t="str">
        <f>IF(A500="","",IF(B500=1,0.013,0.012))</f>
        <v/>
      </c>
      <c r="M500" s="47" t="str">
        <f>IF(A500="","",(1/L500*(E500/100/2)^(8/3)*(1/K500*100)^(1/2)*1.65696)*100)</f>
        <v/>
      </c>
      <c r="N500" s="47" t="str">
        <f>IF(A500="","",1/L500*(E500/100/2)^(2/3)*(1/K500)^(1/2)*0.70541)</f>
        <v/>
      </c>
      <c r="O500" s="48" t="str">
        <f>IF(A500="","",ROUNDDOWN(M500/($U$3/8.64)*10000/$AJ$3,0))</f>
        <v/>
      </c>
      <c r="P500" s="49" t="str">
        <f>IF(A500="","",IF(O500&gt;Q500,"＞","＜"))</f>
        <v/>
      </c>
      <c r="Q500" s="48" t="str">
        <f>IF(A500="","",I500)</f>
        <v/>
      </c>
      <c r="R500" s="51" t="str">
        <f>IF(A500="","",IF(P500="＞","OK","NG"))</f>
        <v/>
      </c>
      <c r="S500" s="86"/>
      <c r="T500" s="87"/>
      <c r="U500" s="28" t="str">
        <f>IF(S500="","",IF(T500=1,"素焼土管",IF(T500=2,"合成樹脂管",IF(T500=3,"無孔管",""))))</f>
        <v/>
      </c>
      <c r="V500" s="29"/>
      <c r="W500" s="88"/>
      <c r="X500" s="89"/>
      <c r="Y500" s="90"/>
      <c r="Z500" s="41" t="str">
        <f>IF(S500="","",IF(AND(T501=3,I500=""),Z498+Y500,IF(AND(Z498="",I498=""),I500+Y500,IF(AND(T501=3,I500&gt;0,Z498&gt;0),I500+Z498+Y500,IF(Z498="",I498+I500+X500+Y500,IF(I500="",Z498+X500+Y500,Z498+I500+X500+Y500))))))</f>
        <v/>
      </c>
      <c r="AA500" s="45" t="str">
        <f>IF(AB500="",""," 1/")</f>
        <v/>
      </c>
      <c r="AB500" s="91"/>
      <c r="AC500" s="30" t="str">
        <f>IF(S500="","",IF(T500="","",IF(T500=1,0.013,0.012)))</f>
        <v/>
      </c>
      <c r="AD500" s="31" t="str">
        <f>IF(S500="","",IF(T500="","",(1/AC500*(W500/100/2)^(8/3)*(1/AB500*100)^(1/2)*1.65696)*100))</f>
        <v/>
      </c>
      <c r="AE500" s="31" t="str">
        <f>IF(S500="","",IF(T500="","",1/AC500*(W500/100/2)^(2/3)*(1/AB500)^(1/2)*0.70541))</f>
        <v/>
      </c>
      <c r="AF500" s="31" t="str">
        <f>IF(S500="","",IF(T500="","",ROUNDDOWN(AD500/($U$3/8.64),3)))</f>
        <v/>
      </c>
      <c r="AG500" s="32" t="str">
        <f>IF(S500="","",IF(T500="","",ROUNDDOWN(AF500*10000/$AJ$3,0)))</f>
        <v/>
      </c>
      <c r="AH500" s="33" t="str">
        <f t="shared" si="2484"/>
        <v/>
      </c>
      <c r="AI500" s="41" t="str">
        <f>IF(S500="","",Z500)</f>
        <v/>
      </c>
      <c r="AJ500" s="43" t="str">
        <f>IF(S500="","",AI500*$AJ$3/10000)</f>
        <v/>
      </c>
      <c r="AK500" s="33" t="str">
        <f>IF(S500="","",IF(T500="","",IF(AND(T500=1,AE500&gt;1),"NG",IF(AH500="＞","OK","NG"))))</f>
        <v/>
      </c>
    </row>
    <row r="501" spans="1:37" ht="15.75" customHeight="1" x14ac:dyDescent="0.15">
      <c r="A501" s="92"/>
      <c r="B501" s="93"/>
      <c r="C501" s="59"/>
      <c r="D501" s="61"/>
      <c r="E501" s="94"/>
      <c r="F501" s="95"/>
      <c r="G501" s="95"/>
      <c r="H501" s="96"/>
      <c r="I501" s="54"/>
      <c r="J501" s="46"/>
      <c r="K501" s="97"/>
      <c r="L501" s="57"/>
      <c r="M501" s="44"/>
      <c r="N501" s="44"/>
      <c r="O501" s="42"/>
      <c r="P501" s="50"/>
      <c r="Q501" s="42"/>
      <c r="R501" s="52"/>
      <c r="S501" s="98"/>
      <c r="T501" s="99">
        <v>24</v>
      </c>
      <c r="U501" s="34" t="str">
        <f>IF(S500="","",IF(T500=T501,"〃",IF(T501=1,"素焼土管",IF(T501=2,"合成樹脂管",IF(T501=3,"無孔管","")))))</f>
        <v/>
      </c>
      <c r="V501" s="35"/>
      <c r="W501" s="100"/>
      <c r="X501" s="101"/>
      <c r="Y501" s="95"/>
      <c r="Z501" s="42"/>
      <c r="AA501" s="46"/>
      <c r="AB501" s="97"/>
      <c r="AC501" s="36" t="str">
        <f>IF(S500="","",IF(T501=1,0.013,0.012))</f>
        <v/>
      </c>
      <c r="AD501" s="37" t="str">
        <f>IF(S500="","",(1/AC501*(W501/100/2)^(8/3)*(1/AB500*100)^(1/2)*1.65696)*100)</f>
        <v/>
      </c>
      <c r="AE501" s="37" t="str">
        <f>IF(S500="","",1/AC501*(W501/100/2)^(2/3)*(1/AB500)^(1/2)*0.70541)</f>
        <v/>
      </c>
      <c r="AF501" s="37" t="str">
        <f>IF(S500="","",ROUNDDOWN(AD501/($U$3/8.64),3))</f>
        <v/>
      </c>
      <c r="AG501" s="38" t="str">
        <f>IF(S500="","",ROUNDDOWN(AF501*10000/$AJ$3,0))</f>
        <v/>
      </c>
      <c r="AH501" s="39" t="str">
        <f t="shared" ref="AH501" si="2505">IF(S500="","",IF(AG501&gt;AI500,"＞",IF(AG501=AI500,"=","＜")))</f>
        <v/>
      </c>
      <c r="AI501" s="42"/>
      <c r="AJ501" s="44"/>
      <c r="AK501" s="39" t="str">
        <f>IF(S500="","",IF(AND(T501=1,AE501&gt;1),"NG",IF(AH501="＞","OK","NG")))</f>
        <v/>
      </c>
    </row>
    <row r="502" spans="1:37" ht="15.75" customHeight="1" x14ac:dyDescent="0.15">
      <c r="A502" s="80"/>
      <c r="B502" s="81">
        <v>25</v>
      </c>
      <c r="C502" s="58" t="str">
        <f>IF(A502="","",IF(B502=1,"素　焼土　管",IF(B502=2,"合　成樹脂管",IF(B502=3,"無孔管",""))))</f>
        <v/>
      </c>
      <c r="D502" s="60"/>
      <c r="E502" s="82"/>
      <c r="F502" s="83"/>
      <c r="G502" s="83"/>
      <c r="H502" s="84"/>
      <c r="I502" s="53" t="str">
        <f>IF(A502="","",F502-G502+H502)</f>
        <v/>
      </c>
      <c r="J502" s="55" t="str">
        <f>IF(A502="",""," 1/")</f>
        <v/>
      </c>
      <c r="K502" s="85"/>
      <c r="L502" s="56" t="str">
        <f>IF(A502="","",IF(B502=1,0.013,0.012))</f>
        <v/>
      </c>
      <c r="M502" s="47" t="str">
        <f>IF(A502="","",(1/L502*(E502/100/2)^(8/3)*(1/K502*100)^(1/2)*1.65696)*100)</f>
        <v/>
      </c>
      <c r="N502" s="47" t="str">
        <f>IF(A502="","",1/L502*(E502/100/2)^(2/3)*(1/K502)^(1/2)*0.70541)</f>
        <v/>
      </c>
      <c r="O502" s="48" t="str">
        <f>IF(A502="","",ROUNDDOWN(M502/($U$3/8.64)*10000/$AJ$3,0))</f>
        <v/>
      </c>
      <c r="P502" s="49" t="str">
        <f>IF(A502="","",IF(O502&gt;Q502,"＞","＜"))</f>
        <v/>
      </c>
      <c r="Q502" s="48" t="str">
        <f>IF(A502="","",I502)</f>
        <v/>
      </c>
      <c r="R502" s="51" t="str">
        <f>IF(A502="","",IF(P502="＞","OK","NG"))</f>
        <v/>
      </c>
      <c r="S502" s="86"/>
      <c r="T502" s="87"/>
      <c r="U502" s="28" t="str">
        <f>IF(S502="","",IF(T502=1,"素焼土管",IF(T502=2,"合成樹脂管",IF(T502=3,"無孔管",""))))</f>
        <v/>
      </c>
      <c r="V502" s="29"/>
      <c r="W502" s="88"/>
      <c r="X502" s="89"/>
      <c r="Y502" s="90"/>
      <c r="Z502" s="41" t="str">
        <f>IF(S502="","",IF(AND(T503=3,I502=""),Z500+Y502,IF(AND(Z500="",I500=""),I502+Y502,IF(AND(T503=3,I502&gt;0,Z500&gt;0),I502+Z500+Y502,IF(Z500="",I500+I502+X502+Y502,IF(I502="",Z500+X502+Y502,Z500+I502+X502+Y502))))))</f>
        <v/>
      </c>
      <c r="AA502" s="45" t="str">
        <f>IF(AB502="",""," 1/")</f>
        <v/>
      </c>
      <c r="AB502" s="91"/>
      <c r="AC502" s="30" t="str">
        <f>IF(S502="","",IF(T502="","",IF(T502=1,0.013,0.012)))</f>
        <v/>
      </c>
      <c r="AD502" s="31" t="str">
        <f>IF(S502="","",IF(T502="","",(1/AC502*(W502/100/2)^(8/3)*(1/AB502*100)^(1/2)*1.65696)*100))</f>
        <v/>
      </c>
      <c r="AE502" s="31" t="str">
        <f>IF(S502="","",IF(T502="","",1/AC502*(W502/100/2)^(2/3)*(1/AB502)^(1/2)*0.70541))</f>
        <v/>
      </c>
      <c r="AF502" s="31" t="str">
        <f>IF(S502="","",IF(T502="","",ROUNDDOWN(AD502/($U$3/8.64),3)))</f>
        <v/>
      </c>
      <c r="AG502" s="32" t="str">
        <f>IF(S502="","",IF(T502="","",ROUNDDOWN(AF502*10000/$AJ$3,0)))</f>
        <v/>
      </c>
      <c r="AH502" s="33" t="str">
        <f t="shared" si="2484"/>
        <v/>
      </c>
      <c r="AI502" s="41" t="str">
        <f>IF(S502="","",Z502)</f>
        <v/>
      </c>
      <c r="AJ502" s="43" t="str">
        <f>IF(S502="","",AI502*$AJ$3/10000)</f>
        <v/>
      </c>
      <c r="AK502" s="33" t="str">
        <f>IF(S502="","",IF(T502="","",IF(AND(T502=1,AE502&gt;1),"NG",IF(AH502="＞","OK","NG"))))</f>
        <v/>
      </c>
    </row>
    <row r="503" spans="1:37" ht="15.75" customHeight="1" x14ac:dyDescent="0.15">
      <c r="A503" s="92"/>
      <c r="B503" s="93"/>
      <c r="C503" s="59"/>
      <c r="D503" s="61"/>
      <c r="E503" s="94"/>
      <c r="F503" s="95"/>
      <c r="G503" s="95"/>
      <c r="H503" s="96"/>
      <c r="I503" s="54"/>
      <c r="J503" s="46"/>
      <c r="K503" s="97"/>
      <c r="L503" s="57"/>
      <c r="M503" s="44"/>
      <c r="N503" s="44"/>
      <c r="O503" s="42"/>
      <c r="P503" s="50"/>
      <c r="Q503" s="42"/>
      <c r="R503" s="52"/>
      <c r="S503" s="98"/>
      <c r="T503" s="99">
        <v>25</v>
      </c>
      <c r="U503" s="34" t="str">
        <f>IF(S502="","",IF(T502=T503,"〃",IF(T503=1,"素焼土管",IF(T503=2,"合成樹脂管",IF(T503=3,"無孔管","")))))</f>
        <v/>
      </c>
      <c r="V503" s="35"/>
      <c r="W503" s="100"/>
      <c r="X503" s="101"/>
      <c r="Y503" s="95"/>
      <c r="Z503" s="42"/>
      <c r="AA503" s="46"/>
      <c r="AB503" s="97"/>
      <c r="AC503" s="36" t="str">
        <f>IF(S502="","",IF(T503=1,0.013,0.012))</f>
        <v/>
      </c>
      <c r="AD503" s="37" t="str">
        <f>IF(S502="","",(1/AC503*(W503/100/2)^(8/3)*(1/AB502*100)^(1/2)*1.65696)*100)</f>
        <v/>
      </c>
      <c r="AE503" s="37" t="str">
        <f>IF(S502="","",1/AC503*(W503/100/2)^(2/3)*(1/AB502)^(1/2)*0.70541)</f>
        <v/>
      </c>
      <c r="AF503" s="37" t="str">
        <f>IF(S502="","",ROUNDDOWN(AD503/($U$3/8.64),3))</f>
        <v/>
      </c>
      <c r="AG503" s="38" t="str">
        <f>IF(S502="","",ROUNDDOWN(AF503*10000/$AJ$3,0))</f>
        <v/>
      </c>
      <c r="AH503" s="39" t="str">
        <f t="shared" ref="AH503" si="2506">IF(S502="","",IF(AG503&gt;AI502,"＞",IF(AG503=AI502,"=","＜")))</f>
        <v/>
      </c>
      <c r="AI503" s="42"/>
      <c r="AJ503" s="44"/>
      <c r="AK503" s="39" t="str">
        <f>IF(S502="","",IF(AND(T503=1,AE503&gt;1),"NG",IF(AH503="＞","OK","NG")))</f>
        <v/>
      </c>
    </row>
    <row r="504" spans="1:37" ht="15.75" customHeight="1" x14ac:dyDescent="0.15">
      <c r="A504" s="80"/>
      <c r="B504" s="81">
        <v>26</v>
      </c>
      <c r="C504" s="58" t="str">
        <f>IF(A504="","",IF(B504=1,"素　焼土　管",IF(B504=2,"合　成樹脂管",IF(B504=3,"無孔管",""))))</f>
        <v/>
      </c>
      <c r="D504" s="60"/>
      <c r="E504" s="82"/>
      <c r="F504" s="83"/>
      <c r="G504" s="83"/>
      <c r="H504" s="84"/>
      <c r="I504" s="53" t="str">
        <f>IF(A504="","",F504-G504+H504)</f>
        <v/>
      </c>
      <c r="J504" s="55" t="str">
        <f>IF(A504="",""," 1/")</f>
        <v/>
      </c>
      <c r="K504" s="85"/>
      <c r="L504" s="56" t="str">
        <f>IF(A504="","",IF(B504=1,0.013,0.012))</f>
        <v/>
      </c>
      <c r="M504" s="47" t="str">
        <f>IF(A504="","",(1/L504*(E504/100/2)^(8/3)*(1/K504*100)^(1/2)*1.65696)*100)</f>
        <v/>
      </c>
      <c r="N504" s="47" t="str">
        <f>IF(A504="","",1/L504*(E504/100/2)^(2/3)*(1/K504)^(1/2)*0.70541)</f>
        <v/>
      </c>
      <c r="O504" s="48" t="str">
        <f>IF(A504="","",ROUNDDOWN(M504/($U$3/8.64)*10000/$AJ$3,0))</f>
        <v/>
      </c>
      <c r="P504" s="49" t="str">
        <f>IF(A504="","",IF(O504&gt;Q504,"＞","＜"))</f>
        <v/>
      </c>
      <c r="Q504" s="48" t="str">
        <f>IF(A504="","",I504)</f>
        <v/>
      </c>
      <c r="R504" s="51" t="str">
        <f>IF(A504="","",IF(P504="＞","OK","NG"))</f>
        <v/>
      </c>
      <c r="S504" s="86"/>
      <c r="T504" s="87"/>
      <c r="U504" s="28" t="str">
        <f>IF(S504="","",IF(T504=1,"素焼土管",IF(T504=2,"合成樹脂管",IF(T504=3,"無孔管",""))))</f>
        <v/>
      </c>
      <c r="V504" s="29"/>
      <c r="W504" s="88"/>
      <c r="X504" s="89"/>
      <c r="Y504" s="90"/>
      <c r="Z504" s="41" t="str">
        <f>IF(S504="","",IF(AND(T505=3,I504=""),Z502+Y504,IF(AND(Z502="",I502=""),I504+Y504,IF(AND(T505=3,I504&gt;0,Z502&gt;0),I504+Z502+Y504,IF(Z502="",I502+I504+X504+Y504,IF(I504="",Z502+X504+Y504,Z502+I504+X504+Y504))))))</f>
        <v/>
      </c>
      <c r="AA504" s="45" t="str">
        <f>IF(AB504="",""," 1/")</f>
        <v/>
      </c>
      <c r="AB504" s="91"/>
      <c r="AC504" s="30" t="str">
        <f>IF(S504="","",IF(T504="","",IF(T504=1,0.013,0.012)))</f>
        <v/>
      </c>
      <c r="AD504" s="31" t="str">
        <f>IF(S504="","",IF(T504="","",(1/AC504*(W504/100/2)^(8/3)*(1/AB504*100)^(1/2)*1.65696)*100))</f>
        <v/>
      </c>
      <c r="AE504" s="31" t="str">
        <f>IF(S504="","",IF(T504="","",1/AC504*(W504/100/2)^(2/3)*(1/AB504)^(1/2)*0.70541))</f>
        <v/>
      </c>
      <c r="AF504" s="31" t="str">
        <f>IF(S504="","",IF(T504="","",ROUNDDOWN(AD504/($U$3/8.64),3)))</f>
        <v/>
      </c>
      <c r="AG504" s="32" t="str">
        <f>IF(S504="","",IF(T504="","",ROUNDDOWN(AF504*10000/$AJ$3,0)))</f>
        <v/>
      </c>
      <c r="AH504" s="33" t="str">
        <f t="shared" si="2484"/>
        <v/>
      </c>
      <c r="AI504" s="41" t="str">
        <f>IF(S504="","",Z504)</f>
        <v/>
      </c>
      <c r="AJ504" s="43" t="str">
        <f>IF(S504="","",AI504*$AJ$3/10000)</f>
        <v/>
      </c>
      <c r="AK504" s="33" t="str">
        <f>IF(S504="","",IF(T504="","",IF(AND(T504=1,AE504&gt;1),"NG",IF(AH504="＞","OK","NG"))))</f>
        <v/>
      </c>
    </row>
    <row r="505" spans="1:37" ht="15.75" customHeight="1" x14ac:dyDescent="0.15">
      <c r="A505" s="92"/>
      <c r="B505" s="93"/>
      <c r="C505" s="59"/>
      <c r="D505" s="61"/>
      <c r="E505" s="94"/>
      <c r="F505" s="95"/>
      <c r="G505" s="95"/>
      <c r="H505" s="96"/>
      <c r="I505" s="54"/>
      <c r="J505" s="46"/>
      <c r="K505" s="97"/>
      <c r="L505" s="57"/>
      <c r="M505" s="44"/>
      <c r="N505" s="44"/>
      <c r="O505" s="42"/>
      <c r="P505" s="50"/>
      <c r="Q505" s="42"/>
      <c r="R505" s="52"/>
      <c r="S505" s="98"/>
      <c r="T505" s="99">
        <v>26</v>
      </c>
      <c r="U505" s="34" t="str">
        <f>IF(S504="","",IF(T504=T505,"〃",IF(T505=1,"素焼土管",IF(T505=2,"合成樹脂管",IF(T505=3,"無孔管","")))))</f>
        <v/>
      </c>
      <c r="V505" s="35"/>
      <c r="W505" s="100"/>
      <c r="X505" s="101"/>
      <c r="Y505" s="95"/>
      <c r="Z505" s="42"/>
      <c r="AA505" s="46"/>
      <c r="AB505" s="97"/>
      <c r="AC505" s="36" t="str">
        <f>IF(S504="","",IF(T505=1,0.013,0.012))</f>
        <v/>
      </c>
      <c r="AD505" s="37" t="str">
        <f>IF(S504="","",(1/AC505*(W505/100/2)^(8/3)*(1/AB504*100)^(1/2)*1.65696)*100)</f>
        <v/>
      </c>
      <c r="AE505" s="37" t="str">
        <f>IF(S504="","",1/AC505*(W505/100/2)^(2/3)*(1/AB504)^(1/2)*0.70541)</f>
        <v/>
      </c>
      <c r="AF505" s="37" t="str">
        <f>IF(S504="","",ROUNDDOWN(AD505/($U$3/8.64),3))</f>
        <v/>
      </c>
      <c r="AG505" s="38" t="str">
        <f>IF(S504="","",ROUNDDOWN(AF505*10000/$AJ$3,0))</f>
        <v/>
      </c>
      <c r="AH505" s="39" t="str">
        <f t="shared" ref="AH505" si="2507">IF(S504="","",IF(AG505&gt;AI504,"＞",IF(AG505=AI504,"=","＜")))</f>
        <v/>
      </c>
      <c r="AI505" s="42"/>
      <c r="AJ505" s="44"/>
      <c r="AK505" s="39" t="str">
        <f>IF(S504="","",IF(AND(T505=1,AE505&gt;1),"NG",IF(AH505="＞","OK","NG")))</f>
        <v/>
      </c>
    </row>
    <row r="506" spans="1:37" ht="15.75" customHeight="1" x14ac:dyDescent="0.15">
      <c r="A506" s="80"/>
      <c r="B506" s="81">
        <v>27</v>
      </c>
      <c r="C506" s="58" t="str">
        <f>IF(A506="","",IF(B506=1,"素　焼土　管",IF(B506=2,"合　成樹脂管",IF(B506=3,"無孔管",""))))</f>
        <v/>
      </c>
      <c r="D506" s="60"/>
      <c r="E506" s="82"/>
      <c r="F506" s="83"/>
      <c r="G506" s="83"/>
      <c r="H506" s="84"/>
      <c r="I506" s="53" t="str">
        <f>IF(A506="","",F506-G506+H506)</f>
        <v/>
      </c>
      <c r="J506" s="55" t="str">
        <f>IF(A506="",""," 1/")</f>
        <v/>
      </c>
      <c r="K506" s="85"/>
      <c r="L506" s="56" t="str">
        <f>IF(A506="","",IF(B506=1,0.013,0.012))</f>
        <v/>
      </c>
      <c r="M506" s="47" t="str">
        <f>IF(A506="","",(1/L506*(E506/100/2)^(8/3)*(1/K506*100)^(1/2)*1.65696)*100)</f>
        <v/>
      </c>
      <c r="N506" s="47" t="str">
        <f>IF(A506="","",1/L506*(E506/100/2)^(2/3)*(1/K506)^(1/2)*0.70541)</f>
        <v/>
      </c>
      <c r="O506" s="48" t="str">
        <f>IF(A506="","",ROUNDDOWN(M506/($U$3/8.64)*10000/$AJ$3,0))</f>
        <v/>
      </c>
      <c r="P506" s="49" t="str">
        <f>IF(A506="","",IF(O506&gt;Q506,"＞","＜"))</f>
        <v/>
      </c>
      <c r="Q506" s="48" t="str">
        <f>IF(A506="","",I506)</f>
        <v/>
      </c>
      <c r="R506" s="51" t="str">
        <f>IF(A506="","",IF(P506="＞","OK","NG"))</f>
        <v/>
      </c>
      <c r="S506" s="86"/>
      <c r="T506" s="87"/>
      <c r="U506" s="28" t="str">
        <f>IF(S506="","",IF(T506=1,"素焼土管",IF(T506=2,"合成樹脂管",IF(T506=3,"無孔管",""))))</f>
        <v/>
      </c>
      <c r="V506" s="29"/>
      <c r="W506" s="88"/>
      <c r="X506" s="89"/>
      <c r="Y506" s="90"/>
      <c r="Z506" s="41" t="str">
        <f>IF(S506="","",IF(AND(T507=3,I506=""),Z504+Y506,IF(AND(Z504="",I504=""),I506+Y506,IF(AND(T507=3,I506&gt;0,Z504&gt;0),I506+Z504+Y506,IF(Z504="",I504+I506+X506+Y506,IF(I506="",Z504+X506+Y506,Z504+I506+X506+Y506))))))</f>
        <v/>
      </c>
      <c r="AA506" s="45" t="str">
        <f>IF(AB506="",""," 1/")</f>
        <v/>
      </c>
      <c r="AB506" s="91"/>
      <c r="AC506" s="30" t="str">
        <f>IF(S506="","",IF(T506="","",IF(T506=1,0.013,0.012)))</f>
        <v/>
      </c>
      <c r="AD506" s="31" t="str">
        <f>IF(S506="","",IF(T506="","",(1/AC506*(W506/100/2)^(8/3)*(1/AB506*100)^(1/2)*1.65696)*100))</f>
        <v/>
      </c>
      <c r="AE506" s="31" t="str">
        <f>IF(S506="","",IF(T506="","",1/AC506*(W506/100/2)^(2/3)*(1/AB506)^(1/2)*0.70541))</f>
        <v/>
      </c>
      <c r="AF506" s="31" t="str">
        <f>IF(S506="","",IF(T506="","",ROUNDDOWN(AD506/($U$3/8.64),3)))</f>
        <v/>
      </c>
      <c r="AG506" s="32" t="str">
        <f>IF(S506="","",IF(T506="","",ROUNDDOWN(AF506*10000/$AJ$3,0)))</f>
        <v/>
      </c>
      <c r="AH506" s="33" t="str">
        <f t="shared" si="2484"/>
        <v/>
      </c>
      <c r="AI506" s="41" t="str">
        <f>IF(S506="","",Z506)</f>
        <v/>
      </c>
      <c r="AJ506" s="43" t="str">
        <f>IF(S506="","",AI506*$AJ$3/10000)</f>
        <v/>
      </c>
      <c r="AK506" s="33" t="str">
        <f>IF(S506="","",IF(T506="","",IF(AND(T506=1,AE506&gt;1),"NG",IF(AH506="＞","OK","NG"))))</f>
        <v/>
      </c>
    </row>
    <row r="507" spans="1:37" ht="15.75" customHeight="1" x14ac:dyDescent="0.15">
      <c r="A507" s="92"/>
      <c r="B507" s="93"/>
      <c r="C507" s="59"/>
      <c r="D507" s="61"/>
      <c r="E507" s="94"/>
      <c r="F507" s="95"/>
      <c r="G507" s="95"/>
      <c r="H507" s="96"/>
      <c r="I507" s="54"/>
      <c r="J507" s="46"/>
      <c r="K507" s="97"/>
      <c r="L507" s="57"/>
      <c r="M507" s="44"/>
      <c r="N507" s="44"/>
      <c r="O507" s="42"/>
      <c r="P507" s="50"/>
      <c r="Q507" s="42"/>
      <c r="R507" s="52"/>
      <c r="S507" s="98"/>
      <c r="T507" s="99">
        <v>27</v>
      </c>
      <c r="U507" s="34" t="str">
        <f>IF(S506="","",IF(T506=T507,"〃",IF(T507=1,"素焼土管",IF(T507=2,"合成樹脂管",IF(T507=3,"無孔管","")))))</f>
        <v/>
      </c>
      <c r="V507" s="35"/>
      <c r="W507" s="100"/>
      <c r="X507" s="101"/>
      <c r="Y507" s="95"/>
      <c r="Z507" s="42"/>
      <c r="AA507" s="46"/>
      <c r="AB507" s="97"/>
      <c r="AC507" s="36" t="str">
        <f>IF(S506="","",IF(T507=1,0.013,0.012))</f>
        <v/>
      </c>
      <c r="AD507" s="37" t="str">
        <f>IF(S506="","",(1/AC507*(W507/100/2)^(8/3)*(1/AB506*100)^(1/2)*1.65696)*100)</f>
        <v/>
      </c>
      <c r="AE507" s="37" t="str">
        <f>IF(S506="","",1/AC507*(W507/100/2)^(2/3)*(1/AB506)^(1/2)*0.70541)</f>
        <v/>
      </c>
      <c r="AF507" s="37" t="str">
        <f>IF(S506="","",ROUNDDOWN(AD507/($U$3/8.64),3))</f>
        <v/>
      </c>
      <c r="AG507" s="38" t="str">
        <f>IF(S506="","",ROUNDDOWN(AF507*10000/$AJ$3,0))</f>
        <v/>
      </c>
      <c r="AH507" s="39" t="str">
        <f t="shared" ref="AH507" si="2508">IF(S506="","",IF(AG507&gt;AI506,"＞",IF(AG507=AI506,"=","＜")))</f>
        <v/>
      </c>
      <c r="AI507" s="42"/>
      <c r="AJ507" s="44"/>
      <c r="AK507" s="39" t="str">
        <f>IF(S506="","",IF(AND(T507=1,AE507&gt;1),"NG",IF(AH507="＞","OK","NG")))</f>
        <v/>
      </c>
    </row>
    <row r="508" spans="1:37" ht="15.75" customHeight="1" x14ac:dyDescent="0.15">
      <c r="A508" s="80"/>
      <c r="B508" s="81">
        <v>28</v>
      </c>
      <c r="C508" s="58" t="str">
        <f>IF(A508="","",IF(B508=1,"素　焼土　管",IF(B508=2,"合　成樹脂管",IF(B508=3,"無孔管",""))))</f>
        <v/>
      </c>
      <c r="D508" s="60"/>
      <c r="E508" s="82"/>
      <c r="F508" s="83"/>
      <c r="G508" s="83"/>
      <c r="H508" s="84"/>
      <c r="I508" s="53" t="str">
        <f>IF(A508="","",F508-G508+H508)</f>
        <v/>
      </c>
      <c r="J508" s="55" t="str">
        <f>IF(A508="",""," 1/")</f>
        <v/>
      </c>
      <c r="K508" s="85"/>
      <c r="L508" s="56" t="str">
        <f>IF(A508="","",IF(B508=1,0.013,0.012))</f>
        <v/>
      </c>
      <c r="M508" s="47" t="str">
        <f>IF(A508="","",(1/L508*(E508/100/2)^(8/3)*(1/K508*100)^(1/2)*1.65696)*100)</f>
        <v/>
      </c>
      <c r="N508" s="47" t="str">
        <f>IF(A508="","",1/L508*(E508/100/2)^(2/3)*(1/K508)^(1/2)*0.70541)</f>
        <v/>
      </c>
      <c r="O508" s="48" t="str">
        <f>IF(A508="","",ROUNDDOWN(M508/($U$3/8.64)*10000/$AJ$3,0))</f>
        <v/>
      </c>
      <c r="P508" s="49" t="str">
        <f>IF(A508="","",IF(O508&gt;Q508,"＞","＜"))</f>
        <v/>
      </c>
      <c r="Q508" s="48" t="str">
        <f>IF(A508="","",I508)</f>
        <v/>
      </c>
      <c r="R508" s="51" t="str">
        <f>IF(A508="","",IF(P508="＞","OK","NG"))</f>
        <v/>
      </c>
      <c r="S508" s="86"/>
      <c r="T508" s="87"/>
      <c r="U508" s="28" t="str">
        <f>IF(S508="","",IF(T508=1,"素焼土管",IF(T508=2,"合成樹脂管",IF(T508=3,"無孔管",""))))</f>
        <v/>
      </c>
      <c r="V508" s="29"/>
      <c r="W508" s="88"/>
      <c r="X508" s="89"/>
      <c r="Y508" s="90"/>
      <c r="Z508" s="41" t="str">
        <f>IF(S508="","",IF(AND(T509=3,I508=""),Z506+Y508,IF(AND(Z506="",I506=""),I508+Y508,IF(AND(T509=3,I508&gt;0,Z506&gt;0),I508+Z506+Y508,IF(Z506="",I506+I508+X508+Y508,IF(I508="",Z506+X508+Y508,Z506+I508+X508+Y508))))))</f>
        <v/>
      </c>
      <c r="AA508" s="45" t="str">
        <f>IF(AB508="",""," 1/")</f>
        <v/>
      </c>
      <c r="AB508" s="91"/>
      <c r="AC508" s="30" t="str">
        <f>IF(S508="","",IF(T508="","",IF(T508=1,0.013,0.012)))</f>
        <v/>
      </c>
      <c r="AD508" s="31" t="str">
        <f>IF(S508="","",IF(T508="","",(1/AC508*(W508/100/2)^(8/3)*(1/AB508*100)^(1/2)*1.65696)*100))</f>
        <v/>
      </c>
      <c r="AE508" s="31" t="str">
        <f>IF(S508="","",IF(T508="","",1/AC508*(W508/100/2)^(2/3)*(1/AB508)^(1/2)*0.70541))</f>
        <v/>
      </c>
      <c r="AF508" s="31" t="str">
        <f>IF(S508="","",IF(T508="","",ROUNDDOWN(AD508/($U$3/8.64),3)))</f>
        <v/>
      </c>
      <c r="AG508" s="32" t="str">
        <f>IF(S508="","",IF(T508="","",ROUNDDOWN(AF508*10000/$AJ$3,0)))</f>
        <v/>
      </c>
      <c r="AH508" s="33" t="str">
        <f t="shared" si="2484"/>
        <v/>
      </c>
      <c r="AI508" s="41" t="str">
        <f>IF(S508="","",Z508)</f>
        <v/>
      </c>
      <c r="AJ508" s="43" t="str">
        <f>IF(S508="","",AI508*$AJ$3/10000)</f>
        <v/>
      </c>
      <c r="AK508" s="33" t="str">
        <f>IF(S508="","",IF(T508="","",IF(AND(T508=1,AE508&gt;1),"NG",IF(AH508="＞","OK","NG"))))</f>
        <v/>
      </c>
    </row>
    <row r="509" spans="1:37" ht="15.75" customHeight="1" x14ac:dyDescent="0.15">
      <c r="A509" s="92"/>
      <c r="B509" s="93"/>
      <c r="C509" s="59"/>
      <c r="D509" s="61"/>
      <c r="E509" s="94"/>
      <c r="F509" s="95"/>
      <c r="G509" s="95"/>
      <c r="H509" s="96"/>
      <c r="I509" s="54"/>
      <c r="J509" s="46"/>
      <c r="K509" s="97"/>
      <c r="L509" s="57"/>
      <c r="M509" s="44"/>
      <c r="N509" s="44"/>
      <c r="O509" s="42"/>
      <c r="P509" s="50"/>
      <c r="Q509" s="42"/>
      <c r="R509" s="52"/>
      <c r="S509" s="98"/>
      <c r="T509" s="99">
        <v>28</v>
      </c>
      <c r="U509" s="34" t="str">
        <f>IF(S508="","",IF(T508=T509,"〃",IF(T509=1,"素焼土管",IF(T509=2,"合成樹脂管",IF(T509=3,"無孔管","")))))</f>
        <v/>
      </c>
      <c r="V509" s="35"/>
      <c r="W509" s="100"/>
      <c r="X509" s="101"/>
      <c r="Y509" s="95"/>
      <c r="Z509" s="42"/>
      <c r="AA509" s="46"/>
      <c r="AB509" s="97"/>
      <c r="AC509" s="36" t="str">
        <f>IF(S508="","",IF(T509=1,0.013,0.012))</f>
        <v/>
      </c>
      <c r="AD509" s="37" t="str">
        <f>IF(S508="","",(1/AC509*(W509/100/2)^(8/3)*(1/AB508*100)^(1/2)*1.65696)*100)</f>
        <v/>
      </c>
      <c r="AE509" s="37" t="str">
        <f>IF(S508="","",1/AC509*(W509/100/2)^(2/3)*(1/AB508)^(1/2)*0.70541)</f>
        <v/>
      </c>
      <c r="AF509" s="37" t="str">
        <f>IF(S508="","",ROUNDDOWN(AD509/($U$3/8.64),3))</f>
        <v/>
      </c>
      <c r="AG509" s="38" t="str">
        <f>IF(S508="","",ROUNDDOWN(AF509*10000/$AJ$3,0))</f>
        <v/>
      </c>
      <c r="AH509" s="39" t="str">
        <f t="shared" ref="AH509" si="2509">IF(S508="","",IF(AG509&gt;AI508,"＞",IF(AG509=AI508,"=","＜")))</f>
        <v/>
      </c>
      <c r="AI509" s="42"/>
      <c r="AJ509" s="44"/>
      <c r="AK509" s="39" t="str">
        <f>IF(S508="","",IF(AND(T509=1,AE509&gt;1),"NG",IF(AH509="＞","OK","NG")))</f>
        <v/>
      </c>
    </row>
    <row r="510" spans="1:37" ht="15.75" customHeight="1" x14ac:dyDescent="0.15">
      <c r="A510" s="80"/>
      <c r="B510" s="81">
        <v>29</v>
      </c>
      <c r="C510" s="58" t="str">
        <f>IF(A510="","",IF(B510=1,"素　焼土　管",IF(B510=2,"合　成樹脂管",IF(B510=3,"無孔管",""))))</f>
        <v/>
      </c>
      <c r="D510" s="60"/>
      <c r="E510" s="82"/>
      <c r="F510" s="83"/>
      <c r="G510" s="83"/>
      <c r="H510" s="84"/>
      <c r="I510" s="53" t="str">
        <f>IF(A510="","",F510-G510+H510)</f>
        <v/>
      </c>
      <c r="J510" s="55" t="str">
        <f>IF(A510="",""," 1/")</f>
        <v/>
      </c>
      <c r="K510" s="85"/>
      <c r="L510" s="56" t="str">
        <f>IF(A510="","",IF(B510=1,0.013,0.012))</f>
        <v/>
      </c>
      <c r="M510" s="47" t="str">
        <f>IF(A510="","",(1/L510*(E510/100/2)^(8/3)*(1/K510*100)^(1/2)*1.65696)*100)</f>
        <v/>
      </c>
      <c r="N510" s="47" t="str">
        <f>IF(A510="","",1/L510*(E510/100/2)^(2/3)*(1/K510)^(1/2)*0.70541)</f>
        <v/>
      </c>
      <c r="O510" s="48" t="str">
        <f>IF(A510="","",ROUNDDOWN(M510/($U$3/8.64)*10000/$AJ$3,0))</f>
        <v/>
      </c>
      <c r="P510" s="49" t="str">
        <f>IF(A510="","",IF(O510&gt;Q510,"＞","＜"))</f>
        <v/>
      </c>
      <c r="Q510" s="48" t="str">
        <f>IF(A510="","",I510)</f>
        <v/>
      </c>
      <c r="R510" s="51" t="str">
        <f>IF(A510="","",IF(P510="＞","OK","NG"))</f>
        <v/>
      </c>
      <c r="S510" s="86"/>
      <c r="T510" s="87"/>
      <c r="U510" s="28" t="str">
        <f>IF(S510="","",IF(T510=1,"素焼土管",IF(T510=2,"合成樹脂管",IF(T510=3,"無孔管",""))))</f>
        <v/>
      </c>
      <c r="V510" s="29"/>
      <c r="W510" s="88"/>
      <c r="X510" s="89"/>
      <c r="Y510" s="90"/>
      <c r="Z510" s="41" t="str">
        <f>IF(S510="","",IF(AND(T511=3,I510=""),Z508+Y510,IF(AND(Z508="",I508=""),I510+Y510,IF(AND(T511=3,I510&gt;0,Z508&gt;0),I510+Z508+Y510,IF(Z508="",I508+I510+X510+Y510,IF(I510="",Z508+X510+Y510,Z508+I510+X510+Y510))))))</f>
        <v/>
      </c>
      <c r="AA510" s="45" t="str">
        <f>IF(AB510="",""," 1/")</f>
        <v/>
      </c>
      <c r="AB510" s="91"/>
      <c r="AC510" s="30" t="str">
        <f>IF(S510="","",IF(T510="","",IF(T510=1,0.013,0.012)))</f>
        <v/>
      </c>
      <c r="AD510" s="31" t="str">
        <f>IF(S510="","",IF(T510="","",(1/AC510*(W510/100/2)^(8/3)*(1/AB510*100)^(1/2)*1.65696)*100))</f>
        <v/>
      </c>
      <c r="AE510" s="31" t="str">
        <f>IF(S510="","",IF(T510="","",1/AC510*(W510/100/2)^(2/3)*(1/AB510)^(1/2)*0.70541))</f>
        <v/>
      </c>
      <c r="AF510" s="31" t="str">
        <f>IF(S510="","",IF(T510="","",ROUNDDOWN(AD510/($U$3/8.64),3)))</f>
        <v/>
      </c>
      <c r="AG510" s="32" t="str">
        <f>IF(S510="","",IF(T510="","",ROUNDDOWN(AF510*10000/$AJ$3,0)))</f>
        <v/>
      </c>
      <c r="AH510" s="33" t="str">
        <f t="shared" si="2484"/>
        <v/>
      </c>
      <c r="AI510" s="41" t="str">
        <f>IF(S510="","",Z510)</f>
        <v/>
      </c>
      <c r="AJ510" s="43" t="str">
        <f>IF(S510="","",AI510*$AJ$3/10000)</f>
        <v/>
      </c>
      <c r="AK510" s="33" t="str">
        <f>IF(S510="","",IF(T510="","",IF(AND(T510=1,AE510&gt;1),"NG",IF(AH510="＞","OK","NG"))))</f>
        <v/>
      </c>
    </row>
    <row r="511" spans="1:37" ht="15.75" customHeight="1" x14ac:dyDescent="0.15">
      <c r="A511" s="92"/>
      <c r="B511" s="93"/>
      <c r="C511" s="59"/>
      <c r="D511" s="61"/>
      <c r="E511" s="94"/>
      <c r="F511" s="95"/>
      <c r="G511" s="95"/>
      <c r="H511" s="96"/>
      <c r="I511" s="54"/>
      <c r="J511" s="46"/>
      <c r="K511" s="97"/>
      <c r="L511" s="57"/>
      <c r="M511" s="44"/>
      <c r="N511" s="44"/>
      <c r="O511" s="42"/>
      <c r="P511" s="50"/>
      <c r="Q511" s="42"/>
      <c r="R511" s="52"/>
      <c r="S511" s="98"/>
      <c r="T511" s="99">
        <v>29</v>
      </c>
      <c r="U511" s="34" t="str">
        <f>IF(S510="","",IF(T510=T511,"〃",IF(T511=1,"素焼土管",IF(T511=2,"合成樹脂管",IF(T511=3,"無孔管","")))))</f>
        <v/>
      </c>
      <c r="V511" s="35"/>
      <c r="W511" s="100"/>
      <c r="X511" s="101"/>
      <c r="Y511" s="95"/>
      <c r="Z511" s="42"/>
      <c r="AA511" s="46"/>
      <c r="AB511" s="97"/>
      <c r="AC511" s="36" t="str">
        <f>IF(S510="","",IF(T511=1,0.013,0.012))</f>
        <v/>
      </c>
      <c r="AD511" s="37" t="str">
        <f>IF(S510="","",(1/AC511*(W511/100/2)^(8/3)*(1/AB510*100)^(1/2)*1.65696)*100)</f>
        <v/>
      </c>
      <c r="AE511" s="37" t="str">
        <f>IF(S510="","",1/AC511*(W511/100/2)^(2/3)*(1/AB510)^(1/2)*0.70541)</f>
        <v/>
      </c>
      <c r="AF511" s="37" t="str">
        <f>IF(S510="","",ROUNDDOWN(AD511/($U$3/8.64),3))</f>
        <v/>
      </c>
      <c r="AG511" s="38" t="str">
        <f>IF(S510="","",ROUNDDOWN(AF511*10000/$AJ$3,0))</f>
        <v/>
      </c>
      <c r="AH511" s="39" t="str">
        <f t="shared" ref="AH511" si="2510">IF(S510="","",IF(AG511&gt;AI510,"＞",IF(AG511=AI510,"=","＜")))</f>
        <v/>
      </c>
      <c r="AI511" s="42"/>
      <c r="AJ511" s="44"/>
      <c r="AK511" s="39" t="str">
        <f>IF(S510="","",IF(AND(T511=1,AE511&gt;1),"NG",IF(AH511="＞","OK","NG")))</f>
        <v/>
      </c>
    </row>
    <row r="512" spans="1:37" ht="15.75" customHeight="1" x14ac:dyDescent="0.15">
      <c r="A512" s="80"/>
      <c r="B512" s="81">
        <v>30</v>
      </c>
      <c r="C512" s="58" t="str">
        <f>IF(A512="","",IF(B512=1,"素　焼土　管",IF(B512=2,"合　成樹脂管",IF(B512=3,"無孔管",""))))</f>
        <v/>
      </c>
      <c r="D512" s="60"/>
      <c r="E512" s="82"/>
      <c r="F512" s="83"/>
      <c r="G512" s="83"/>
      <c r="H512" s="84"/>
      <c r="I512" s="53" t="str">
        <f>IF(A512="","",F512-G512+H512)</f>
        <v/>
      </c>
      <c r="J512" s="55" t="str">
        <f>IF(A512="",""," 1/")</f>
        <v/>
      </c>
      <c r="K512" s="85"/>
      <c r="L512" s="56" t="str">
        <f>IF(A512="","",IF(B512=1,0.013,0.012))</f>
        <v/>
      </c>
      <c r="M512" s="47" t="str">
        <f>IF(A512="","",(1/L512*(E512/100/2)^(8/3)*(1/K512*100)^(1/2)*1.65696)*100)</f>
        <v/>
      </c>
      <c r="N512" s="47" t="str">
        <f>IF(A512="","",1/L512*(E512/100/2)^(2/3)*(1/K512)^(1/2)*0.70541)</f>
        <v/>
      </c>
      <c r="O512" s="48" t="str">
        <f>IF(A512="","",ROUNDDOWN(M512/($U$3/8.64)*10000/$AJ$3,0))</f>
        <v/>
      </c>
      <c r="P512" s="49" t="str">
        <f>IF(A512="","",IF(O512&gt;Q512,"＞","＜"))</f>
        <v/>
      </c>
      <c r="Q512" s="48" t="str">
        <f>IF(A512="","",I512)</f>
        <v/>
      </c>
      <c r="R512" s="51" t="str">
        <f>IF(A512="","",IF(P512="＞","OK","NG"))</f>
        <v/>
      </c>
      <c r="S512" s="86"/>
      <c r="T512" s="87"/>
      <c r="U512" s="28" t="str">
        <f>IF(S512="","",IF(T512=1,"素焼土管",IF(T512=2,"合成樹脂管",IF(T512=3,"無孔管",""))))</f>
        <v/>
      </c>
      <c r="V512" s="29"/>
      <c r="W512" s="88"/>
      <c r="X512" s="89"/>
      <c r="Y512" s="90"/>
      <c r="Z512" s="41" t="str">
        <f>IF(S512="","",IF(AND(T513=3,I512=""),Z510+Y512,IF(AND(Z510="",I510=""),I512+Y512,IF(AND(T513=3,I512&gt;0,Z510&gt;0),I512+Z510+Y512,IF(Z510="",I510+I512+X512+Y512,IF(I512="",Z510+X512+Y512,Z510+I512+X512+Y512))))))</f>
        <v/>
      </c>
      <c r="AA512" s="45" t="str">
        <f>IF(AB512="",""," 1/")</f>
        <v/>
      </c>
      <c r="AB512" s="91"/>
      <c r="AC512" s="30" t="str">
        <f>IF(S512="","",IF(T512="","",IF(T512=1,0.013,0.012)))</f>
        <v/>
      </c>
      <c r="AD512" s="31" t="str">
        <f>IF(S512="","",IF(T512="","",(1/AC512*(W512/100/2)^(8/3)*(1/AB512*100)^(1/2)*1.65696)*100))</f>
        <v/>
      </c>
      <c r="AE512" s="31" t="str">
        <f>IF(S512="","",IF(T512="","",1/AC512*(W512/100/2)^(2/3)*(1/AB512)^(1/2)*0.70541))</f>
        <v/>
      </c>
      <c r="AF512" s="31" t="str">
        <f>IF(S512="","",IF(T512="","",ROUNDDOWN(AD512/($U$3/8.64),3)))</f>
        <v/>
      </c>
      <c r="AG512" s="32" t="str">
        <f>IF(S512="","",IF(T512="","",ROUNDDOWN(AF512*10000/$AJ$3,0)))</f>
        <v/>
      </c>
      <c r="AH512" s="33" t="str">
        <f t="shared" si="2484"/>
        <v/>
      </c>
      <c r="AI512" s="41" t="str">
        <f>IF(S512="","",Z512)</f>
        <v/>
      </c>
      <c r="AJ512" s="43" t="str">
        <f>IF(S512="","",AI512*$AJ$3/10000)</f>
        <v/>
      </c>
      <c r="AK512" s="33" t="str">
        <f>IF(S512="","",IF(T512="","",IF(AND(T512=1,AE512&gt;1),"NG",IF(AH512="＞","OK","NG"))))</f>
        <v/>
      </c>
    </row>
    <row r="513" spans="1:37" ht="15.75" customHeight="1" x14ac:dyDescent="0.15">
      <c r="A513" s="92"/>
      <c r="B513" s="93"/>
      <c r="C513" s="59"/>
      <c r="D513" s="61"/>
      <c r="E513" s="94"/>
      <c r="F513" s="95"/>
      <c r="G513" s="95"/>
      <c r="H513" s="96"/>
      <c r="I513" s="54"/>
      <c r="J513" s="46"/>
      <c r="K513" s="97"/>
      <c r="L513" s="57"/>
      <c r="M513" s="44"/>
      <c r="N513" s="44"/>
      <c r="O513" s="42"/>
      <c r="P513" s="50"/>
      <c r="Q513" s="42"/>
      <c r="R513" s="52"/>
      <c r="S513" s="98"/>
      <c r="T513" s="99">
        <v>30</v>
      </c>
      <c r="U513" s="34" t="str">
        <f>IF(S512="","",IF(T512=T513,"〃",IF(T513=1,"素焼土管",IF(T513=2,"合成樹脂管",IF(T513=3,"無孔管","")))))</f>
        <v/>
      </c>
      <c r="V513" s="35"/>
      <c r="W513" s="100"/>
      <c r="X513" s="101"/>
      <c r="Y513" s="95"/>
      <c r="Z513" s="42"/>
      <c r="AA513" s="46"/>
      <c r="AB513" s="97"/>
      <c r="AC513" s="36" t="str">
        <f>IF(S512="","",IF(T513=1,0.013,0.012))</f>
        <v/>
      </c>
      <c r="AD513" s="37" t="str">
        <f>IF(S512="","",(1/AC513*(W513/100/2)^(8/3)*(1/AB512*100)^(1/2)*1.65696)*100)</f>
        <v/>
      </c>
      <c r="AE513" s="37" t="str">
        <f>IF(S512="","",1/AC513*(W513/100/2)^(2/3)*(1/AB512)^(1/2)*0.70541)</f>
        <v/>
      </c>
      <c r="AF513" s="37" t="str">
        <f>IF(S512="","",ROUNDDOWN(AD513/($U$3/8.64),3))</f>
        <v/>
      </c>
      <c r="AG513" s="38" t="str">
        <f>IF(S512="","",ROUNDDOWN(AF513*10000/$AJ$3,0))</f>
        <v/>
      </c>
      <c r="AH513" s="39" t="str">
        <f t="shared" ref="AH513" si="2511">IF(S512="","",IF(AG513&gt;AI512,"＞",IF(AG513=AI512,"=","＜")))</f>
        <v/>
      </c>
      <c r="AI513" s="42"/>
      <c r="AJ513" s="44"/>
      <c r="AK513" s="39" t="str">
        <f>IF(S512="","",IF(AND(T513=1,AE513&gt;1),"NG",IF(AH513="＞","OK","NG")))</f>
        <v/>
      </c>
    </row>
    <row r="514" spans="1:37" ht="15.75" customHeight="1" x14ac:dyDescent="0.15">
      <c r="A514" s="80"/>
      <c r="B514" s="81">
        <v>31</v>
      </c>
      <c r="C514" s="58" t="str">
        <f>IF(A514="","",IF(B514=1,"素　焼土　管",IF(B514=2,"合　成樹脂管",IF(B514=3,"無孔管",""))))</f>
        <v/>
      </c>
      <c r="D514" s="60"/>
      <c r="E514" s="82"/>
      <c r="F514" s="83"/>
      <c r="G514" s="83"/>
      <c r="H514" s="84"/>
      <c r="I514" s="53" t="str">
        <f>IF(A514="","",F514-G514+H514)</f>
        <v/>
      </c>
      <c r="J514" s="55" t="str">
        <f>IF(A514="",""," 1/")</f>
        <v/>
      </c>
      <c r="K514" s="85"/>
      <c r="L514" s="56" t="str">
        <f>IF(A514="","",IF(B514=1,0.013,0.012))</f>
        <v/>
      </c>
      <c r="M514" s="47" t="str">
        <f>IF(A514="","",(1/L514*(E514/100/2)^(8/3)*(1/K514*100)^(1/2)*1.65696)*100)</f>
        <v/>
      </c>
      <c r="N514" s="47" t="str">
        <f>IF(A514="","",1/L514*(E514/100/2)^(2/3)*(1/K514)^(1/2)*0.70541)</f>
        <v/>
      </c>
      <c r="O514" s="48" t="str">
        <f>IF(A514="","",ROUNDDOWN(M514/($U$3/8.64)*10000/$AJ$3,0))</f>
        <v/>
      </c>
      <c r="P514" s="49" t="str">
        <f>IF(A514="","",IF(O514&gt;Q514,"＞","＜"))</f>
        <v/>
      </c>
      <c r="Q514" s="48" t="str">
        <f>IF(A514="","",I514)</f>
        <v/>
      </c>
      <c r="R514" s="51" t="str">
        <f>IF(A514="","",IF(P514="＞","OK","NG"))</f>
        <v/>
      </c>
      <c r="S514" s="86"/>
      <c r="T514" s="87"/>
      <c r="U514" s="28" t="str">
        <f>IF(S514="","",IF(T514=1,"素焼土管",IF(T514=2,"合成樹脂管",IF(T514=3,"無孔管",""))))</f>
        <v/>
      </c>
      <c r="V514" s="29"/>
      <c r="W514" s="88"/>
      <c r="X514" s="89"/>
      <c r="Y514" s="90"/>
      <c r="Z514" s="41" t="str">
        <f>IF(S514="","",IF(AND(T515=3,I514=""),Z512+Y514,IF(AND(Z512="",I512=""),I514+Y514,IF(AND(T515=3,I514&gt;0,Z512&gt;0),I514+Z512+Y514,IF(Z512="",I512+I514+X514+Y514,IF(I514="",Z512+X514+Y514,Z512+I514+X514+Y514))))))</f>
        <v/>
      </c>
      <c r="AA514" s="45" t="str">
        <f>IF(AB514="",""," 1/")</f>
        <v/>
      </c>
      <c r="AB514" s="91"/>
      <c r="AC514" s="30" t="str">
        <f>IF(S514="","",IF(T514="","",IF(T514=1,0.013,0.012)))</f>
        <v/>
      </c>
      <c r="AD514" s="31" t="str">
        <f>IF(S514="","",IF(T514="","",(1/AC514*(W514/100/2)^(8/3)*(1/AB514*100)^(1/2)*1.65696)*100))</f>
        <v/>
      </c>
      <c r="AE514" s="31" t="str">
        <f>IF(S514="","",IF(T514="","",1/AC514*(W514/100/2)^(2/3)*(1/AB514)^(1/2)*0.70541))</f>
        <v/>
      </c>
      <c r="AF514" s="31" t="str">
        <f>IF(S514="","",IF(T514="","",ROUNDDOWN(AD514/($U$3/8.64),3)))</f>
        <v/>
      </c>
      <c r="AG514" s="32" t="str">
        <f>IF(S514="","",IF(T514="","",ROUNDDOWN(AF514*10000/$AJ$3,0)))</f>
        <v/>
      </c>
      <c r="AH514" s="33" t="str">
        <f t="shared" si="2484"/>
        <v/>
      </c>
      <c r="AI514" s="41" t="str">
        <f>IF(S514="","",Z514)</f>
        <v/>
      </c>
      <c r="AJ514" s="43" t="str">
        <f>IF(S514="","",AI514*$AJ$3/10000)</f>
        <v/>
      </c>
      <c r="AK514" s="33" t="str">
        <f>IF(S514="","",IF(T514="","",IF(AND(T514=1,AE514&gt;1),"NG",IF(AH514="＞","OK","NG"))))</f>
        <v/>
      </c>
    </row>
    <row r="515" spans="1:37" ht="15.75" customHeight="1" x14ac:dyDescent="0.15">
      <c r="A515" s="92"/>
      <c r="B515" s="93"/>
      <c r="C515" s="59"/>
      <c r="D515" s="61"/>
      <c r="E515" s="94"/>
      <c r="F515" s="95"/>
      <c r="G515" s="95"/>
      <c r="H515" s="96"/>
      <c r="I515" s="54"/>
      <c r="J515" s="46"/>
      <c r="K515" s="97"/>
      <c r="L515" s="57"/>
      <c r="M515" s="44"/>
      <c r="N515" s="44"/>
      <c r="O515" s="42"/>
      <c r="P515" s="50"/>
      <c r="Q515" s="42"/>
      <c r="R515" s="52"/>
      <c r="S515" s="98"/>
      <c r="T515" s="99">
        <v>31</v>
      </c>
      <c r="U515" s="34" t="str">
        <f>IF(S514="","",IF(T514=T515,"〃",IF(T515=1,"素焼土管",IF(T515=2,"合成樹脂管",IF(T515=3,"無孔管","")))))</f>
        <v/>
      </c>
      <c r="V515" s="35"/>
      <c r="W515" s="100"/>
      <c r="X515" s="101"/>
      <c r="Y515" s="95"/>
      <c r="Z515" s="42"/>
      <c r="AA515" s="46"/>
      <c r="AB515" s="97"/>
      <c r="AC515" s="36" t="str">
        <f>IF(S514="","",IF(T515=1,0.013,0.012))</f>
        <v/>
      </c>
      <c r="AD515" s="37" t="str">
        <f>IF(S514="","",(1/AC515*(W515/100/2)^(8/3)*(1/AB514*100)^(1/2)*1.65696)*100)</f>
        <v/>
      </c>
      <c r="AE515" s="37" t="str">
        <f>IF(S514="","",1/AC515*(W515/100/2)^(2/3)*(1/AB514)^(1/2)*0.70541)</f>
        <v/>
      </c>
      <c r="AF515" s="37" t="str">
        <f>IF(S514="","",ROUNDDOWN(AD515/($U$3/8.64),3))</f>
        <v/>
      </c>
      <c r="AG515" s="38" t="str">
        <f>IF(S514="","",ROUNDDOWN(AF515*10000/$AJ$3,0))</f>
        <v/>
      </c>
      <c r="AH515" s="39" t="str">
        <f t="shared" ref="AH515" si="2512">IF(S514="","",IF(AG515&gt;AI514,"＞",IF(AG515=AI514,"=","＜")))</f>
        <v/>
      </c>
      <c r="AI515" s="42"/>
      <c r="AJ515" s="44"/>
      <c r="AK515" s="39" t="str">
        <f>IF(S514="","",IF(AND(T515=1,AE515&gt;1),"NG",IF(AH515="＞","OK","NG")))</f>
        <v/>
      </c>
    </row>
    <row r="516" spans="1:37" ht="15.75" customHeight="1" x14ac:dyDescent="0.15">
      <c r="A516" s="80"/>
      <c r="B516" s="81">
        <v>32</v>
      </c>
      <c r="C516" s="58" t="str">
        <f>IF(A516="","",IF(B516=1,"素　焼土　管",IF(B516=2,"合　成樹脂管",IF(B516=3,"無孔管",""))))</f>
        <v/>
      </c>
      <c r="D516" s="60"/>
      <c r="E516" s="82"/>
      <c r="F516" s="83"/>
      <c r="G516" s="83"/>
      <c r="H516" s="84"/>
      <c r="I516" s="53" t="str">
        <f>IF(A516="","",F516-G516+H516)</f>
        <v/>
      </c>
      <c r="J516" s="55" t="str">
        <f>IF(A516="",""," 1/")</f>
        <v/>
      </c>
      <c r="K516" s="85"/>
      <c r="L516" s="56" t="str">
        <f>IF(A516="","",IF(B516=1,0.013,0.012))</f>
        <v/>
      </c>
      <c r="M516" s="47" t="str">
        <f>IF(A516="","",(1/L516*(E516/100/2)^(8/3)*(1/K516*100)^(1/2)*1.65696)*100)</f>
        <v/>
      </c>
      <c r="N516" s="47" t="str">
        <f>IF(A516="","",1/L516*(E516/100/2)^(2/3)*(1/K516)^(1/2)*0.70541)</f>
        <v/>
      </c>
      <c r="O516" s="48" t="str">
        <f>IF(A516="","",ROUNDDOWN(M516/($U$3/8.64)*10000/$AJ$3,0))</f>
        <v/>
      </c>
      <c r="P516" s="49" t="str">
        <f>IF(A516="","",IF(O516&gt;Q516,"＞","＜"))</f>
        <v/>
      </c>
      <c r="Q516" s="48" t="str">
        <f>IF(A516="","",I516)</f>
        <v/>
      </c>
      <c r="R516" s="51" t="str">
        <f>IF(A516="","",IF(P516="＞","OK","NG"))</f>
        <v/>
      </c>
      <c r="S516" s="86"/>
      <c r="T516" s="87"/>
      <c r="U516" s="28" t="str">
        <f>IF(S516="","",IF(T516=1,"素焼土管",IF(T516=2,"合成樹脂管",IF(T516=3,"無孔管",""))))</f>
        <v/>
      </c>
      <c r="V516" s="29"/>
      <c r="W516" s="88"/>
      <c r="X516" s="89"/>
      <c r="Y516" s="90"/>
      <c r="Z516" s="41" t="str">
        <f>IF(S516="","",IF(AND(T517=3,I516=""),Z514+Y516,IF(AND(Z514="",I514=""),I516+Y516,IF(AND(T517=3,I516&gt;0,Z514&gt;0),I516+Z514+Y516,IF(Z514="",I514+I516+X516+Y516,IF(I516="",Z514+X516+Y516,Z514+I516+X516+Y516))))))</f>
        <v/>
      </c>
      <c r="AA516" s="45" t="str">
        <f>IF(AB516="",""," 1/")</f>
        <v/>
      </c>
      <c r="AB516" s="91"/>
      <c r="AC516" s="30" t="str">
        <f>IF(S516="","",IF(T516="","",IF(T516=1,0.013,0.012)))</f>
        <v/>
      </c>
      <c r="AD516" s="31" t="str">
        <f>IF(S516="","",IF(T516="","",(1/AC516*(W516/100/2)^(8/3)*(1/AB516*100)^(1/2)*1.65696)*100))</f>
        <v/>
      </c>
      <c r="AE516" s="31" t="str">
        <f>IF(S516="","",IF(T516="","",1/AC516*(W516/100/2)^(2/3)*(1/AB516)^(1/2)*0.70541))</f>
        <v/>
      </c>
      <c r="AF516" s="31" t="str">
        <f>IF(S516="","",IF(T516="","",ROUNDDOWN(AD516/($U$3/8.64),3)))</f>
        <v/>
      </c>
      <c r="AG516" s="32" t="str">
        <f>IF(S516="","",IF(T516="","",ROUNDDOWN(AF516*10000/$AJ$3,0)))</f>
        <v/>
      </c>
      <c r="AH516" s="33" t="str">
        <f t="shared" si="2484"/>
        <v/>
      </c>
      <c r="AI516" s="41" t="str">
        <f>IF(S516="","",Z516)</f>
        <v/>
      </c>
      <c r="AJ516" s="43" t="str">
        <f>IF(S516="","",AI516*$AJ$3/10000)</f>
        <v/>
      </c>
      <c r="AK516" s="33" t="str">
        <f>IF(S516="","",IF(T516="","",IF(AND(T516=1,AE516&gt;1),"NG",IF(AH516="＞","OK","NG"))))</f>
        <v/>
      </c>
    </row>
    <row r="517" spans="1:37" ht="15.75" customHeight="1" x14ac:dyDescent="0.15">
      <c r="A517" s="92"/>
      <c r="B517" s="93"/>
      <c r="C517" s="59"/>
      <c r="D517" s="61"/>
      <c r="E517" s="94"/>
      <c r="F517" s="95"/>
      <c r="G517" s="95"/>
      <c r="H517" s="96"/>
      <c r="I517" s="54"/>
      <c r="J517" s="46"/>
      <c r="K517" s="97"/>
      <c r="L517" s="57"/>
      <c r="M517" s="44"/>
      <c r="N517" s="44"/>
      <c r="O517" s="42"/>
      <c r="P517" s="50"/>
      <c r="Q517" s="42"/>
      <c r="R517" s="52"/>
      <c r="S517" s="98"/>
      <c r="T517" s="99">
        <v>32</v>
      </c>
      <c r="U517" s="34" t="str">
        <f>IF(S516="","",IF(T516=T517,"〃",IF(T517=1,"素焼土管",IF(T517=2,"合成樹脂管",IF(T517=3,"無孔管","")))))</f>
        <v/>
      </c>
      <c r="V517" s="35"/>
      <c r="W517" s="100"/>
      <c r="X517" s="101"/>
      <c r="Y517" s="95"/>
      <c r="Z517" s="42"/>
      <c r="AA517" s="46"/>
      <c r="AB517" s="97"/>
      <c r="AC517" s="36" t="str">
        <f>IF(S516="","",IF(T517=1,0.013,0.012))</f>
        <v/>
      </c>
      <c r="AD517" s="37" t="str">
        <f>IF(S516="","",(1/AC517*(W517/100/2)^(8/3)*(1/AB516*100)^(1/2)*1.65696)*100)</f>
        <v/>
      </c>
      <c r="AE517" s="37" t="str">
        <f>IF(S516="","",1/AC517*(W517/100/2)^(2/3)*(1/AB516)^(1/2)*0.70541)</f>
        <v/>
      </c>
      <c r="AF517" s="37" t="str">
        <f>IF(S516="","",ROUNDDOWN(AD517/($U$3/8.64),3))</f>
        <v/>
      </c>
      <c r="AG517" s="38" t="str">
        <f>IF(S516="","",ROUNDDOWN(AF517*10000/$AJ$3,0))</f>
        <v/>
      </c>
      <c r="AH517" s="39" t="str">
        <f t="shared" ref="AH517" si="2513">IF(S516="","",IF(AG517&gt;AI516,"＞",IF(AG517=AI516,"=","＜")))</f>
        <v/>
      </c>
      <c r="AI517" s="42"/>
      <c r="AJ517" s="44"/>
      <c r="AK517" s="39" t="str">
        <f>IF(S516="","",IF(AND(T517=1,AE517&gt;1),"NG",IF(AH517="＞","OK","NG")))</f>
        <v/>
      </c>
    </row>
    <row r="518" spans="1:37" ht="15.75" customHeight="1" x14ac:dyDescent="0.15">
      <c r="A518" s="80"/>
      <c r="B518" s="81">
        <v>33</v>
      </c>
      <c r="C518" s="58" t="str">
        <f>IF(A518="","",IF(B518=1,"素　焼土　管",IF(B518=2,"合　成樹脂管",IF(B518=3,"無孔管",""))))</f>
        <v/>
      </c>
      <c r="D518" s="60"/>
      <c r="E518" s="82"/>
      <c r="F518" s="83"/>
      <c r="G518" s="83"/>
      <c r="H518" s="84"/>
      <c r="I518" s="53" t="str">
        <f>IF(A518="","",F518-G518+H518)</f>
        <v/>
      </c>
      <c r="J518" s="55" t="str">
        <f>IF(A518="",""," 1/")</f>
        <v/>
      </c>
      <c r="K518" s="85"/>
      <c r="L518" s="56" t="str">
        <f>IF(A518="","",IF(B518=1,0.013,0.012))</f>
        <v/>
      </c>
      <c r="M518" s="47" t="str">
        <f>IF(A518="","",(1/L518*(E518/100/2)^(8/3)*(1/K518*100)^(1/2)*1.65696)*100)</f>
        <v/>
      </c>
      <c r="N518" s="47" t="str">
        <f>IF(A518="","",1/L518*(E518/100/2)^(2/3)*(1/K518)^(1/2)*0.70541)</f>
        <v/>
      </c>
      <c r="O518" s="48" t="str">
        <f>IF(A518="","",ROUNDDOWN(M518/($U$3/8.64)*10000/$AJ$3,0))</f>
        <v/>
      </c>
      <c r="P518" s="49" t="str">
        <f>IF(A518="","",IF(O518&gt;Q518,"＞","＜"))</f>
        <v/>
      </c>
      <c r="Q518" s="48" t="str">
        <f>IF(A518="","",I518)</f>
        <v/>
      </c>
      <c r="R518" s="51" t="str">
        <f>IF(A518="","",IF(P518="＞","OK","NG"))</f>
        <v/>
      </c>
      <c r="S518" s="86"/>
      <c r="T518" s="87"/>
      <c r="U518" s="28" t="str">
        <f>IF(S518="","",IF(T518=1,"素焼土管",IF(T518=2,"合成樹脂管",IF(T518=3,"無孔管",""))))</f>
        <v/>
      </c>
      <c r="V518" s="29"/>
      <c r="W518" s="88"/>
      <c r="X518" s="89"/>
      <c r="Y518" s="90"/>
      <c r="Z518" s="41" t="str">
        <f>IF(S518="","",IF(AND(T519=3,I518=""),Z516+Y518,IF(AND(Z516="",I516=""),I518+Y518,IF(AND(T519=3,I518&gt;0,Z516&gt;0),I518+Z516+Y518,IF(Z516="",I516+I518+X518+Y518,IF(I518="",Z516+X518+Y518,Z516+I518+X518+Y518))))))</f>
        <v/>
      </c>
      <c r="AA518" s="45" t="str">
        <f>IF(AB518="",""," 1/")</f>
        <v/>
      </c>
      <c r="AB518" s="91"/>
      <c r="AC518" s="30" t="str">
        <f>IF(S518="","",IF(T518="","",IF(T518=1,0.013,0.012)))</f>
        <v/>
      </c>
      <c r="AD518" s="31" t="str">
        <f>IF(S518="","",IF(T518="","",(1/AC518*(W518/100/2)^(8/3)*(1/AB518*100)^(1/2)*1.65696)*100))</f>
        <v/>
      </c>
      <c r="AE518" s="31" t="str">
        <f>IF(S518="","",IF(T518="","",1/AC518*(W518/100/2)^(2/3)*(1/AB518)^(1/2)*0.70541))</f>
        <v/>
      </c>
      <c r="AF518" s="31" t="str">
        <f>IF(S518="","",IF(T518="","",ROUNDDOWN(AD518/($U$3/8.64),3)))</f>
        <v/>
      </c>
      <c r="AG518" s="32" t="str">
        <f>IF(S518="","",IF(T518="","",ROUNDDOWN(AF518*10000/$AJ$3,0)))</f>
        <v/>
      </c>
      <c r="AH518" s="33" t="str">
        <f t="shared" si="2484"/>
        <v/>
      </c>
      <c r="AI518" s="41" t="str">
        <f>IF(S518="","",Z518)</f>
        <v/>
      </c>
      <c r="AJ518" s="43" t="str">
        <f>IF(S518="","",AI518*$AJ$3/10000)</f>
        <v/>
      </c>
      <c r="AK518" s="33" t="str">
        <f>IF(S518="","",IF(T518="","",IF(AND(T518=1,AE518&gt;1),"NG",IF(AH518="＞","OK","NG"))))</f>
        <v/>
      </c>
    </row>
    <row r="519" spans="1:37" ht="15.75" customHeight="1" x14ac:dyDescent="0.15">
      <c r="A519" s="92"/>
      <c r="B519" s="93"/>
      <c r="C519" s="59"/>
      <c r="D519" s="61"/>
      <c r="E519" s="94"/>
      <c r="F519" s="95"/>
      <c r="G519" s="95"/>
      <c r="H519" s="96"/>
      <c r="I519" s="54"/>
      <c r="J519" s="46"/>
      <c r="K519" s="97"/>
      <c r="L519" s="57"/>
      <c r="M519" s="44"/>
      <c r="N519" s="44"/>
      <c r="O519" s="42"/>
      <c r="P519" s="50"/>
      <c r="Q519" s="42"/>
      <c r="R519" s="52"/>
      <c r="S519" s="98"/>
      <c r="T519" s="99">
        <v>33</v>
      </c>
      <c r="U519" s="34" t="str">
        <f>IF(S518="","",IF(T518=T519,"〃",IF(T519=1,"素焼土管",IF(T519=2,"合成樹脂管",IF(T519=3,"無孔管","")))))</f>
        <v/>
      </c>
      <c r="V519" s="35"/>
      <c r="W519" s="100"/>
      <c r="X519" s="101"/>
      <c r="Y519" s="95"/>
      <c r="Z519" s="42"/>
      <c r="AA519" s="46"/>
      <c r="AB519" s="97"/>
      <c r="AC519" s="36" t="str">
        <f>IF(S518="","",IF(T519=1,0.013,0.012))</f>
        <v/>
      </c>
      <c r="AD519" s="37" t="str">
        <f>IF(S518="","",(1/AC519*(W519/100/2)^(8/3)*(1/AB518*100)^(1/2)*1.65696)*100)</f>
        <v/>
      </c>
      <c r="AE519" s="37" t="str">
        <f>IF(S518="","",1/AC519*(W519/100/2)^(2/3)*(1/AB518)^(1/2)*0.70541)</f>
        <v/>
      </c>
      <c r="AF519" s="37" t="str">
        <f>IF(S518="","",ROUNDDOWN(AD519/($U$3/8.64),3))</f>
        <v/>
      </c>
      <c r="AG519" s="38" t="str">
        <f>IF(S518="","",ROUNDDOWN(AF519*10000/$AJ$3,0))</f>
        <v/>
      </c>
      <c r="AH519" s="39" t="str">
        <f t="shared" ref="AH519" si="2514">IF(S518="","",IF(AG519&gt;AI518,"＞",IF(AG519=AI518,"=","＜")))</f>
        <v/>
      </c>
      <c r="AI519" s="42"/>
      <c r="AJ519" s="44"/>
      <c r="AK519" s="39" t="str">
        <f>IF(S518="","",IF(AND(T519=1,AE519&gt;1),"NG",IF(AH519="＞","OK","NG")))</f>
        <v/>
      </c>
    </row>
    <row r="520" spans="1:37" ht="15.75" customHeight="1" x14ac:dyDescent="0.15">
      <c r="A520" s="80"/>
      <c r="B520" s="81">
        <v>34</v>
      </c>
      <c r="C520" s="58" t="str">
        <f>IF(A520="","",IF(B520=1,"素　焼土　管",IF(B520=2,"合　成樹脂管",IF(B520=3,"無孔管",""))))</f>
        <v/>
      </c>
      <c r="D520" s="60"/>
      <c r="E520" s="82"/>
      <c r="F520" s="83"/>
      <c r="G520" s="83"/>
      <c r="H520" s="84"/>
      <c r="I520" s="53" t="str">
        <f>IF(A520="","",F520-G520+H520)</f>
        <v/>
      </c>
      <c r="J520" s="55" t="str">
        <f>IF(A520="",""," 1/")</f>
        <v/>
      </c>
      <c r="K520" s="85"/>
      <c r="L520" s="56" t="str">
        <f>IF(A520="","",IF(B520=1,0.013,0.012))</f>
        <v/>
      </c>
      <c r="M520" s="47" t="str">
        <f>IF(A520="","",(1/L520*(E520/100/2)^(8/3)*(1/K520*100)^(1/2)*1.65696)*100)</f>
        <v/>
      </c>
      <c r="N520" s="47" t="str">
        <f>IF(A520="","",1/L520*(E520/100/2)^(2/3)*(1/K520)^(1/2)*0.70541)</f>
        <v/>
      </c>
      <c r="O520" s="48" t="str">
        <f>IF(A520="","",ROUNDDOWN(M520/($U$3/8.64)*10000/$AJ$3,0))</f>
        <v/>
      </c>
      <c r="P520" s="49" t="str">
        <f>IF(A520="","",IF(O520&gt;Q520,"＞","＜"))</f>
        <v/>
      </c>
      <c r="Q520" s="48" t="str">
        <f>IF(A520="","",I520)</f>
        <v/>
      </c>
      <c r="R520" s="51" t="str">
        <f>IF(A520="","",IF(P520="＞","OK","NG"))</f>
        <v/>
      </c>
      <c r="S520" s="86"/>
      <c r="T520" s="87"/>
      <c r="U520" s="28" t="str">
        <f>IF(S520="","",IF(T520=1,"素焼土管",IF(T520=2,"合成樹脂管",IF(T520=3,"無孔管",""))))</f>
        <v/>
      </c>
      <c r="V520" s="29"/>
      <c r="W520" s="88"/>
      <c r="X520" s="89"/>
      <c r="Y520" s="90"/>
      <c r="Z520" s="41" t="str">
        <f>IF(S520="","",IF(AND(T521=3,I520=""),Z518+Y520,IF(AND(Z518="",I518=""),I520+Y520,IF(AND(T521=3,I520&gt;0,Z518&gt;0),I520+Z518+Y520,IF(Z518="",I518+I520+X520+Y520,IF(I520="",Z518+X520+Y520,Z518+I520+X520+Y520))))))</f>
        <v/>
      </c>
      <c r="AA520" s="45" t="str">
        <f>IF(AB520="",""," 1/")</f>
        <v/>
      </c>
      <c r="AB520" s="91"/>
      <c r="AC520" s="30" t="str">
        <f>IF(S520="","",IF(T520="","",IF(T520=1,0.013,0.012)))</f>
        <v/>
      </c>
      <c r="AD520" s="31" t="str">
        <f>IF(S520="","",IF(T520="","",(1/AC520*(W520/100/2)^(8/3)*(1/AB520*100)^(1/2)*1.65696)*100))</f>
        <v/>
      </c>
      <c r="AE520" s="31" t="str">
        <f>IF(S520="","",IF(T520="","",1/AC520*(W520/100/2)^(2/3)*(1/AB520)^(1/2)*0.70541))</f>
        <v/>
      </c>
      <c r="AF520" s="31" t="str">
        <f>IF(S520="","",IF(T520="","",ROUNDDOWN(AD520/($U$3/8.64),3)))</f>
        <v/>
      </c>
      <c r="AG520" s="32" t="str">
        <f>IF(S520="","",IF(T520="","",ROUNDDOWN(AF520*10000/$AJ$3,0)))</f>
        <v/>
      </c>
      <c r="AH520" s="33" t="str">
        <f t="shared" si="2484"/>
        <v/>
      </c>
      <c r="AI520" s="41" t="str">
        <f>IF(S520="","",Z520)</f>
        <v/>
      </c>
      <c r="AJ520" s="43" t="str">
        <f>IF(S520="","",AI520*$AJ$3/10000)</f>
        <v/>
      </c>
      <c r="AK520" s="33" t="str">
        <f>IF(S520="","",IF(T520="","",IF(AND(T520=1,AE520&gt;1),"NG",IF(AH520="＞","OK","NG"))))</f>
        <v/>
      </c>
    </row>
    <row r="521" spans="1:37" ht="15.75" customHeight="1" x14ac:dyDescent="0.15">
      <c r="A521" s="92"/>
      <c r="B521" s="93"/>
      <c r="C521" s="59"/>
      <c r="D521" s="61"/>
      <c r="E521" s="94"/>
      <c r="F521" s="95"/>
      <c r="G521" s="95"/>
      <c r="H521" s="96"/>
      <c r="I521" s="54"/>
      <c r="J521" s="46"/>
      <c r="K521" s="97"/>
      <c r="L521" s="57"/>
      <c r="M521" s="44"/>
      <c r="N521" s="44"/>
      <c r="O521" s="42"/>
      <c r="P521" s="50"/>
      <c r="Q521" s="42"/>
      <c r="R521" s="52"/>
      <c r="S521" s="98"/>
      <c r="T521" s="99">
        <v>34</v>
      </c>
      <c r="U521" s="34" t="str">
        <f>IF(S520="","",IF(T520=T521,"〃",IF(T521=1,"素焼土管",IF(T521=2,"合成樹脂管",IF(T521=3,"無孔管","")))))</f>
        <v/>
      </c>
      <c r="V521" s="35"/>
      <c r="W521" s="100"/>
      <c r="X521" s="101"/>
      <c r="Y521" s="95"/>
      <c r="Z521" s="42"/>
      <c r="AA521" s="46"/>
      <c r="AB521" s="97"/>
      <c r="AC521" s="36" t="str">
        <f>IF(S520="","",IF(T521=1,0.013,0.012))</f>
        <v/>
      </c>
      <c r="AD521" s="37" t="str">
        <f>IF(S520="","",(1/AC521*(W521/100/2)^(8/3)*(1/AB520*100)^(1/2)*1.65696)*100)</f>
        <v/>
      </c>
      <c r="AE521" s="37" t="str">
        <f>IF(S520="","",1/AC521*(W521/100/2)^(2/3)*(1/AB520)^(1/2)*0.70541)</f>
        <v/>
      </c>
      <c r="AF521" s="37" t="str">
        <f>IF(S520="","",ROUNDDOWN(AD521/($U$3/8.64),3))</f>
        <v/>
      </c>
      <c r="AG521" s="38" t="str">
        <f>IF(S520="","",ROUNDDOWN(AF521*10000/$AJ$3,0))</f>
        <v/>
      </c>
      <c r="AH521" s="39" t="str">
        <f t="shared" ref="AH521" si="2515">IF(S520="","",IF(AG521&gt;AI520,"＞",IF(AG521=AI520,"=","＜")))</f>
        <v/>
      </c>
      <c r="AI521" s="42"/>
      <c r="AJ521" s="44"/>
      <c r="AK521" s="39" t="str">
        <f>IF(S520="","",IF(AND(T521=1,AE521&gt;1),"NG",IF(AH521="＞","OK","NG")))</f>
        <v/>
      </c>
    </row>
    <row r="522" spans="1:37" ht="15.75" customHeight="1" x14ac:dyDescent="0.15">
      <c r="A522" s="80"/>
      <c r="B522" s="81">
        <v>35</v>
      </c>
      <c r="C522" s="58" t="str">
        <f>IF(A522="","",IF(B522=1,"素　焼土　管",IF(B522=2,"合　成樹脂管",IF(B522=3,"無孔管",""))))</f>
        <v/>
      </c>
      <c r="D522" s="60"/>
      <c r="E522" s="82"/>
      <c r="F522" s="83"/>
      <c r="G522" s="83"/>
      <c r="H522" s="84"/>
      <c r="I522" s="53" t="str">
        <f>IF(A522="","",F522-G522+H522)</f>
        <v/>
      </c>
      <c r="J522" s="55" t="str">
        <f>IF(A522="",""," 1/")</f>
        <v/>
      </c>
      <c r="K522" s="85"/>
      <c r="L522" s="56" t="str">
        <f>IF(A522="","",IF(B522=1,0.013,0.012))</f>
        <v/>
      </c>
      <c r="M522" s="47" t="str">
        <f>IF(A522="","",(1/L522*(E522/100/2)^(8/3)*(1/K522*100)^(1/2)*1.65696)*100)</f>
        <v/>
      </c>
      <c r="N522" s="47" t="str">
        <f>IF(A522="","",1/L522*(E522/100/2)^(2/3)*(1/K522)^(1/2)*0.70541)</f>
        <v/>
      </c>
      <c r="O522" s="48" t="str">
        <f>IF(A522="","",ROUNDDOWN(M522/($U$3/8.64)*10000/$AJ$3,0))</f>
        <v/>
      </c>
      <c r="P522" s="49" t="str">
        <f>IF(A522="","",IF(O522&gt;Q522,"＞","＜"))</f>
        <v/>
      </c>
      <c r="Q522" s="48" t="str">
        <f>IF(A522="","",I522)</f>
        <v/>
      </c>
      <c r="R522" s="51" t="str">
        <f>IF(A522="","",IF(P522="＞","OK","NG"))</f>
        <v/>
      </c>
      <c r="S522" s="86"/>
      <c r="T522" s="87"/>
      <c r="U522" s="28" t="str">
        <f>IF(S522="","",IF(T522=1,"素焼土管",IF(T522=2,"合成樹脂管",IF(T522=3,"無孔管",""))))</f>
        <v/>
      </c>
      <c r="V522" s="29"/>
      <c r="W522" s="88"/>
      <c r="X522" s="89"/>
      <c r="Y522" s="90"/>
      <c r="Z522" s="41" t="str">
        <f>IF(S522="","",IF(AND(T523=3,I522=""),Z520+Y522,IF(AND(Z520="",I520=""),I522+Y522,IF(AND(T523=3,I522&gt;0,Z520&gt;0),I522+Z520+Y522,IF(Z520="",I520+I522+X522+Y522,IF(I522="",Z520+X522+Y522,Z520+I522+X522+Y522))))))</f>
        <v/>
      </c>
      <c r="AA522" s="45" t="str">
        <f>IF(AB522="",""," 1/")</f>
        <v/>
      </c>
      <c r="AB522" s="91"/>
      <c r="AC522" s="30" t="str">
        <f>IF(S522="","",IF(T522="","",IF(T522=1,0.013,0.012)))</f>
        <v/>
      </c>
      <c r="AD522" s="31" t="str">
        <f>IF(S522="","",IF(T522="","",(1/AC522*(W522/100/2)^(8/3)*(1/AB522*100)^(1/2)*1.65696)*100))</f>
        <v/>
      </c>
      <c r="AE522" s="31" t="str">
        <f>IF(S522="","",IF(T522="","",1/AC522*(W522/100/2)^(2/3)*(1/AB522)^(1/2)*0.70541))</f>
        <v/>
      </c>
      <c r="AF522" s="31" t="str">
        <f>IF(S522="","",IF(T522="","",ROUNDDOWN(AD522/($U$3/8.64),3)))</f>
        <v/>
      </c>
      <c r="AG522" s="32" t="str">
        <f>IF(S522="","",IF(T522="","",ROUNDDOWN(AF522*10000/$AJ$3,0)))</f>
        <v/>
      </c>
      <c r="AH522" s="33" t="str">
        <f t="shared" si="2484"/>
        <v/>
      </c>
      <c r="AI522" s="41" t="str">
        <f>IF(S522="","",Z522)</f>
        <v/>
      </c>
      <c r="AJ522" s="43" t="str">
        <f>IF(S522="","",AI522*$AJ$3/10000)</f>
        <v/>
      </c>
      <c r="AK522" s="33" t="str">
        <f>IF(S522="","",IF(T522="","",IF(AND(T522=1,AE522&gt;1),"NG",IF(AH522="＞","OK","NG"))))</f>
        <v/>
      </c>
    </row>
    <row r="523" spans="1:37" ht="15.75" customHeight="1" x14ac:dyDescent="0.15">
      <c r="A523" s="92"/>
      <c r="B523" s="93"/>
      <c r="C523" s="59"/>
      <c r="D523" s="61"/>
      <c r="E523" s="94"/>
      <c r="F523" s="95"/>
      <c r="G523" s="95"/>
      <c r="H523" s="96"/>
      <c r="I523" s="54"/>
      <c r="J523" s="46"/>
      <c r="K523" s="97"/>
      <c r="L523" s="57"/>
      <c r="M523" s="44"/>
      <c r="N523" s="44"/>
      <c r="O523" s="42"/>
      <c r="P523" s="50"/>
      <c r="Q523" s="42"/>
      <c r="R523" s="52"/>
      <c r="S523" s="98"/>
      <c r="T523" s="99">
        <v>35</v>
      </c>
      <c r="U523" s="34" t="str">
        <f>IF(S522="","",IF(T522=T523,"〃",IF(T523=1,"素焼土管",IF(T523=2,"合成樹脂管",IF(T523=3,"無孔管","")))))</f>
        <v/>
      </c>
      <c r="V523" s="35"/>
      <c r="W523" s="100"/>
      <c r="X523" s="101"/>
      <c r="Y523" s="95"/>
      <c r="Z523" s="42"/>
      <c r="AA523" s="46"/>
      <c r="AB523" s="97"/>
      <c r="AC523" s="36" t="str">
        <f>IF(S522="","",IF(T523=1,0.013,0.012))</f>
        <v/>
      </c>
      <c r="AD523" s="37" t="str">
        <f>IF(S522="","",(1/AC523*(W523/100/2)^(8/3)*(1/AB522*100)^(1/2)*1.65696)*100)</f>
        <v/>
      </c>
      <c r="AE523" s="37" t="str">
        <f>IF(S522="","",1/AC523*(W523/100/2)^(2/3)*(1/AB522)^(1/2)*0.70541)</f>
        <v/>
      </c>
      <c r="AF523" s="37" t="str">
        <f>IF(S522="","",ROUNDDOWN(AD523/($U$3/8.64),3))</f>
        <v/>
      </c>
      <c r="AG523" s="38" t="str">
        <f>IF(S522="","",ROUNDDOWN(AF523*10000/$AJ$3,0))</f>
        <v/>
      </c>
      <c r="AH523" s="39" t="str">
        <f t="shared" ref="AH523" si="2516">IF(S522="","",IF(AG523&gt;AI522,"＞",IF(AG523=AI522,"=","＜")))</f>
        <v/>
      </c>
      <c r="AI523" s="42"/>
      <c r="AJ523" s="44"/>
      <c r="AK523" s="39" t="str">
        <f>IF(S522="","",IF(AND(T523=1,AE523&gt;1),"NG",IF(AH523="＞","OK","NG")))</f>
        <v/>
      </c>
    </row>
    <row r="524" spans="1:37" ht="15.75" customHeight="1" x14ac:dyDescent="0.15">
      <c r="A524" s="80"/>
      <c r="B524" s="81">
        <v>36</v>
      </c>
      <c r="C524" s="58" t="str">
        <f>IF(A524="","",IF(B524=1,"素　焼土　管",IF(B524=2,"合　成樹脂管",IF(B524=3,"無孔管",""))))</f>
        <v/>
      </c>
      <c r="D524" s="60"/>
      <c r="E524" s="82"/>
      <c r="F524" s="83"/>
      <c r="G524" s="83"/>
      <c r="H524" s="84"/>
      <c r="I524" s="53" t="str">
        <f>IF(A524="","",F524-G524+H524)</f>
        <v/>
      </c>
      <c r="J524" s="55" t="str">
        <f>IF(A524="",""," 1/")</f>
        <v/>
      </c>
      <c r="K524" s="85"/>
      <c r="L524" s="56" t="str">
        <f>IF(A524="","",IF(B524=1,0.013,0.012))</f>
        <v/>
      </c>
      <c r="M524" s="47" t="str">
        <f>IF(A524="","",(1/L524*(E524/100/2)^(8/3)*(1/K524*100)^(1/2)*1.65696)*100)</f>
        <v/>
      </c>
      <c r="N524" s="47" t="str">
        <f>IF(A524="","",1/L524*(E524/100/2)^(2/3)*(1/K524)^(1/2)*0.70541)</f>
        <v/>
      </c>
      <c r="O524" s="48" t="str">
        <f>IF(A524="","",ROUNDDOWN(M524/($U$3/8.64)*10000/$AJ$3,0))</f>
        <v/>
      </c>
      <c r="P524" s="49" t="str">
        <f>IF(A524="","",IF(O524&gt;Q524,"＞","＜"))</f>
        <v/>
      </c>
      <c r="Q524" s="48" t="str">
        <f>IF(A524="","",I524)</f>
        <v/>
      </c>
      <c r="R524" s="51" t="str">
        <f>IF(A524="","",IF(P524="＞","OK","NG"))</f>
        <v/>
      </c>
      <c r="S524" s="86"/>
      <c r="T524" s="87"/>
      <c r="U524" s="28" t="str">
        <f>IF(S524="","",IF(T524=1,"素焼土管",IF(T524=2,"合成樹脂管",IF(T524=3,"無孔管",""))))</f>
        <v/>
      </c>
      <c r="V524" s="29"/>
      <c r="W524" s="88"/>
      <c r="X524" s="89"/>
      <c r="Y524" s="90"/>
      <c r="Z524" s="41" t="str">
        <f>IF(S524="","",IF(AND(T525=3,I524=""),Z522+Y524,IF(AND(Z522="",I522=""),I524+Y524,IF(AND(T525=3,I524&gt;0,Z522&gt;0),I524+Z522+Y524,IF(Z522="",I522+I524+X524+Y524,IF(I524="",Z522+X524+Y524,Z522+I524+X524+Y524))))))</f>
        <v/>
      </c>
      <c r="AA524" s="45" t="str">
        <f>IF(AB524="",""," 1/")</f>
        <v/>
      </c>
      <c r="AB524" s="91"/>
      <c r="AC524" s="30" t="str">
        <f>IF(S524="","",IF(T524="","",IF(T524=1,0.013,0.012)))</f>
        <v/>
      </c>
      <c r="AD524" s="31" t="str">
        <f>IF(S524="","",IF(T524="","",(1/AC524*(W524/100/2)^(8/3)*(1/AB524*100)^(1/2)*1.65696)*100))</f>
        <v/>
      </c>
      <c r="AE524" s="31" t="str">
        <f>IF(S524="","",IF(T524="","",1/AC524*(W524/100/2)^(2/3)*(1/AB524)^(1/2)*0.70541))</f>
        <v/>
      </c>
      <c r="AF524" s="31" t="str">
        <f>IF(S524="","",IF(T524="","",ROUNDDOWN(AD524/($U$3/8.64),3)))</f>
        <v/>
      </c>
      <c r="AG524" s="32" t="str">
        <f>IF(S524="","",IF(T524="","",ROUNDDOWN(AF524*10000/$AJ$3,0)))</f>
        <v/>
      </c>
      <c r="AH524" s="33" t="str">
        <f t="shared" ref="AH524:AH586" si="2517">IF(S524="","",IF(T524="","",IF(AG524&gt;AI524,"＞","＜")))</f>
        <v/>
      </c>
      <c r="AI524" s="41" t="str">
        <f>IF(S524="","",Z524)</f>
        <v/>
      </c>
      <c r="AJ524" s="43" t="str">
        <f>IF(S524="","",AI524*$AJ$3/10000)</f>
        <v/>
      </c>
      <c r="AK524" s="33" t="str">
        <f>IF(S524="","",IF(T524="","",IF(AND(T524=1,AE524&gt;1),"NG",IF(AH524="＞","OK","NG"))))</f>
        <v/>
      </c>
    </row>
    <row r="525" spans="1:37" ht="15.75" customHeight="1" x14ac:dyDescent="0.15">
      <c r="A525" s="92"/>
      <c r="B525" s="93"/>
      <c r="C525" s="59"/>
      <c r="D525" s="61"/>
      <c r="E525" s="94"/>
      <c r="F525" s="95"/>
      <c r="G525" s="95"/>
      <c r="H525" s="96"/>
      <c r="I525" s="54"/>
      <c r="J525" s="46"/>
      <c r="K525" s="97"/>
      <c r="L525" s="57"/>
      <c r="M525" s="44"/>
      <c r="N525" s="44"/>
      <c r="O525" s="42"/>
      <c r="P525" s="50"/>
      <c r="Q525" s="42"/>
      <c r="R525" s="52"/>
      <c r="S525" s="98"/>
      <c r="T525" s="99">
        <v>36</v>
      </c>
      <c r="U525" s="34" t="str">
        <f>IF(S524="","",IF(T524=T525,"〃",IF(T525=1,"素焼土管",IF(T525=2,"合成樹脂管",IF(T525=3,"無孔管","")))))</f>
        <v/>
      </c>
      <c r="V525" s="35"/>
      <c r="W525" s="100"/>
      <c r="X525" s="101"/>
      <c r="Y525" s="95"/>
      <c r="Z525" s="42"/>
      <c r="AA525" s="46"/>
      <c r="AB525" s="97"/>
      <c r="AC525" s="36" t="str">
        <f>IF(S524="","",IF(T525=1,0.013,0.012))</f>
        <v/>
      </c>
      <c r="AD525" s="37" t="str">
        <f>IF(S524="","",(1/AC525*(W525/100/2)^(8/3)*(1/AB524*100)^(1/2)*1.65696)*100)</f>
        <v/>
      </c>
      <c r="AE525" s="37" t="str">
        <f>IF(S524="","",1/AC525*(W525/100/2)^(2/3)*(1/AB524)^(1/2)*0.70541)</f>
        <v/>
      </c>
      <c r="AF525" s="37" t="str">
        <f>IF(S524="","",ROUNDDOWN(AD525/($U$3/8.64),3))</f>
        <v/>
      </c>
      <c r="AG525" s="38" t="str">
        <f>IF(S524="","",ROUNDDOWN(AF525*10000/$AJ$3,0))</f>
        <v/>
      </c>
      <c r="AH525" s="39" t="str">
        <f t="shared" ref="AH525" si="2518">IF(S524="","",IF(AG525&gt;AI524,"＞",IF(AG525=AI524,"=","＜")))</f>
        <v/>
      </c>
      <c r="AI525" s="42"/>
      <c r="AJ525" s="44"/>
      <c r="AK525" s="39" t="str">
        <f>IF(S524="","",IF(AND(T525=1,AE525&gt;1),"NG",IF(AH525="＞","OK","NG")))</f>
        <v/>
      </c>
    </row>
    <row r="526" spans="1:37" ht="15.75" customHeight="1" x14ac:dyDescent="0.15">
      <c r="A526" s="80"/>
      <c r="B526" s="81">
        <v>37</v>
      </c>
      <c r="C526" s="58" t="str">
        <f>IF(A526="","",IF(B526=1,"素　焼土　管",IF(B526=2,"合　成樹脂管",IF(B526=3,"無孔管",""))))</f>
        <v/>
      </c>
      <c r="D526" s="60"/>
      <c r="E526" s="82"/>
      <c r="F526" s="83"/>
      <c r="G526" s="83"/>
      <c r="H526" s="84"/>
      <c r="I526" s="53" t="str">
        <f>IF(A526="","",F526-G526+H526)</f>
        <v/>
      </c>
      <c r="J526" s="55" t="str">
        <f>IF(A526="",""," 1/")</f>
        <v/>
      </c>
      <c r="K526" s="85"/>
      <c r="L526" s="56" t="str">
        <f>IF(A526="","",IF(B526=1,0.013,0.012))</f>
        <v/>
      </c>
      <c r="M526" s="47" t="str">
        <f>IF(A526="","",(1/L526*(E526/100/2)^(8/3)*(1/K526*100)^(1/2)*1.65696)*100)</f>
        <v/>
      </c>
      <c r="N526" s="47" t="str">
        <f>IF(A526="","",1/L526*(E526/100/2)^(2/3)*(1/K526)^(1/2)*0.70541)</f>
        <v/>
      </c>
      <c r="O526" s="48" t="str">
        <f>IF(A526="","",ROUNDDOWN(M526/($U$3/8.64)*10000/$AJ$3,0))</f>
        <v/>
      </c>
      <c r="P526" s="49" t="str">
        <f>IF(A526="","",IF(O526&gt;Q526,"＞","＜"))</f>
        <v/>
      </c>
      <c r="Q526" s="48" t="str">
        <f>IF(A526="","",I526)</f>
        <v/>
      </c>
      <c r="R526" s="51" t="str">
        <f>IF(A526="","",IF(P526="＞","OK","NG"))</f>
        <v/>
      </c>
      <c r="S526" s="86"/>
      <c r="T526" s="87"/>
      <c r="U526" s="28" t="str">
        <f>IF(S526="","",IF(T526=1,"素焼土管",IF(T526=2,"合成樹脂管",IF(T526=3,"無孔管",""))))</f>
        <v/>
      </c>
      <c r="V526" s="29"/>
      <c r="W526" s="88"/>
      <c r="X526" s="89"/>
      <c r="Y526" s="90"/>
      <c r="Z526" s="41" t="str">
        <f>IF(S526="","",IF(AND(T527=3,I526=""),Z524+Y526,IF(AND(Z524="",I524=""),I526+Y526,IF(AND(T527=3,I526&gt;0,Z524&gt;0),I526+Z524+Y526,IF(Z524="",I524+I526+X526+Y526,IF(I526="",Z524+X526+Y526,Z524+I526+X526+Y526))))))</f>
        <v/>
      </c>
      <c r="AA526" s="45" t="str">
        <f>IF(AB526="",""," 1/")</f>
        <v/>
      </c>
      <c r="AB526" s="91"/>
      <c r="AC526" s="30" t="str">
        <f>IF(S526="","",IF(T526="","",IF(T526=1,0.013,0.012)))</f>
        <v/>
      </c>
      <c r="AD526" s="31" t="str">
        <f>IF(S526="","",IF(T526="","",(1/AC526*(W526/100/2)^(8/3)*(1/AB526*100)^(1/2)*1.65696)*100))</f>
        <v/>
      </c>
      <c r="AE526" s="31" t="str">
        <f>IF(S526="","",IF(T526="","",1/AC526*(W526/100/2)^(2/3)*(1/AB526)^(1/2)*0.70541))</f>
        <v/>
      </c>
      <c r="AF526" s="31" t="str">
        <f>IF(S526="","",IF(T526="","",ROUNDDOWN(AD526/($U$3/8.64),3)))</f>
        <v/>
      </c>
      <c r="AG526" s="32" t="str">
        <f>IF(S526="","",IF(T526="","",ROUNDDOWN(AF526*10000/$AJ$3,0)))</f>
        <v/>
      </c>
      <c r="AH526" s="33" t="str">
        <f t="shared" si="2517"/>
        <v/>
      </c>
      <c r="AI526" s="41" t="str">
        <f>IF(S526="","",Z526)</f>
        <v/>
      </c>
      <c r="AJ526" s="43" t="str">
        <f>IF(S526="","",AI526*$AJ$3/10000)</f>
        <v/>
      </c>
      <c r="AK526" s="33" t="str">
        <f>IF(S526="","",IF(T526="","",IF(AND(T526=1,AE526&gt;1),"NG",IF(AH526="＞","OK","NG"))))</f>
        <v/>
      </c>
    </row>
    <row r="527" spans="1:37" ht="15.75" customHeight="1" x14ac:dyDescent="0.15">
      <c r="A527" s="92"/>
      <c r="B527" s="93"/>
      <c r="C527" s="59"/>
      <c r="D527" s="61"/>
      <c r="E527" s="94"/>
      <c r="F527" s="95"/>
      <c r="G527" s="95"/>
      <c r="H527" s="96"/>
      <c r="I527" s="54"/>
      <c r="J527" s="46"/>
      <c r="K527" s="97"/>
      <c r="L527" s="57"/>
      <c r="M527" s="44"/>
      <c r="N527" s="44"/>
      <c r="O527" s="42"/>
      <c r="P527" s="50"/>
      <c r="Q527" s="42"/>
      <c r="R527" s="52"/>
      <c r="S527" s="98"/>
      <c r="T527" s="99">
        <v>37</v>
      </c>
      <c r="U527" s="34" t="str">
        <f>IF(S526="","",IF(T526=T527,"〃",IF(T527=1,"素焼土管",IF(T527=2,"合成樹脂管",IF(T527=3,"無孔管","")))))</f>
        <v/>
      </c>
      <c r="V527" s="35"/>
      <c r="W527" s="100"/>
      <c r="X527" s="101"/>
      <c r="Y527" s="95"/>
      <c r="Z527" s="42"/>
      <c r="AA527" s="46"/>
      <c r="AB527" s="97"/>
      <c r="AC527" s="36" t="str">
        <f>IF(S526="","",IF(T527=1,0.013,0.012))</f>
        <v/>
      </c>
      <c r="AD527" s="37" t="str">
        <f>IF(S526="","",(1/AC527*(W527/100/2)^(8/3)*(1/AB526*100)^(1/2)*1.65696)*100)</f>
        <v/>
      </c>
      <c r="AE527" s="37" t="str">
        <f>IF(S526="","",1/AC527*(W527/100/2)^(2/3)*(1/AB526)^(1/2)*0.70541)</f>
        <v/>
      </c>
      <c r="AF527" s="37" t="str">
        <f>IF(S526="","",ROUNDDOWN(AD527/($U$3/8.64),3))</f>
        <v/>
      </c>
      <c r="AG527" s="38" t="str">
        <f>IF(S526="","",ROUNDDOWN(AF527*10000/$AJ$3,0))</f>
        <v/>
      </c>
      <c r="AH527" s="39" t="str">
        <f t="shared" ref="AH527" si="2519">IF(S526="","",IF(AG527&gt;AI526,"＞",IF(AG527=AI526,"=","＜")))</f>
        <v/>
      </c>
      <c r="AI527" s="42"/>
      <c r="AJ527" s="44"/>
      <c r="AK527" s="39" t="str">
        <f>IF(S526="","",IF(AND(T527=1,AE527&gt;1),"NG",IF(AH527="＞","OK","NG")))</f>
        <v/>
      </c>
    </row>
    <row r="528" spans="1:37" ht="15.75" customHeight="1" x14ac:dyDescent="0.15">
      <c r="A528" s="80"/>
      <c r="B528" s="81">
        <v>38</v>
      </c>
      <c r="C528" s="58" t="str">
        <f>IF(A528="","",IF(B528=1,"素　焼土　管",IF(B528=2,"合　成樹脂管",IF(B528=3,"無孔管",""))))</f>
        <v/>
      </c>
      <c r="D528" s="60"/>
      <c r="E528" s="82"/>
      <c r="F528" s="83"/>
      <c r="G528" s="83"/>
      <c r="H528" s="84"/>
      <c r="I528" s="53" t="str">
        <f>IF(A528="","",F528-G528+H528)</f>
        <v/>
      </c>
      <c r="J528" s="55" t="str">
        <f>IF(A528="",""," 1/")</f>
        <v/>
      </c>
      <c r="K528" s="85"/>
      <c r="L528" s="56" t="str">
        <f>IF(A528="","",IF(B528=1,0.013,0.012))</f>
        <v/>
      </c>
      <c r="M528" s="47" t="str">
        <f>IF(A528="","",(1/L528*(E528/100/2)^(8/3)*(1/K528*100)^(1/2)*1.65696)*100)</f>
        <v/>
      </c>
      <c r="N528" s="47" t="str">
        <f>IF(A528="","",1/L528*(E528/100/2)^(2/3)*(1/K528)^(1/2)*0.70541)</f>
        <v/>
      </c>
      <c r="O528" s="48" t="str">
        <f>IF(A528="","",ROUNDDOWN(M528/($U$3/8.64)*10000/$AJ$3,0))</f>
        <v/>
      </c>
      <c r="P528" s="49" t="str">
        <f>IF(A528="","",IF(O528&gt;Q528,"＞","＜"))</f>
        <v/>
      </c>
      <c r="Q528" s="48" t="str">
        <f>IF(A528="","",I528)</f>
        <v/>
      </c>
      <c r="R528" s="51" t="str">
        <f>IF(A528="","",IF(P528="＞","OK","NG"))</f>
        <v/>
      </c>
      <c r="S528" s="86"/>
      <c r="T528" s="87"/>
      <c r="U528" s="28" t="str">
        <f>IF(S528="","",IF(T528=1,"素焼土管",IF(T528=2,"合成樹脂管",IF(T528=3,"無孔管",""))))</f>
        <v/>
      </c>
      <c r="V528" s="29"/>
      <c r="W528" s="88"/>
      <c r="X528" s="89"/>
      <c r="Y528" s="90"/>
      <c r="Z528" s="41" t="str">
        <f>IF(S528="","",IF(AND(T529=3,I528=""),Z526+Y528,IF(AND(Z526="",I526=""),I528+Y528,IF(AND(T529=3,I528&gt;0,Z526&gt;0),I528+Z526+Y528,IF(Z526="",I526+I528+X528+Y528,IF(I528="",Z526+X528+Y528,Z526+I528+X528+Y528))))))</f>
        <v/>
      </c>
      <c r="AA528" s="45" t="str">
        <f>IF(AB528="",""," 1/")</f>
        <v/>
      </c>
      <c r="AB528" s="91"/>
      <c r="AC528" s="30" t="str">
        <f>IF(S528="","",IF(T528="","",IF(T528=1,0.013,0.012)))</f>
        <v/>
      </c>
      <c r="AD528" s="31" t="str">
        <f>IF(S528="","",IF(T528="","",(1/AC528*(W528/100/2)^(8/3)*(1/AB528*100)^(1/2)*1.65696)*100))</f>
        <v/>
      </c>
      <c r="AE528" s="31" t="str">
        <f>IF(S528="","",IF(T528="","",1/AC528*(W528/100/2)^(2/3)*(1/AB528)^(1/2)*0.70541))</f>
        <v/>
      </c>
      <c r="AF528" s="31" t="str">
        <f>IF(S528="","",IF(T528="","",ROUNDDOWN(AD528/($U$3/8.64),3)))</f>
        <v/>
      </c>
      <c r="AG528" s="32" t="str">
        <f>IF(S528="","",IF(T528="","",ROUNDDOWN(AF528*10000/$AJ$3,0)))</f>
        <v/>
      </c>
      <c r="AH528" s="33" t="str">
        <f t="shared" si="2517"/>
        <v/>
      </c>
      <c r="AI528" s="41" t="str">
        <f>IF(S528="","",Z528)</f>
        <v/>
      </c>
      <c r="AJ528" s="43" t="str">
        <f>IF(S528="","",AI528*$AJ$3/10000)</f>
        <v/>
      </c>
      <c r="AK528" s="33" t="str">
        <f>IF(S528="","",IF(T528="","",IF(AND(T528=1,AE528&gt;1),"NG",IF(AH528="＞","OK","NG"))))</f>
        <v/>
      </c>
    </row>
    <row r="529" spans="1:37" ht="15.75" customHeight="1" x14ac:dyDescent="0.15">
      <c r="A529" s="92"/>
      <c r="B529" s="93"/>
      <c r="C529" s="59"/>
      <c r="D529" s="61"/>
      <c r="E529" s="94"/>
      <c r="F529" s="95"/>
      <c r="G529" s="95"/>
      <c r="H529" s="96"/>
      <c r="I529" s="54"/>
      <c r="J529" s="46"/>
      <c r="K529" s="97"/>
      <c r="L529" s="57"/>
      <c r="M529" s="44"/>
      <c r="N529" s="44"/>
      <c r="O529" s="42"/>
      <c r="P529" s="50"/>
      <c r="Q529" s="42"/>
      <c r="R529" s="52"/>
      <c r="S529" s="98"/>
      <c r="T529" s="99">
        <v>38</v>
      </c>
      <c r="U529" s="34" t="str">
        <f>IF(S528="","",IF(T528=T529,"〃",IF(T529=1,"素焼土管",IF(T529=2,"合成樹脂管",IF(T529=3,"無孔管","")))))</f>
        <v/>
      </c>
      <c r="V529" s="35"/>
      <c r="W529" s="100"/>
      <c r="X529" s="101"/>
      <c r="Y529" s="95"/>
      <c r="Z529" s="42"/>
      <c r="AA529" s="46"/>
      <c r="AB529" s="97"/>
      <c r="AC529" s="36" t="str">
        <f>IF(S528="","",IF(T529=1,0.013,0.012))</f>
        <v/>
      </c>
      <c r="AD529" s="37" t="str">
        <f>IF(S528="","",(1/AC529*(W529/100/2)^(8/3)*(1/AB528*100)^(1/2)*1.65696)*100)</f>
        <v/>
      </c>
      <c r="AE529" s="37" t="str">
        <f>IF(S528="","",1/AC529*(W529/100/2)^(2/3)*(1/AB528)^(1/2)*0.70541)</f>
        <v/>
      </c>
      <c r="AF529" s="37" t="str">
        <f>IF(S528="","",ROUNDDOWN(AD529/($U$3/8.64),3))</f>
        <v/>
      </c>
      <c r="AG529" s="38" t="str">
        <f>IF(S528="","",ROUNDDOWN(AF529*10000/$AJ$3,0))</f>
        <v/>
      </c>
      <c r="AH529" s="39" t="str">
        <f t="shared" ref="AH529" si="2520">IF(S528="","",IF(AG529&gt;AI528,"＞",IF(AG529=AI528,"=","＜")))</f>
        <v/>
      </c>
      <c r="AI529" s="42"/>
      <c r="AJ529" s="44"/>
      <c r="AK529" s="39" t="str">
        <f>IF(S528="","",IF(AND(T529=1,AE529&gt;1),"NG",IF(AH529="＞","OK","NG")))</f>
        <v/>
      </c>
    </row>
    <row r="530" spans="1:37" ht="15.75" customHeight="1" x14ac:dyDescent="0.15">
      <c r="A530" s="80"/>
      <c r="B530" s="81">
        <v>39</v>
      </c>
      <c r="C530" s="58" t="str">
        <f>IF(A530="","",IF(B530=1,"素　焼土　管",IF(B530=2,"合　成樹脂管",IF(B530=3,"無孔管",""))))</f>
        <v/>
      </c>
      <c r="D530" s="60"/>
      <c r="E530" s="82"/>
      <c r="F530" s="83"/>
      <c r="G530" s="83"/>
      <c r="H530" s="84"/>
      <c r="I530" s="53" t="str">
        <f>IF(A530="","",F530-G530+H530)</f>
        <v/>
      </c>
      <c r="J530" s="55" t="str">
        <f>IF(A530="",""," 1/")</f>
        <v/>
      </c>
      <c r="K530" s="85"/>
      <c r="L530" s="56" t="str">
        <f>IF(A530="","",IF(B530=1,0.013,0.012))</f>
        <v/>
      </c>
      <c r="M530" s="47" t="str">
        <f>IF(A530="","",(1/L530*(E530/100/2)^(8/3)*(1/K530*100)^(1/2)*1.65696)*100)</f>
        <v/>
      </c>
      <c r="N530" s="47" t="str">
        <f>IF(A530="","",1/L530*(E530/100/2)^(2/3)*(1/K530)^(1/2)*0.70541)</f>
        <v/>
      </c>
      <c r="O530" s="48" t="str">
        <f>IF(A530="","",ROUNDDOWN(M530/($U$3/8.64)*10000/$AJ$3,0))</f>
        <v/>
      </c>
      <c r="P530" s="49" t="str">
        <f>IF(A530="","",IF(O530&gt;Q530,"＞","＜"))</f>
        <v/>
      </c>
      <c r="Q530" s="48" t="str">
        <f>IF(A530="","",I530)</f>
        <v/>
      </c>
      <c r="R530" s="51" t="str">
        <f>IF(A530="","",IF(P530="＞","OK","NG"))</f>
        <v/>
      </c>
      <c r="S530" s="86"/>
      <c r="T530" s="87"/>
      <c r="U530" s="28" t="str">
        <f>IF(S530="","",IF(T530=1,"素焼土管",IF(T530=2,"合成樹脂管",IF(T530=3,"無孔管",""))))</f>
        <v/>
      </c>
      <c r="V530" s="29"/>
      <c r="W530" s="88"/>
      <c r="X530" s="89"/>
      <c r="Y530" s="90"/>
      <c r="Z530" s="41" t="str">
        <f>IF(S530="","",IF(AND(T531=3,I530=""),Z528+Y530,IF(AND(Z528="",I528=""),I530+Y530,IF(AND(T531=3,I530&gt;0,Z528&gt;0),I530+Z528+Y530,IF(Z528="",I528+I530+X530+Y530,IF(I530="",Z528+X530+Y530,Z528+I530+X530+Y530))))))</f>
        <v/>
      </c>
      <c r="AA530" s="45" t="str">
        <f>IF(AB530="",""," 1/")</f>
        <v/>
      </c>
      <c r="AB530" s="91"/>
      <c r="AC530" s="30" t="str">
        <f>IF(S530="","",IF(T530="","",IF(T530=1,0.013,0.012)))</f>
        <v/>
      </c>
      <c r="AD530" s="31" t="str">
        <f>IF(S530="","",IF(T530="","",(1/AC530*(W530/100/2)^(8/3)*(1/AB530*100)^(1/2)*1.65696)*100))</f>
        <v/>
      </c>
      <c r="AE530" s="31" t="str">
        <f>IF(S530="","",IF(T530="","",1/AC530*(W530/100/2)^(2/3)*(1/AB530)^(1/2)*0.70541))</f>
        <v/>
      </c>
      <c r="AF530" s="31" t="str">
        <f>IF(S530="","",IF(T530="","",ROUNDDOWN(AD530/($U$3/8.64),3)))</f>
        <v/>
      </c>
      <c r="AG530" s="32" t="str">
        <f>IF(S530="","",IF(T530="","",ROUNDDOWN(AF530*10000/$AJ$3,0)))</f>
        <v/>
      </c>
      <c r="AH530" s="33" t="str">
        <f t="shared" si="2517"/>
        <v/>
      </c>
      <c r="AI530" s="41" t="str">
        <f>IF(S530="","",Z530)</f>
        <v/>
      </c>
      <c r="AJ530" s="43" t="str">
        <f>IF(S530="","",AI530*$AJ$3/10000)</f>
        <v/>
      </c>
      <c r="AK530" s="33" t="str">
        <f>IF(S530="","",IF(T530="","",IF(AND(T530=1,AE530&gt;1),"NG",IF(AH530="＞","OK","NG"))))</f>
        <v/>
      </c>
    </row>
    <row r="531" spans="1:37" ht="15.75" customHeight="1" x14ac:dyDescent="0.15">
      <c r="A531" s="92"/>
      <c r="B531" s="93"/>
      <c r="C531" s="59"/>
      <c r="D531" s="61"/>
      <c r="E531" s="94"/>
      <c r="F531" s="95"/>
      <c r="G531" s="95"/>
      <c r="H531" s="96"/>
      <c r="I531" s="54"/>
      <c r="J531" s="46"/>
      <c r="K531" s="97"/>
      <c r="L531" s="57"/>
      <c r="M531" s="44"/>
      <c r="N531" s="44"/>
      <c r="O531" s="42"/>
      <c r="P531" s="50"/>
      <c r="Q531" s="42"/>
      <c r="R531" s="52"/>
      <c r="S531" s="98"/>
      <c r="T531" s="99">
        <v>39</v>
      </c>
      <c r="U531" s="34" t="str">
        <f>IF(S530="","",IF(T530=T531,"〃",IF(T531=1,"素焼土管",IF(T531=2,"合成樹脂管",IF(T531=3,"無孔管","")))))</f>
        <v/>
      </c>
      <c r="V531" s="35"/>
      <c r="W531" s="100"/>
      <c r="X531" s="101"/>
      <c r="Y531" s="95"/>
      <c r="Z531" s="42"/>
      <c r="AA531" s="46"/>
      <c r="AB531" s="97"/>
      <c r="AC531" s="36" t="str">
        <f>IF(S530="","",IF(T531=1,0.013,0.012))</f>
        <v/>
      </c>
      <c r="AD531" s="37" t="str">
        <f>IF(S530="","",(1/AC531*(W531/100/2)^(8/3)*(1/AB530*100)^(1/2)*1.65696)*100)</f>
        <v/>
      </c>
      <c r="AE531" s="37" t="str">
        <f>IF(S530="","",1/AC531*(W531/100/2)^(2/3)*(1/AB530)^(1/2)*0.70541)</f>
        <v/>
      </c>
      <c r="AF531" s="37" t="str">
        <f>IF(S530="","",ROUNDDOWN(AD531/($U$3/8.64),3))</f>
        <v/>
      </c>
      <c r="AG531" s="38" t="str">
        <f>IF(S530="","",ROUNDDOWN(AF531*10000/$AJ$3,0))</f>
        <v/>
      </c>
      <c r="AH531" s="39" t="str">
        <f t="shared" ref="AH531" si="2521">IF(S530="","",IF(AG531&gt;AI530,"＞",IF(AG531=AI530,"=","＜")))</f>
        <v/>
      </c>
      <c r="AI531" s="42"/>
      <c r="AJ531" s="44"/>
      <c r="AK531" s="39" t="str">
        <f>IF(S530="","",IF(AND(T531=1,AE531&gt;1),"NG",IF(AH531="＞","OK","NG")))</f>
        <v/>
      </c>
    </row>
    <row r="532" spans="1:37" ht="15.75" customHeight="1" x14ac:dyDescent="0.15">
      <c r="A532" s="80"/>
      <c r="B532" s="81">
        <v>40</v>
      </c>
      <c r="C532" s="58" t="str">
        <f>IF(A532="","",IF(B532=1,"素　焼土　管",IF(B532=2,"合　成樹脂管",IF(B532=3,"無孔管",""))))</f>
        <v/>
      </c>
      <c r="D532" s="60"/>
      <c r="E532" s="82"/>
      <c r="F532" s="83"/>
      <c r="G532" s="83"/>
      <c r="H532" s="84"/>
      <c r="I532" s="53" t="str">
        <f>IF(A532="","",F532-G532+H532)</f>
        <v/>
      </c>
      <c r="J532" s="55" t="str">
        <f>IF(A532="",""," 1/")</f>
        <v/>
      </c>
      <c r="K532" s="85"/>
      <c r="L532" s="56" t="str">
        <f>IF(A532="","",IF(B532=1,0.013,0.012))</f>
        <v/>
      </c>
      <c r="M532" s="47" t="str">
        <f>IF(A532="","",(1/L532*(E532/100/2)^(8/3)*(1/K532*100)^(1/2)*1.65696)*100)</f>
        <v/>
      </c>
      <c r="N532" s="47" t="str">
        <f>IF(A532="","",1/L532*(E532/100/2)^(2/3)*(1/K532)^(1/2)*0.70541)</f>
        <v/>
      </c>
      <c r="O532" s="48" t="str">
        <f>IF(A532="","",ROUNDDOWN(M532/($U$3/8.64)*10000/$AJ$3,0))</f>
        <v/>
      </c>
      <c r="P532" s="49" t="str">
        <f>IF(A532="","",IF(O532&gt;Q532,"＞","＜"))</f>
        <v/>
      </c>
      <c r="Q532" s="48" t="str">
        <f>IF(A532="","",I532)</f>
        <v/>
      </c>
      <c r="R532" s="51" t="str">
        <f>IF(A532="","",IF(P532="＞","OK","NG"))</f>
        <v/>
      </c>
      <c r="S532" s="86"/>
      <c r="T532" s="87"/>
      <c r="U532" s="28" t="str">
        <f>IF(S532="","",IF(T532=1,"素焼土管",IF(T532=2,"合成樹脂管",IF(T532=3,"無孔管",""))))</f>
        <v/>
      </c>
      <c r="V532" s="29"/>
      <c r="W532" s="88"/>
      <c r="X532" s="89"/>
      <c r="Y532" s="90"/>
      <c r="Z532" s="41" t="str">
        <f>IF(S532="","",IF(AND(T533=3,I532=""),Z530+Y532,IF(AND(Z530="",I530=""),I532+Y532,IF(AND(T533=3,I532&gt;0,Z530&gt;0),I532+Z530+Y532,IF(Z530="",I530+I532+X532+Y532,IF(I532="",Z530+X532+Y532,Z530+I532+X532+Y532))))))</f>
        <v/>
      </c>
      <c r="AA532" s="45" t="str">
        <f>IF(AB532="",""," 1/")</f>
        <v/>
      </c>
      <c r="AB532" s="91"/>
      <c r="AC532" s="30" t="str">
        <f>IF(S532="","",IF(T532="","",IF(T532=1,0.013,0.012)))</f>
        <v/>
      </c>
      <c r="AD532" s="31" t="str">
        <f>IF(S532="","",IF(T532="","",(1/AC532*(W532/100/2)^(8/3)*(1/AB532*100)^(1/2)*1.65696)*100))</f>
        <v/>
      </c>
      <c r="AE532" s="31" t="str">
        <f>IF(S532="","",IF(T532="","",1/AC532*(W532/100/2)^(2/3)*(1/AB532)^(1/2)*0.70541))</f>
        <v/>
      </c>
      <c r="AF532" s="31" t="str">
        <f>IF(S532="","",IF(T532="","",ROUNDDOWN(AD532/($U$3/8.64),3)))</f>
        <v/>
      </c>
      <c r="AG532" s="32" t="str">
        <f>IF(S532="","",IF(T532="","",ROUNDDOWN(AF532*10000/$AJ$3,0)))</f>
        <v/>
      </c>
      <c r="AH532" s="33" t="str">
        <f t="shared" si="2517"/>
        <v/>
      </c>
      <c r="AI532" s="41" t="str">
        <f>IF(S532="","",Z532)</f>
        <v/>
      </c>
      <c r="AJ532" s="43" t="str">
        <f>IF(S532="","",AI532*$AJ$3/10000)</f>
        <v/>
      </c>
      <c r="AK532" s="33" t="str">
        <f>IF(S532="","",IF(T532="","",IF(AND(T532=1,AE532&gt;1),"NG",IF(AH532="＞","OK","NG"))))</f>
        <v/>
      </c>
    </row>
    <row r="533" spans="1:37" ht="15.75" customHeight="1" x14ac:dyDescent="0.15">
      <c r="A533" s="92"/>
      <c r="B533" s="93"/>
      <c r="C533" s="59"/>
      <c r="D533" s="61"/>
      <c r="E533" s="94"/>
      <c r="F533" s="95"/>
      <c r="G533" s="95"/>
      <c r="H533" s="96"/>
      <c r="I533" s="54"/>
      <c r="J533" s="46"/>
      <c r="K533" s="97"/>
      <c r="L533" s="57"/>
      <c r="M533" s="44"/>
      <c r="N533" s="44"/>
      <c r="O533" s="42"/>
      <c r="P533" s="50"/>
      <c r="Q533" s="42"/>
      <c r="R533" s="52"/>
      <c r="S533" s="98"/>
      <c r="T533" s="99">
        <v>40</v>
      </c>
      <c r="U533" s="34" t="str">
        <f>IF(S532="","",IF(T532=T533,"〃",IF(T533=1,"素焼土管",IF(T533=2,"合成樹脂管",IF(T533=3,"無孔管","")))))</f>
        <v/>
      </c>
      <c r="V533" s="35"/>
      <c r="W533" s="100"/>
      <c r="X533" s="101"/>
      <c r="Y533" s="95"/>
      <c r="Z533" s="42"/>
      <c r="AA533" s="46"/>
      <c r="AB533" s="97"/>
      <c r="AC533" s="36" t="str">
        <f>IF(S532="","",IF(T533=1,0.013,0.012))</f>
        <v/>
      </c>
      <c r="AD533" s="37" t="str">
        <f>IF(S532="","",(1/AC533*(W533/100/2)^(8/3)*(1/AB532*100)^(1/2)*1.65696)*100)</f>
        <v/>
      </c>
      <c r="AE533" s="37" t="str">
        <f>IF(S532="","",1/AC533*(W533/100/2)^(2/3)*(1/AB532)^(1/2)*0.70541)</f>
        <v/>
      </c>
      <c r="AF533" s="37" t="str">
        <f>IF(S532="","",ROUNDDOWN(AD533/($U$3/8.64),3))</f>
        <v/>
      </c>
      <c r="AG533" s="38" t="str">
        <f>IF(S532="","",ROUNDDOWN(AF533*10000/$AJ$3,0))</f>
        <v/>
      </c>
      <c r="AH533" s="39" t="str">
        <f t="shared" ref="AH533" si="2522">IF(S532="","",IF(AG533&gt;AI532,"＞",IF(AG533=AI532,"=","＜")))</f>
        <v/>
      </c>
      <c r="AI533" s="42"/>
      <c r="AJ533" s="44"/>
      <c r="AK533" s="39" t="str">
        <f>IF(S532="","",IF(AND(T533=1,AE533&gt;1),"NG",IF(AH533="＞","OK","NG")))</f>
        <v/>
      </c>
    </row>
    <row r="534" spans="1:37" ht="15.75" customHeight="1" x14ac:dyDescent="0.15">
      <c r="A534" s="80"/>
      <c r="B534" s="81">
        <v>41</v>
      </c>
      <c r="C534" s="58" t="str">
        <f>IF(A534="","",IF(B534=1,"素　焼土　管",IF(B534=2,"合　成樹脂管",IF(B534=3,"無孔管",""))))</f>
        <v/>
      </c>
      <c r="D534" s="60"/>
      <c r="E534" s="82"/>
      <c r="F534" s="83"/>
      <c r="G534" s="83"/>
      <c r="H534" s="84"/>
      <c r="I534" s="53" t="str">
        <f>IF(A534="","",F534-G534+H534)</f>
        <v/>
      </c>
      <c r="J534" s="55" t="str">
        <f>IF(A534="",""," 1/")</f>
        <v/>
      </c>
      <c r="K534" s="85"/>
      <c r="L534" s="56" t="str">
        <f>IF(A534="","",IF(B534=1,0.013,0.012))</f>
        <v/>
      </c>
      <c r="M534" s="47" t="str">
        <f>IF(A534="","",(1/L534*(E534/100/2)^(8/3)*(1/K534*100)^(1/2)*1.65696)*100)</f>
        <v/>
      </c>
      <c r="N534" s="47" t="str">
        <f>IF(A534="","",1/L534*(E534/100/2)^(2/3)*(1/K534)^(1/2)*0.70541)</f>
        <v/>
      </c>
      <c r="O534" s="48" t="str">
        <f>IF(A534="","",ROUNDDOWN(M534/($U$3/8.64)*10000/$AJ$3,0))</f>
        <v/>
      </c>
      <c r="P534" s="49" t="str">
        <f>IF(A534="","",IF(O534&gt;Q534,"＞","＜"))</f>
        <v/>
      </c>
      <c r="Q534" s="48" t="str">
        <f>IF(A534="","",I534)</f>
        <v/>
      </c>
      <c r="R534" s="51" t="str">
        <f>IF(A534="","",IF(P534="＞","OK","NG"))</f>
        <v/>
      </c>
      <c r="S534" s="86"/>
      <c r="T534" s="87"/>
      <c r="U534" s="28" t="str">
        <f>IF(S534="","",IF(T534=1,"素焼土管",IF(T534=2,"合成樹脂管",IF(T534=3,"無孔管",""))))</f>
        <v/>
      </c>
      <c r="V534" s="29"/>
      <c r="W534" s="88"/>
      <c r="X534" s="89"/>
      <c r="Y534" s="90"/>
      <c r="Z534" s="41" t="str">
        <f>IF(S534="","",IF(AND(T535=3,I534=""),Z532+Y534,IF(AND(Z532="",I532=""),I534+Y534,IF(AND(T535=3,I534&gt;0,Z532&gt;0),I534+Z532+Y534,IF(Z532="",I532+I534+X534+Y534,IF(I534="",Z532+X534+Y534,Z532+I534+X534+Y534))))))</f>
        <v/>
      </c>
      <c r="AA534" s="45" t="str">
        <f>IF(AB534="",""," 1/")</f>
        <v/>
      </c>
      <c r="AB534" s="91"/>
      <c r="AC534" s="30" t="str">
        <f>IF(S534="","",IF(T534="","",IF(T534=1,0.013,0.012)))</f>
        <v/>
      </c>
      <c r="AD534" s="31" t="str">
        <f>IF(S534="","",IF(T534="","",(1/AC534*(W534/100/2)^(8/3)*(1/AB534*100)^(1/2)*1.65696)*100))</f>
        <v/>
      </c>
      <c r="AE534" s="31" t="str">
        <f>IF(S534="","",IF(T534="","",1/AC534*(W534/100/2)^(2/3)*(1/AB534)^(1/2)*0.70541))</f>
        <v/>
      </c>
      <c r="AF534" s="31" t="str">
        <f>IF(S534="","",IF(T534="","",ROUNDDOWN(AD534/($U$3/8.64),3)))</f>
        <v/>
      </c>
      <c r="AG534" s="32" t="str">
        <f>IF(S534="","",IF(T534="","",ROUNDDOWN(AF534*10000/$AJ$3,0)))</f>
        <v/>
      </c>
      <c r="AH534" s="33" t="str">
        <f t="shared" si="2517"/>
        <v/>
      </c>
      <c r="AI534" s="41" t="str">
        <f>IF(S534="","",Z534)</f>
        <v/>
      </c>
      <c r="AJ534" s="43" t="str">
        <f>IF(S534="","",AI534*$AJ$3/10000)</f>
        <v/>
      </c>
      <c r="AK534" s="33" t="str">
        <f>IF(S534="","",IF(T534="","",IF(AND(T534=1,AE534&gt;1),"NG",IF(AH534="＞","OK","NG"))))</f>
        <v/>
      </c>
    </row>
    <row r="535" spans="1:37" ht="15.75" customHeight="1" x14ac:dyDescent="0.15">
      <c r="A535" s="92"/>
      <c r="B535" s="93"/>
      <c r="C535" s="59"/>
      <c r="D535" s="61"/>
      <c r="E535" s="94"/>
      <c r="F535" s="95"/>
      <c r="G535" s="95"/>
      <c r="H535" s="96"/>
      <c r="I535" s="54"/>
      <c r="J535" s="46"/>
      <c r="K535" s="97"/>
      <c r="L535" s="57"/>
      <c r="M535" s="44"/>
      <c r="N535" s="44"/>
      <c r="O535" s="42"/>
      <c r="P535" s="50"/>
      <c r="Q535" s="42"/>
      <c r="R535" s="52"/>
      <c r="S535" s="98"/>
      <c r="T535" s="99">
        <v>41</v>
      </c>
      <c r="U535" s="34" t="str">
        <f>IF(S534="","",IF(T534=T535,"〃",IF(T535=1,"素焼土管",IF(T535=2,"合成樹脂管",IF(T535=3,"無孔管","")))))</f>
        <v/>
      </c>
      <c r="V535" s="35"/>
      <c r="W535" s="100"/>
      <c r="X535" s="101"/>
      <c r="Y535" s="95"/>
      <c r="Z535" s="42"/>
      <c r="AA535" s="46"/>
      <c r="AB535" s="97"/>
      <c r="AC535" s="36" t="str">
        <f>IF(S534="","",IF(T535=1,0.013,0.012))</f>
        <v/>
      </c>
      <c r="AD535" s="37" t="str">
        <f>IF(S534="","",(1/AC535*(W535/100/2)^(8/3)*(1/AB534*100)^(1/2)*1.65696)*100)</f>
        <v/>
      </c>
      <c r="AE535" s="37" t="str">
        <f>IF(S534="","",1/AC535*(W535/100/2)^(2/3)*(1/AB534)^(1/2)*0.70541)</f>
        <v/>
      </c>
      <c r="AF535" s="37" t="str">
        <f>IF(S534="","",ROUNDDOWN(AD535/($U$3/8.64),3))</f>
        <v/>
      </c>
      <c r="AG535" s="38" t="str">
        <f>IF(S534="","",ROUNDDOWN(AF535*10000/$AJ$3,0))</f>
        <v/>
      </c>
      <c r="AH535" s="39" t="str">
        <f t="shared" ref="AH535" si="2523">IF(S534="","",IF(AG535&gt;AI534,"＞",IF(AG535=AI534,"=","＜")))</f>
        <v/>
      </c>
      <c r="AI535" s="42"/>
      <c r="AJ535" s="44"/>
      <c r="AK535" s="39" t="str">
        <f>IF(S534="","",IF(AND(T535=1,AE535&gt;1),"NG",IF(AH535="＞","OK","NG")))</f>
        <v/>
      </c>
    </row>
    <row r="536" spans="1:37" ht="15.75" customHeight="1" x14ac:dyDescent="0.15">
      <c r="A536" s="80"/>
      <c r="B536" s="81">
        <v>42</v>
      </c>
      <c r="C536" s="58" t="str">
        <f>IF(A536="","",IF(B536=1,"素　焼土　管",IF(B536=2,"合　成樹脂管",IF(B536=3,"無孔管",""))))</f>
        <v/>
      </c>
      <c r="D536" s="60"/>
      <c r="E536" s="82"/>
      <c r="F536" s="83"/>
      <c r="G536" s="83"/>
      <c r="H536" s="84"/>
      <c r="I536" s="53" t="str">
        <f>IF(A536="","",F536-G536+H536)</f>
        <v/>
      </c>
      <c r="J536" s="55" t="str">
        <f>IF(A536="",""," 1/")</f>
        <v/>
      </c>
      <c r="K536" s="85"/>
      <c r="L536" s="56" t="str">
        <f>IF(A536="","",IF(B536=1,0.013,0.012))</f>
        <v/>
      </c>
      <c r="M536" s="47" t="str">
        <f>IF(A536="","",(1/L536*(E536/100/2)^(8/3)*(1/K536*100)^(1/2)*1.65696)*100)</f>
        <v/>
      </c>
      <c r="N536" s="47" t="str">
        <f>IF(A536="","",1/L536*(E536/100/2)^(2/3)*(1/K536)^(1/2)*0.70541)</f>
        <v/>
      </c>
      <c r="O536" s="48" t="str">
        <f>IF(A536="","",ROUNDDOWN(M536/($U$3/8.64)*10000/$AJ$3,0))</f>
        <v/>
      </c>
      <c r="P536" s="49" t="str">
        <f>IF(A536="","",IF(O536&gt;Q536,"＞","＜"))</f>
        <v/>
      </c>
      <c r="Q536" s="48" t="str">
        <f>IF(A536="","",I536)</f>
        <v/>
      </c>
      <c r="R536" s="51" t="str">
        <f>IF(A536="","",IF(P536="＞","OK","NG"))</f>
        <v/>
      </c>
      <c r="S536" s="86"/>
      <c r="T536" s="87"/>
      <c r="U536" s="28" t="str">
        <f>IF(S536="","",IF(T536=1,"素焼土管",IF(T536=2,"合成樹脂管",IF(T536=3,"無孔管",""))))</f>
        <v/>
      </c>
      <c r="V536" s="29"/>
      <c r="W536" s="88"/>
      <c r="X536" s="89"/>
      <c r="Y536" s="90"/>
      <c r="Z536" s="41" t="str">
        <f>IF(S536="","",IF(AND(T537=3,I536=""),Z534+Y536,IF(AND(Z534="",I534=""),I536+Y536,IF(AND(T537=3,I536&gt;0,Z534&gt;0),I536+Z534+Y536,IF(Z534="",I534+I536+X536+Y536,IF(I536="",Z534+X536+Y536,Z534+I536+X536+Y536))))))</f>
        <v/>
      </c>
      <c r="AA536" s="45" t="str">
        <f>IF(AB536="",""," 1/")</f>
        <v/>
      </c>
      <c r="AB536" s="91"/>
      <c r="AC536" s="30" t="str">
        <f>IF(S536="","",IF(T536="","",IF(T536=1,0.013,0.012)))</f>
        <v/>
      </c>
      <c r="AD536" s="31" t="str">
        <f>IF(S536="","",IF(T536="","",(1/AC536*(W536/100/2)^(8/3)*(1/AB536*100)^(1/2)*1.65696)*100))</f>
        <v/>
      </c>
      <c r="AE536" s="31" t="str">
        <f>IF(S536="","",IF(T536="","",1/AC536*(W536/100/2)^(2/3)*(1/AB536)^(1/2)*0.70541))</f>
        <v/>
      </c>
      <c r="AF536" s="31" t="str">
        <f>IF(S536="","",IF(T536="","",ROUNDDOWN(AD536/($U$3/8.64),3)))</f>
        <v/>
      </c>
      <c r="AG536" s="32" t="str">
        <f>IF(S536="","",IF(T536="","",ROUNDDOWN(AF536*10000/$AJ$3,0)))</f>
        <v/>
      </c>
      <c r="AH536" s="33" t="str">
        <f t="shared" si="2517"/>
        <v/>
      </c>
      <c r="AI536" s="41" t="str">
        <f>IF(S536="","",Z536)</f>
        <v/>
      </c>
      <c r="AJ536" s="43" t="str">
        <f>IF(S536="","",AI536*$AJ$3/10000)</f>
        <v/>
      </c>
      <c r="AK536" s="33" t="str">
        <f>IF(S536="","",IF(T536="","",IF(AND(T536=1,AE536&gt;1),"NG",IF(AH536="＞","OK","NG"))))</f>
        <v/>
      </c>
    </row>
    <row r="537" spans="1:37" ht="15.75" customHeight="1" x14ac:dyDescent="0.15">
      <c r="A537" s="92"/>
      <c r="B537" s="93"/>
      <c r="C537" s="59"/>
      <c r="D537" s="61"/>
      <c r="E537" s="94"/>
      <c r="F537" s="95"/>
      <c r="G537" s="95"/>
      <c r="H537" s="96"/>
      <c r="I537" s="54"/>
      <c r="J537" s="46"/>
      <c r="K537" s="97"/>
      <c r="L537" s="57"/>
      <c r="M537" s="44"/>
      <c r="N537" s="44"/>
      <c r="O537" s="42"/>
      <c r="P537" s="50"/>
      <c r="Q537" s="42"/>
      <c r="R537" s="52"/>
      <c r="S537" s="98"/>
      <c r="T537" s="99">
        <v>42</v>
      </c>
      <c r="U537" s="34" t="str">
        <f>IF(S536="","",IF(T536=T537,"〃",IF(T537=1,"素焼土管",IF(T537=2,"合成樹脂管",IF(T537=3,"無孔管","")))))</f>
        <v/>
      </c>
      <c r="V537" s="35"/>
      <c r="W537" s="100"/>
      <c r="X537" s="101"/>
      <c r="Y537" s="95"/>
      <c r="Z537" s="42"/>
      <c r="AA537" s="46"/>
      <c r="AB537" s="97"/>
      <c r="AC537" s="36" t="str">
        <f>IF(S536="","",IF(T537=1,0.013,0.012))</f>
        <v/>
      </c>
      <c r="AD537" s="37" t="str">
        <f>IF(S536="","",(1/AC537*(W537/100/2)^(8/3)*(1/AB536*100)^(1/2)*1.65696)*100)</f>
        <v/>
      </c>
      <c r="AE537" s="37" t="str">
        <f>IF(S536="","",1/AC537*(W537/100/2)^(2/3)*(1/AB536)^(1/2)*0.70541)</f>
        <v/>
      </c>
      <c r="AF537" s="37" t="str">
        <f>IF(S536="","",ROUNDDOWN(AD537/($U$3/8.64),3))</f>
        <v/>
      </c>
      <c r="AG537" s="38" t="str">
        <f>IF(S536="","",ROUNDDOWN(AF537*10000/$AJ$3,0))</f>
        <v/>
      </c>
      <c r="AH537" s="39" t="str">
        <f t="shared" ref="AH537" si="2524">IF(S536="","",IF(AG537&gt;AI536,"＞",IF(AG537=AI536,"=","＜")))</f>
        <v/>
      </c>
      <c r="AI537" s="42"/>
      <c r="AJ537" s="44"/>
      <c r="AK537" s="39" t="str">
        <f>IF(S536="","",IF(AND(T537=1,AE537&gt;1),"NG",IF(AH537="＞","OK","NG")))</f>
        <v/>
      </c>
    </row>
    <row r="538" spans="1:37" ht="15.75" customHeight="1" x14ac:dyDescent="0.15">
      <c r="A538" s="80"/>
      <c r="B538" s="81">
        <v>43</v>
      </c>
      <c r="C538" s="58" t="str">
        <f>IF(A538="","",IF(B538=1,"素　焼土　管",IF(B538=2,"合　成樹脂管",IF(B538=3,"無孔管",""))))</f>
        <v/>
      </c>
      <c r="D538" s="60"/>
      <c r="E538" s="82"/>
      <c r="F538" s="83"/>
      <c r="G538" s="83"/>
      <c r="H538" s="84"/>
      <c r="I538" s="53" t="str">
        <f>IF(A538="","",F538-G538+H538)</f>
        <v/>
      </c>
      <c r="J538" s="55" t="str">
        <f>IF(A538="",""," 1/")</f>
        <v/>
      </c>
      <c r="K538" s="85"/>
      <c r="L538" s="56" t="str">
        <f>IF(A538="","",IF(B538=1,0.013,0.012))</f>
        <v/>
      </c>
      <c r="M538" s="47" t="str">
        <f>IF(A538="","",(1/L538*(E538/100/2)^(8/3)*(1/K538*100)^(1/2)*1.65696)*100)</f>
        <v/>
      </c>
      <c r="N538" s="47" t="str">
        <f>IF(A538="","",1/L538*(E538/100/2)^(2/3)*(1/K538)^(1/2)*0.70541)</f>
        <v/>
      </c>
      <c r="O538" s="48" t="str">
        <f>IF(A538="","",ROUNDDOWN(M538/($U$3/8.64)*10000/$AJ$3,0))</f>
        <v/>
      </c>
      <c r="P538" s="49" t="str">
        <f>IF(A538="","",IF(O538&gt;Q538,"＞","＜"))</f>
        <v/>
      </c>
      <c r="Q538" s="48" t="str">
        <f>IF(A538="","",I538)</f>
        <v/>
      </c>
      <c r="R538" s="51" t="str">
        <f>IF(A538="","",IF(P538="＞","OK","NG"))</f>
        <v/>
      </c>
      <c r="S538" s="86"/>
      <c r="T538" s="87"/>
      <c r="U538" s="28" t="str">
        <f>IF(S538="","",IF(T538=1,"素焼土管",IF(T538=2,"合成樹脂管",IF(T538=3,"無孔管",""))))</f>
        <v/>
      </c>
      <c r="V538" s="29"/>
      <c r="W538" s="88"/>
      <c r="X538" s="89"/>
      <c r="Y538" s="90"/>
      <c r="Z538" s="41" t="str">
        <f>IF(S538="","",IF(AND(T539=3,I538=""),Z536+Y538,IF(AND(Z536="",I536=""),I538+Y538,IF(AND(T539=3,I538&gt;0,Z536&gt;0),I538+Z536+Y538,IF(Z536="",I536+I538+X538+Y538,IF(I538="",Z536+X538+Y538,Z536+I538+X538+Y538))))))</f>
        <v/>
      </c>
      <c r="AA538" s="45" t="str">
        <f>IF(AB538="",""," 1/")</f>
        <v/>
      </c>
      <c r="AB538" s="91"/>
      <c r="AC538" s="30" t="str">
        <f>IF(S538="","",IF(T538="","",IF(T538=1,0.013,0.012)))</f>
        <v/>
      </c>
      <c r="AD538" s="31" t="str">
        <f>IF(S538="","",IF(T538="","",(1/AC538*(W538/100/2)^(8/3)*(1/AB538*100)^(1/2)*1.65696)*100))</f>
        <v/>
      </c>
      <c r="AE538" s="31" t="str">
        <f>IF(S538="","",IF(T538="","",1/AC538*(W538/100/2)^(2/3)*(1/AB538)^(1/2)*0.70541))</f>
        <v/>
      </c>
      <c r="AF538" s="31" t="str">
        <f>IF(S538="","",IF(T538="","",ROUNDDOWN(AD538/($U$3/8.64),3)))</f>
        <v/>
      </c>
      <c r="AG538" s="32" t="str">
        <f>IF(S538="","",IF(T538="","",ROUNDDOWN(AF538*10000/$AJ$3,0)))</f>
        <v/>
      </c>
      <c r="AH538" s="33" t="str">
        <f t="shared" si="2517"/>
        <v/>
      </c>
      <c r="AI538" s="41" t="str">
        <f>IF(S538="","",Z538)</f>
        <v/>
      </c>
      <c r="AJ538" s="43" t="str">
        <f>IF(S538="","",AI538*$AJ$3/10000)</f>
        <v/>
      </c>
      <c r="AK538" s="33" t="str">
        <f>IF(S538="","",IF(T538="","",IF(AND(T538=1,AE538&gt;1),"NG",IF(AH538="＞","OK","NG"))))</f>
        <v/>
      </c>
    </row>
    <row r="539" spans="1:37" ht="15.75" customHeight="1" x14ac:dyDescent="0.15">
      <c r="A539" s="92"/>
      <c r="B539" s="93"/>
      <c r="C539" s="59"/>
      <c r="D539" s="61"/>
      <c r="E539" s="94"/>
      <c r="F539" s="95"/>
      <c r="G539" s="95"/>
      <c r="H539" s="96"/>
      <c r="I539" s="54"/>
      <c r="J539" s="46"/>
      <c r="K539" s="97"/>
      <c r="L539" s="57"/>
      <c r="M539" s="44"/>
      <c r="N539" s="44"/>
      <c r="O539" s="42"/>
      <c r="P539" s="50"/>
      <c r="Q539" s="42"/>
      <c r="R539" s="52"/>
      <c r="S539" s="98"/>
      <c r="T539" s="99">
        <v>43</v>
      </c>
      <c r="U539" s="34" t="str">
        <f>IF(S538="","",IF(T538=T539,"〃",IF(T539=1,"素焼土管",IF(T539=2,"合成樹脂管",IF(T539=3,"無孔管","")))))</f>
        <v/>
      </c>
      <c r="V539" s="35"/>
      <c r="W539" s="100"/>
      <c r="X539" s="101"/>
      <c r="Y539" s="95"/>
      <c r="Z539" s="42"/>
      <c r="AA539" s="46"/>
      <c r="AB539" s="97"/>
      <c r="AC539" s="36" t="str">
        <f>IF(S538="","",IF(T539=1,0.013,0.012))</f>
        <v/>
      </c>
      <c r="AD539" s="37" t="str">
        <f>IF(S538="","",(1/AC539*(W539/100/2)^(8/3)*(1/AB538*100)^(1/2)*1.65696)*100)</f>
        <v/>
      </c>
      <c r="AE539" s="37" t="str">
        <f>IF(S538="","",1/AC539*(W539/100/2)^(2/3)*(1/AB538)^(1/2)*0.70541)</f>
        <v/>
      </c>
      <c r="AF539" s="37" t="str">
        <f>IF(S538="","",ROUNDDOWN(AD539/($U$3/8.64),3))</f>
        <v/>
      </c>
      <c r="AG539" s="38" t="str">
        <f>IF(S538="","",ROUNDDOWN(AF539*10000/$AJ$3,0))</f>
        <v/>
      </c>
      <c r="AH539" s="39" t="str">
        <f t="shared" ref="AH539" si="2525">IF(S538="","",IF(AG539&gt;AI538,"＞",IF(AG539=AI538,"=","＜")))</f>
        <v/>
      </c>
      <c r="AI539" s="42"/>
      <c r="AJ539" s="44"/>
      <c r="AK539" s="39" t="str">
        <f>IF(S538="","",IF(AND(T539=1,AE539&gt;1),"NG",IF(AH539="＞","OK","NG")))</f>
        <v/>
      </c>
    </row>
    <row r="540" spans="1:37" ht="15.75" customHeight="1" x14ac:dyDescent="0.15">
      <c r="A540" s="80"/>
      <c r="B540" s="81">
        <v>44</v>
      </c>
      <c r="C540" s="58" t="str">
        <f>IF(A540="","",IF(B540=1,"素　焼土　管",IF(B540=2,"合　成樹脂管",IF(B540=3,"無孔管",""))))</f>
        <v/>
      </c>
      <c r="D540" s="60"/>
      <c r="E540" s="82"/>
      <c r="F540" s="83"/>
      <c r="G540" s="83"/>
      <c r="H540" s="84"/>
      <c r="I540" s="53" t="str">
        <f>IF(A540="","",F540-G540+H540)</f>
        <v/>
      </c>
      <c r="J540" s="55" t="str">
        <f>IF(A540="",""," 1/")</f>
        <v/>
      </c>
      <c r="K540" s="85"/>
      <c r="L540" s="56" t="str">
        <f>IF(A540="","",IF(B540=1,0.013,0.012))</f>
        <v/>
      </c>
      <c r="M540" s="47" t="str">
        <f>IF(A540="","",(1/L540*(E540/100/2)^(8/3)*(1/K540*100)^(1/2)*1.65696)*100)</f>
        <v/>
      </c>
      <c r="N540" s="47" t="str">
        <f>IF(A540="","",1/L540*(E540/100/2)^(2/3)*(1/K540)^(1/2)*0.70541)</f>
        <v/>
      </c>
      <c r="O540" s="48" t="str">
        <f>IF(A540="","",ROUNDDOWN(M540/($U$3/8.64)*10000/$AJ$3,0))</f>
        <v/>
      </c>
      <c r="P540" s="49" t="str">
        <f>IF(A540="","",IF(O540&gt;Q540,"＞","＜"))</f>
        <v/>
      </c>
      <c r="Q540" s="48" t="str">
        <f>IF(A540="","",I540)</f>
        <v/>
      </c>
      <c r="R540" s="51" t="str">
        <f>IF(A540="","",IF(P540="＞","OK","NG"))</f>
        <v/>
      </c>
      <c r="S540" s="86"/>
      <c r="T540" s="87"/>
      <c r="U540" s="28" t="str">
        <f>IF(S540="","",IF(T540=1,"素焼土管",IF(T540=2,"合成樹脂管",IF(T540=3,"無孔管",""))))</f>
        <v/>
      </c>
      <c r="V540" s="29"/>
      <c r="W540" s="88"/>
      <c r="X540" s="89"/>
      <c r="Y540" s="90"/>
      <c r="Z540" s="41" t="str">
        <f>IF(S540="","",IF(AND(T541=3,I540=""),Z538+Y540,IF(AND(Z538="",I538=""),I540+Y540,IF(AND(T541=3,I540&gt;0,Z538&gt;0),I540+Z538+Y540,IF(Z538="",I538+I540+X540+Y540,IF(I540="",Z538+X540+Y540,Z538+I540+X540+Y540))))))</f>
        <v/>
      </c>
      <c r="AA540" s="45" t="str">
        <f>IF(AB540="",""," 1/")</f>
        <v/>
      </c>
      <c r="AB540" s="91"/>
      <c r="AC540" s="30" t="str">
        <f>IF(S540="","",IF(T540="","",IF(T540=1,0.013,0.012)))</f>
        <v/>
      </c>
      <c r="AD540" s="31" t="str">
        <f>IF(S540="","",IF(T540="","",(1/AC540*(W540/100/2)^(8/3)*(1/AB540*100)^(1/2)*1.65696)*100))</f>
        <v/>
      </c>
      <c r="AE540" s="31" t="str">
        <f>IF(S540="","",IF(T540="","",1/AC540*(W540/100/2)^(2/3)*(1/AB540)^(1/2)*0.70541))</f>
        <v/>
      </c>
      <c r="AF540" s="31" t="str">
        <f>IF(S540="","",IF(T540="","",ROUNDDOWN(AD540/($U$3/8.64),3)))</f>
        <v/>
      </c>
      <c r="AG540" s="32" t="str">
        <f>IF(S540="","",IF(T540="","",ROUNDDOWN(AF540*10000/$AJ$3,0)))</f>
        <v/>
      </c>
      <c r="AH540" s="33" t="str">
        <f t="shared" si="2517"/>
        <v/>
      </c>
      <c r="AI540" s="41" t="str">
        <f>IF(S540="","",Z540)</f>
        <v/>
      </c>
      <c r="AJ540" s="43" t="str">
        <f>IF(S540="","",AI540*$AJ$3/10000)</f>
        <v/>
      </c>
      <c r="AK540" s="33" t="str">
        <f>IF(S540="","",IF(T540="","",IF(AND(T540=1,AE540&gt;1),"NG",IF(AH540="＞","OK","NG"))))</f>
        <v/>
      </c>
    </row>
    <row r="541" spans="1:37" ht="15.75" customHeight="1" x14ac:dyDescent="0.15">
      <c r="A541" s="92"/>
      <c r="B541" s="93"/>
      <c r="C541" s="59"/>
      <c r="D541" s="61"/>
      <c r="E541" s="94"/>
      <c r="F541" s="95"/>
      <c r="G541" s="95"/>
      <c r="H541" s="96"/>
      <c r="I541" s="54"/>
      <c r="J541" s="46"/>
      <c r="K541" s="97"/>
      <c r="L541" s="57"/>
      <c r="M541" s="44"/>
      <c r="N541" s="44"/>
      <c r="O541" s="42"/>
      <c r="P541" s="50"/>
      <c r="Q541" s="42"/>
      <c r="R541" s="52"/>
      <c r="S541" s="98"/>
      <c r="T541" s="99">
        <v>44</v>
      </c>
      <c r="U541" s="34" t="str">
        <f>IF(S540="","",IF(T540=T541,"〃",IF(T541=1,"素焼土管",IF(T541=2,"合成樹脂管",IF(T541=3,"無孔管","")))))</f>
        <v/>
      </c>
      <c r="V541" s="35"/>
      <c r="W541" s="100"/>
      <c r="X541" s="101"/>
      <c r="Y541" s="95"/>
      <c r="Z541" s="42"/>
      <c r="AA541" s="46"/>
      <c r="AB541" s="97"/>
      <c r="AC541" s="36" t="str">
        <f>IF(S540="","",IF(T541=1,0.013,0.012))</f>
        <v/>
      </c>
      <c r="AD541" s="37" t="str">
        <f>IF(S540="","",(1/AC541*(W541/100/2)^(8/3)*(1/AB540*100)^(1/2)*1.65696)*100)</f>
        <v/>
      </c>
      <c r="AE541" s="37" t="str">
        <f>IF(S540="","",1/AC541*(W541/100/2)^(2/3)*(1/AB540)^(1/2)*0.70541)</f>
        <v/>
      </c>
      <c r="AF541" s="37" t="str">
        <f>IF(S540="","",ROUNDDOWN(AD541/($U$3/8.64),3))</f>
        <v/>
      </c>
      <c r="AG541" s="38" t="str">
        <f>IF(S540="","",ROUNDDOWN(AF541*10000/$AJ$3,0))</f>
        <v/>
      </c>
      <c r="AH541" s="39" t="str">
        <f t="shared" ref="AH541" si="2526">IF(S540="","",IF(AG541&gt;AI540,"＞",IF(AG541=AI540,"=","＜")))</f>
        <v/>
      </c>
      <c r="AI541" s="42"/>
      <c r="AJ541" s="44"/>
      <c r="AK541" s="39" t="str">
        <f>IF(S540="","",IF(AND(T541=1,AE541&gt;1),"NG",IF(AH541="＞","OK","NG")))</f>
        <v/>
      </c>
    </row>
    <row r="542" spans="1:37" ht="15.75" customHeight="1" x14ac:dyDescent="0.15">
      <c r="A542" s="80"/>
      <c r="B542" s="81">
        <v>45</v>
      </c>
      <c r="C542" s="58" t="str">
        <f>IF(A542="","",IF(B542=1,"素　焼土　管",IF(B542=2,"合　成樹脂管",IF(B542=3,"無孔管",""))))</f>
        <v/>
      </c>
      <c r="D542" s="60"/>
      <c r="E542" s="82"/>
      <c r="F542" s="83"/>
      <c r="G542" s="83"/>
      <c r="H542" s="84"/>
      <c r="I542" s="53" t="str">
        <f>IF(A542="","",F542-G542+H542)</f>
        <v/>
      </c>
      <c r="J542" s="55" t="str">
        <f>IF(A542="",""," 1/")</f>
        <v/>
      </c>
      <c r="K542" s="85"/>
      <c r="L542" s="56" t="str">
        <f>IF(A542="","",IF(B542=1,0.013,0.012))</f>
        <v/>
      </c>
      <c r="M542" s="47" t="str">
        <f>IF(A542="","",(1/L542*(E542/100/2)^(8/3)*(1/K542*100)^(1/2)*1.65696)*100)</f>
        <v/>
      </c>
      <c r="N542" s="47" t="str">
        <f>IF(A542="","",1/L542*(E542/100/2)^(2/3)*(1/K542)^(1/2)*0.70541)</f>
        <v/>
      </c>
      <c r="O542" s="48" t="str">
        <f>IF(A542="","",ROUNDDOWN(M542/($U$3/8.64)*10000/$AJ$3,0))</f>
        <v/>
      </c>
      <c r="P542" s="49" t="str">
        <f>IF(A542="","",IF(O542&gt;Q542,"＞","＜"))</f>
        <v/>
      </c>
      <c r="Q542" s="48" t="str">
        <f>IF(A542="","",I542)</f>
        <v/>
      </c>
      <c r="R542" s="51" t="str">
        <f>IF(A542="","",IF(P542="＞","OK","NG"))</f>
        <v/>
      </c>
      <c r="S542" s="86"/>
      <c r="T542" s="87"/>
      <c r="U542" s="28" t="str">
        <f>IF(S542="","",IF(T542=1,"素焼土管",IF(T542=2,"合成樹脂管",IF(T542=3,"無孔管",""))))</f>
        <v/>
      </c>
      <c r="V542" s="29"/>
      <c r="W542" s="88"/>
      <c r="X542" s="89"/>
      <c r="Y542" s="90"/>
      <c r="Z542" s="41" t="str">
        <f>IF(S542="","",IF(AND(T543=3,I542=""),Z540+Y542,IF(AND(Z540="",I540=""),I542+Y542,IF(AND(T543=3,I542&gt;0,Z540&gt;0),I542+Z540+Y542,IF(Z540="",I540+I542+X542+Y542,IF(I542="",Z540+X542+Y542,Z540+I542+X542+Y542))))))</f>
        <v/>
      </c>
      <c r="AA542" s="45" t="str">
        <f>IF(AB542="",""," 1/")</f>
        <v/>
      </c>
      <c r="AB542" s="91"/>
      <c r="AC542" s="30" t="str">
        <f>IF(S542="","",IF(T542="","",IF(T542=1,0.013,0.012)))</f>
        <v/>
      </c>
      <c r="AD542" s="31" t="str">
        <f>IF(S542="","",IF(T542="","",(1/AC542*(W542/100/2)^(8/3)*(1/AB542*100)^(1/2)*1.65696)*100))</f>
        <v/>
      </c>
      <c r="AE542" s="31" t="str">
        <f>IF(S542="","",IF(T542="","",1/AC542*(W542/100/2)^(2/3)*(1/AB542)^(1/2)*0.70541))</f>
        <v/>
      </c>
      <c r="AF542" s="31" t="str">
        <f>IF(S542="","",IF(T542="","",ROUNDDOWN(AD542/($U$3/8.64),3)))</f>
        <v/>
      </c>
      <c r="AG542" s="32" t="str">
        <f>IF(S542="","",IF(T542="","",ROUNDDOWN(AF542*10000/$AJ$3,0)))</f>
        <v/>
      </c>
      <c r="AH542" s="33" t="str">
        <f t="shared" si="2517"/>
        <v/>
      </c>
      <c r="AI542" s="41" t="str">
        <f>IF(S542="","",Z542)</f>
        <v/>
      </c>
      <c r="AJ542" s="43" t="str">
        <f>IF(S542="","",AI542*$AJ$3/10000)</f>
        <v/>
      </c>
      <c r="AK542" s="33" t="str">
        <f>IF(S542="","",IF(T542="","",IF(AND(T542=1,AE542&gt;1),"NG",IF(AH542="＞","OK","NG"))))</f>
        <v/>
      </c>
    </row>
    <row r="543" spans="1:37" ht="15.75" customHeight="1" x14ac:dyDescent="0.15">
      <c r="A543" s="92"/>
      <c r="B543" s="93"/>
      <c r="C543" s="59"/>
      <c r="D543" s="61"/>
      <c r="E543" s="94"/>
      <c r="F543" s="95"/>
      <c r="G543" s="95"/>
      <c r="H543" s="96"/>
      <c r="I543" s="54"/>
      <c r="J543" s="46"/>
      <c r="K543" s="97"/>
      <c r="L543" s="57"/>
      <c r="M543" s="44"/>
      <c r="N543" s="44"/>
      <c r="O543" s="42"/>
      <c r="P543" s="50"/>
      <c r="Q543" s="42"/>
      <c r="R543" s="52"/>
      <c r="S543" s="98"/>
      <c r="T543" s="99">
        <v>45</v>
      </c>
      <c r="U543" s="34" t="str">
        <f>IF(S542="","",IF(T542=T543,"〃",IF(T543=1,"素焼土管",IF(T543=2,"合成樹脂管",IF(T543=3,"無孔管","")))))</f>
        <v/>
      </c>
      <c r="V543" s="35"/>
      <c r="W543" s="100"/>
      <c r="X543" s="101"/>
      <c r="Y543" s="95"/>
      <c r="Z543" s="42"/>
      <c r="AA543" s="46"/>
      <c r="AB543" s="97"/>
      <c r="AC543" s="36" t="str">
        <f>IF(S542="","",IF(T543=1,0.013,0.012))</f>
        <v/>
      </c>
      <c r="AD543" s="37" t="str">
        <f>IF(S542="","",(1/AC543*(W543/100/2)^(8/3)*(1/AB542*100)^(1/2)*1.65696)*100)</f>
        <v/>
      </c>
      <c r="AE543" s="37" t="str">
        <f>IF(S542="","",1/AC543*(W543/100/2)^(2/3)*(1/AB542)^(1/2)*0.70541)</f>
        <v/>
      </c>
      <c r="AF543" s="37" t="str">
        <f>IF(S542="","",ROUNDDOWN(AD543/($U$3/8.64),3))</f>
        <v/>
      </c>
      <c r="AG543" s="38" t="str">
        <f>IF(S542="","",ROUNDDOWN(AF543*10000/$AJ$3,0))</f>
        <v/>
      </c>
      <c r="AH543" s="39" t="str">
        <f t="shared" ref="AH543" si="2527">IF(S542="","",IF(AG543&gt;AI542,"＞",IF(AG543=AI542,"=","＜")))</f>
        <v/>
      </c>
      <c r="AI543" s="42"/>
      <c r="AJ543" s="44"/>
      <c r="AK543" s="39" t="str">
        <f>IF(S542="","",IF(AND(T543=1,AE543&gt;1),"NG",IF(AH543="＞","OK","NG")))</f>
        <v/>
      </c>
    </row>
    <row r="544" spans="1:37" ht="15.75" customHeight="1" x14ac:dyDescent="0.15">
      <c r="A544" s="80"/>
      <c r="B544" s="81">
        <v>46</v>
      </c>
      <c r="C544" s="58" t="str">
        <f>IF(A544="","",IF(B544=1,"素　焼土　管",IF(B544=2,"合　成樹脂管",IF(B544=3,"無孔管",""))))</f>
        <v/>
      </c>
      <c r="D544" s="60"/>
      <c r="E544" s="82"/>
      <c r="F544" s="83"/>
      <c r="G544" s="83"/>
      <c r="H544" s="84"/>
      <c r="I544" s="53" t="str">
        <f>IF(A544="","",F544-G544+H544)</f>
        <v/>
      </c>
      <c r="J544" s="55" t="str">
        <f>IF(A544="",""," 1/")</f>
        <v/>
      </c>
      <c r="K544" s="85"/>
      <c r="L544" s="56" t="str">
        <f>IF(A544="","",IF(B544=1,0.013,0.012))</f>
        <v/>
      </c>
      <c r="M544" s="47" t="str">
        <f>IF(A544="","",(1/L544*(E544/100/2)^(8/3)*(1/K544*100)^(1/2)*1.65696)*100)</f>
        <v/>
      </c>
      <c r="N544" s="47" t="str">
        <f>IF(A544="","",1/L544*(E544/100/2)^(2/3)*(1/K544)^(1/2)*0.70541)</f>
        <v/>
      </c>
      <c r="O544" s="48" t="str">
        <f>IF(A544="","",ROUNDDOWN(M544/($U$3/8.64)*10000/$AJ$3,0))</f>
        <v/>
      </c>
      <c r="P544" s="49" t="str">
        <f>IF(A544="","",IF(O544&gt;Q544,"＞","＜"))</f>
        <v/>
      </c>
      <c r="Q544" s="48" t="str">
        <f>IF(A544="","",I544)</f>
        <v/>
      </c>
      <c r="R544" s="51" t="str">
        <f>IF(A544="","",IF(P544="＞","OK","NG"))</f>
        <v/>
      </c>
      <c r="S544" s="86"/>
      <c r="T544" s="87"/>
      <c r="U544" s="28" t="str">
        <f>IF(S544="","",IF(T544=1,"素焼土管",IF(T544=2,"合成樹脂管",IF(T544=3,"無孔管",""))))</f>
        <v/>
      </c>
      <c r="V544" s="29"/>
      <c r="W544" s="88"/>
      <c r="X544" s="89"/>
      <c r="Y544" s="90"/>
      <c r="Z544" s="41" t="str">
        <f>IF(S544="","",IF(AND(T545=3,I544=""),Z542+Y544,IF(AND(Z542="",I542=""),I544+Y544,IF(AND(T545=3,I544&gt;0,Z542&gt;0),I544+Z542+Y544,IF(Z542="",I542+I544+X544+Y544,IF(I544="",Z542+X544+Y544,Z542+I544+X544+Y544))))))</f>
        <v/>
      </c>
      <c r="AA544" s="45" t="str">
        <f>IF(AB544="",""," 1/")</f>
        <v/>
      </c>
      <c r="AB544" s="91"/>
      <c r="AC544" s="30" t="str">
        <f>IF(S544="","",IF(T544="","",IF(T544=1,0.013,0.012)))</f>
        <v/>
      </c>
      <c r="AD544" s="31" t="str">
        <f>IF(S544="","",IF(T544="","",(1/AC544*(W544/100/2)^(8/3)*(1/AB544*100)^(1/2)*1.65696)*100))</f>
        <v/>
      </c>
      <c r="AE544" s="31" t="str">
        <f>IF(S544="","",IF(T544="","",1/AC544*(W544/100/2)^(2/3)*(1/AB544)^(1/2)*0.70541))</f>
        <v/>
      </c>
      <c r="AF544" s="31" t="str">
        <f>IF(S544="","",IF(T544="","",ROUNDDOWN(AD544/($U$3/8.64),3)))</f>
        <v/>
      </c>
      <c r="AG544" s="32" t="str">
        <f>IF(S544="","",IF(T544="","",ROUNDDOWN(AF544*10000/$AJ$3,0)))</f>
        <v/>
      </c>
      <c r="AH544" s="33" t="str">
        <f t="shared" si="2517"/>
        <v/>
      </c>
      <c r="AI544" s="41" t="str">
        <f>IF(S544="","",Z544)</f>
        <v/>
      </c>
      <c r="AJ544" s="43" t="str">
        <f>IF(S544="","",AI544*$AJ$3/10000)</f>
        <v/>
      </c>
      <c r="AK544" s="33" t="str">
        <f>IF(S544="","",IF(T544="","",IF(AND(T544=1,AE544&gt;1),"NG",IF(AH544="＞","OK","NG"))))</f>
        <v/>
      </c>
    </row>
    <row r="545" spans="1:37" ht="15.75" customHeight="1" x14ac:dyDescent="0.15">
      <c r="A545" s="92"/>
      <c r="B545" s="93"/>
      <c r="C545" s="59"/>
      <c r="D545" s="61"/>
      <c r="E545" s="94"/>
      <c r="F545" s="95"/>
      <c r="G545" s="95"/>
      <c r="H545" s="96"/>
      <c r="I545" s="54"/>
      <c r="J545" s="46"/>
      <c r="K545" s="97"/>
      <c r="L545" s="57"/>
      <c r="M545" s="44"/>
      <c r="N545" s="44"/>
      <c r="O545" s="42"/>
      <c r="P545" s="50"/>
      <c r="Q545" s="42"/>
      <c r="R545" s="52"/>
      <c r="S545" s="98"/>
      <c r="T545" s="99">
        <v>46</v>
      </c>
      <c r="U545" s="34" t="str">
        <f>IF(S544="","",IF(T544=T545,"〃",IF(T545=1,"素焼土管",IF(T545=2,"合成樹脂管",IF(T545=3,"無孔管","")))))</f>
        <v/>
      </c>
      <c r="V545" s="35"/>
      <c r="W545" s="100"/>
      <c r="X545" s="101"/>
      <c r="Y545" s="95"/>
      <c r="Z545" s="42"/>
      <c r="AA545" s="46"/>
      <c r="AB545" s="97"/>
      <c r="AC545" s="36" t="str">
        <f>IF(S544="","",IF(T545=1,0.013,0.012))</f>
        <v/>
      </c>
      <c r="AD545" s="37" t="str">
        <f>IF(S544="","",(1/AC545*(W545/100/2)^(8/3)*(1/AB544*100)^(1/2)*1.65696)*100)</f>
        <v/>
      </c>
      <c r="AE545" s="37" t="str">
        <f>IF(S544="","",1/AC545*(W545/100/2)^(2/3)*(1/AB544)^(1/2)*0.70541)</f>
        <v/>
      </c>
      <c r="AF545" s="37" t="str">
        <f>IF(S544="","",ROUNDDOWN(AD545/($U$3/8.64),3))</f>
        <v/>
      </c>
      <c r="AG545" s="38" t="str">
        <f>IF(S544="","",ROUNDDOWN(AF545*10000/$AJ$3,0))</f>
        <v/>
      </c>
      <c r="AH545" s="39" t="str">
        <f t="shared" ref="AH545" si="2528">IF(S544="","",IF(AG545&gt;AI544,"＞",IF(AG545=AI544,"=","＜")))</f>
        <v/>
      </c>
      <c r="AI545" s="42"/>
      <c r="AJ545" s="44"/>
      <c r="AK545" s="39" t="str">
        <f>IF(S544="","",IF(AND(T545=1,AE545&gt;1),"NG",IF(AH545="＞","OK","NG")))</f>
        <v/>
      </c>
    </row>
    <row r="546" spans="1:37" ht="15.75" customHeight="1" x14ac:dyDescent="0.15">
      <c r="A546" s="80"/>
      <c r="B546" s="81">
        <v>47</v>
      </c>
      <c r="C546" s="58" t="str">
        <f>IF(A546="","",IF(B546=1,"素　焼土　管",IF(B546=2,"合　成樹脂管",IF(B546=3,"無孔管",""))))</f>
        <v/>
      </c>
      <c r="D546" s="60"/>
      <c r="E546" s="82"/>
      <c r="F546" s="83"/>
      <c r="G546" s="83"/>
      <c r="H546" s="84"/>
      <c r="I546" s="53" t="str">
        <f>IF(A546="","",F546-G546+H546)</f>
        <v/>
      </c>
      <c r="J546" s="55" t="str">
        <f>IF(A546="",""," 1/")</f>
        <v/>
      </c>
      <c r="K546" s="85"/>
      <c r="L546" s="56" t="str">
        <f>IF(A546="","",IF(B546=1,0.013,0.012))</f>
        <v/>
      </c>
      <c r="M546" s="47" t="str">
        <f>IF(A546="","",(1/L546*(E546/100/2)^(8/3)*(1/K546*100)^(1/2)*1.65696)*100)</f>
        <v/>
      </c>
      <c r="N546" s="47" t="str">
        <f>IF(A546="","",1/L546*(E546/100/2)^(2/3)*(1/K546)^(1/2)*0.70541)</f>
        <v/>
      </c>
      <c r="O546" s="48" t="str">
        <f>IF(A546="","",ROUNDDOWN(M546/($U$3/8.64)*10000/$AJ$3,0))</f>
        <v/>
      </c>
      <c r="P546" s="49" t="str">
        <f>IF(A546="","",IF(O546&gt;Q546,"＞","＜"))</f>
        <v/>
      </c>
      <c r="Q546" s="48" t="str">
        <f>IF(A546="","",I546)</f>
        <v/>
      </c>
      <c r="R546" s="51" t="str">
        <f>IF(A546="","",IF(P546="＞","OK","NG"))</f>
        <v/>
      </c>
      <c r="S546" s="86"/>
      <c r="T546" s="87"/>
      <c r="U546" s="28" t="str">
        <f>IF(S546="","",IF(T546=1,"素焼土管",IF(T546=2,"合成樹脂管",IF(T546=3,"無孔管",""))))</f>
        <v/>
      </c>
      <c r="V546" s="29"/>
      <c r="W546" s="88"/>
      <c r="X546" s="89"/>
      <c r="Y546" s="90"/>
      <c r="Z546" s="41" t="str">
        <f>IF(S546="","",IF(AND(T547=3,I546=""),Z544+Y546,IF(AND(Z544="",I544=""),I546+Y546,IF(AND(T547=3,I546&gt;0,Z544&gt;0),I546+Z544+Y546,IF(Z544="",I544+I546+X546+Y546,IF(I546="",Z544+X546+Y546,Z544+I546+X546+Y546))))))</f>
        <v/>
      </c>
      <c r="AA546" s="45" t="str">
        <f>IF(AB546="",""," 1/")</f>
        <v/>
      </c>
      <c r="AB546" s="91"/>
      <c r="AC546" s="30" t="str">
        <f>IF(S546="","",IF(T546="","",IF(T546=1,0.013,0.012)))</f>
        <v/>
      </c>
      <c r="AD546" s="31" t="str">
        <f>IF(S546="","",IF(T546="","",(1/AC546*(W546/100/2)^(8/3)*(1/AB546*100)^(1/2)*1.65696)*100))</f>
        <v/>
      </c>
      <c r="AE546" s="31" t="str">
        <f>IF(S546="","",IF(T546="","",1/AC546*(W546/100/2)^(2/3)*(1/AB546)^(1/2)*0.70541))</f>
        <v/>
      </c>
      <c r="AF546" s="31" t="str">
        <f>IF(S546="","",IF(T546="","",ROUNDDOWN(AD546/($U$3/8.64),3)))</f>
        <v/>
      </c>
      <c r="AG546" s="32" t="str">
        <f>IF(S546="","",IF(T546="","",ROUNDDOWN(AF546*10000/$AJ$3,0)))</f>
        <v/>
      </c>
      <c r="AH546" s="33" t="str">
        <f t="shared" si="2517"/>
        <v/>
      </c>
      <c r="AI546" s="41" t="str">
        <f>IF(S546="","",Z546)</f>
        <v/>
      </c>
      <c r="AJ546" s="43" t="str">
        <f>IF(S546="","",AI546*$AJ$3/10000)</f>
        <v/>
      </c>
      <c r="AK546" s="33" t="str">
        <f>IF(S546="","",IF(T546="","",IF(AND(T546=1,AE546&gt;1),"NG",IF(AH546="＞","OK","NG"))))</f>
        <v/>
      </c>
    </row>
    <row r="547" spans="1:37" ht="15.75" customHeight="1" x14ac:dyDescent="0.15">
      <c r="A547" s="92"/>
      <c r="B547" s="93"/>
      <c r="C547" s="59"/>
      <c r="D547" s="61"/>
      <c r="E547" s="94"/>
      <c r="F547" s="95"/>
      <c r="G547" s="95"/>
      <c r="H547" s="96"/>
      <c r="I547" s="54"/>
      <c r="J547" s="46"/>
      <c r="K547" s="97"/>
      <c r="L547" s="57"/>
      <c r="M547" s="44"/>
      <c r="N547" s="44"/>
      <c r="O547" s="42"/>
      <c r="P547" s="50"/>
      <c r="Q547" s="42"/>
      <c r="R547" s="52"/>
      <c r="S547" s="98"/>
      <c r="T547" s="99">
        <v>47</v>
      </c>
      <c r="U547" s="34" t="str">
        <f>IF(S546="","",IF(T546=T547,"〃",IF(T547=1,"素焼土管",IF(T547=2,"合成樹脂管",IF(T547=3,"無孔管","")))))</f>
        <v/>
      </c>
      <c r="V547" s="35"/>
      <c r="W547" s="100"/>
      <c r="X547" s="101"/>
      <c r="Y547" s="95"/>
      <c r="Z547" s="42"/>
      <c r="AA547" s="46"/>
      <c r="AB547" s="97"/>
      <c r="AC547" s="36" t="str">
        <f>IF(S546="","",IF(T547=1,0.013,0.012))</f>
        <v/>
      </c>
      <c r="AD547" s="37" t="str">
        <f>IF(S546="","",(1/AC547*(W547/100/2)^(8/3)*(1/AB546*100)^(1/2)*1.65696)*100)</f>
        <v/>
      </c>
      <c r="AE547" s="37" t="str">
        <f>IF(S546="","",1/AC547*(W547/100/2)^(2/3)*(1/AB546)^(1/2)*0.70541)</f>
        <v/>
      </c>
      <c r="AF547" s="37" t="str">
        <f>IF(S546="","",ROUNDDOWN(AD547/($U$3/8.64),3))</f>
        <v/>
      </c>
      <c r="AG547" s="38" t="str">
        <f>IF(S546="","",ROUNDDOWN(AF547*10000/$AJ$3,0))</f>
        <v/>
      </c>
      <c r="AH547" s="39" t="str">
        <f t="shared" ref="AH547" si="2529">IF(S546="","",IF(AG547&gt;AI546,"＞",IF(AG547=AI546,"=","＜")))</f>
        <v/>
      </c>
      <c r="AI547" s="42"/>
      <c r="AJ547" s="44"/>
      <c r="AK547" s="39" t="str">
        <f>IF(S546="","",IF(AND(T547=1,AE547&gt;1),"NG",IF(AH547="＞","OK","NG")))</f>
        <v/>
      </c>
    </row>
    <row r="548" spans="1:37" ht="15.75" customHeight="1" x14ac:dyDescent="0.15">
      <c r="A548" s="80"/>
      <c r="B548" s="81">
        <v>48</v>
      </c>
      <c r="C548" s="58" t="str">
        <f>IF(A548="","",IF(B548=1,"素　焼土　管",IF(B548=2,"合　成樹脂管",IF(B548=3,"無孔管",""))))</f>
        <v/>
      </c>
      <c r="D548" s="60"/>
      <c r="E548" s="82"/>
      <c r="F548" s="83"/>
      <c r="G548" s="83"/>
      <c r="H548" s="84"/>
      <c r="I548" s="53" t="str">
        <f>IF(A548="","",F548-G548+H548)</f>
        <v/>
      </c>
      <c r="J548" s="55" t="str">
        <f>IF(A548="",""," 1/")</f>
        <v/>
      </c>
      <c r="K548" s="85"/>
      <c r="L548" s="56" t="str">
        <f>IF(A548="","",IF(B548=1,0.013,0.012))</f>
        <v/>
      </c>
      <c r="M548" s="47" t="str">
        <f>IF(A548="","",(1/L548*(E548/100/2)^(8/3)*(1/K548*100)^(1/2)*1.65696)*100)</f>
        <v/>
      </c>
      <c r="N548" s="47" t="str">
        <f>IF(A548="","",1/L548*(E548/100/2)^(2/3)*(1/K548)^(1/2)*0.70541)</f>
        <v/>
      </c>
      <c r="O548" s="48" t="str">
        <f>IF(A548="","",ROUNDDOWN(M548/($U$3/8.64)*10000/$AJ$3,0))</f>
        <v/>
      </c>
      <c r="P548" s="49" t="str">
        <f>IF(A548="","",IF(O548&gt;Q548,"＞","＜"))</f>
        <v/>
      </c>
      <c r="Q548" s="48" t="str">
        <f>IF(A548="","",I548)</f>
        <v/>
      </c>
      <c r="R548" s="51" t="str">
        <f>IF(A548="","",IF(P548="＞","OK","NG"))</f>
        <v/>
      </c>
      <c r="S548" s="86"/>
      <c r="T548" s="87"/>
      <c r="U548" s="28" t="str">
        <f>IF(S548="","",IF(T548=1,"素焼土管",IF(T548=2,"合成樹脂管",IF(T548=3,"無孔管",""))))</f>
        <v/>
      </c>
      <c r="V548" s="29"/>
      <c r="W548" s="88"/>
      <c r="X548" s="89"/>
      <c r="Y548" s="90"/>
      <c r="Z548" s="41" t="str">
        <f>IF(S548="","",IF(AND(T549=3,I548=""),Z546+Y548,IF(AND(Z546="",I546=""),I548+Y548,IF(AND(T549=3,I548&gt;0,Z546&gt;0),I548+Z546+Y548,IF(Z546="",I546+I548+X548+Y548,IF(I548="",Z546+X548+Y548,Z546+I548+X548+Y548))))))</f>
        <v/>
      </c>
      <c r="AA548" s="45" t="str">
        <f>IF(AB548="",""," 1/")</f>
        <v/>
      </c>
      <c r="AB548" s="91"/>
      <c r="AC548" s="30" t="str">
        <f>IF(S548="","",IF(T548="","",IF(T548=1,0.013,0.012)))</f>
        <v/>
      </c>
      <c r="AD548" s="31" t="str">
        <f>IF(S548="","",IF(T548="","",(1/AC548*(W548/100/2)^(8/3)*(1/AB548*100)^(1/2)*1.65696)*100))</f>
        <v/>
      </c>
      <c r="AE548" s="31" t="str">
        <f>IF(S548="","",IF(T548="","",1/AC548*(W548/100/2)^(2/3)*(1/AB548)^(1/2)*0.70541))</f>
        <v/>
      </c>
      <c r="AF548" s="31" t="str">
        <f>IF(S548="","",IF(T548="","",ROUNDDOWN(AD548/($U$3/8.64),3)))</f>
        <v/>
      </c>
      <c r="AG548" s="32" t="str">
        <f>IF(S548="","",IF(T548="","",ROUNDDOWN(AF548*10000/$AJ$3,0)))</f>
        <v/>
      </c>
      <c r="AH548" s="33" t="str">
        <f t="shared" si="2517"/>
        <v/>
      </c>
      <c r="AI548" s="41" t="str">
        <f>IF(S548="","",Z548)</f>
        <v/>
      </c>
      <c r="AJ548" s="43" t="str">
        <f>IF(S548="","",AI548*$AJ$3/10000)</f>
        <v/>
      </c>
      <c r="AK548" s="33" t="str">
        <f>IF(S548="","",IF(T548="","",IF(AND(T548=1,AE548&gt;1),"NG",IF(AH548="＞","OK","NG"))))</f>
        <v/>
      </c>
    </row>
    <row r="549" spans="1:37" ht="15.75" customHeight="1" x14ac:dyDescent="0.15">
      <c r="A549" s="92"/>
      <c r="B549" s="93"/>
      <c r="C549" s="59"/>
      <c r="D549" s="61"/>
      <c r="E549" s="94"/>
      <c r="F549" s="95"/>
      <c r="G549" s="95"/>
      <c r="H549" s="96"/>
      <c r="I549" s="54"/>
      <c r="J549" s="46"/>
      <c r="K549" s="97"/>
      <c r="L549" s="57"/>
      <c r="M549" s="44"/>
      <c r="N549" s="44"/>
      <c r="O549" s="42"/>
      <c r="P549" s="50"/>
      <c r="Q549" s="42"/>
      <c r="R549" s="52"/>
      <c r="S549" s="98"/>
      <c r="T549" s="99">
        <v>48</v>
      </c>
      <c r="U549" s="34" t="str">
        <f>IF(S548="","",IF(T548=T549,"〃",IF(T549=1,"素焼土管",IF(T549=2,"合成樹脂管",IF(T549=3,"無孔管","")))))</f>
        <v/>
      </c>
      <c r="V549" s="35"/>
      <c r="W549" s="100"/>
      <c r="X549" s="101"/>
      <c r="Y549" s="95"/>
      <c r="Z549" s="42"/>
      <c r="AA549" s="46"/>
      <c r="AB549" s="97"/>
      <c r="AC549" s="36" t="str">
        <f>IF(S548="","",IF(T549=1,0.013,0.012))</f>
        <v/>
      </c>
      <c r="AD549" s="37" t="str">
        <f>IF(S548="","",(1/AC549*(W549/100/2)^(8/3)*(1/AB548*100)^(1/2)*1.65696)*100)</f>
        <v/>
      </c>
      <c r="AE549" s="37" t="str">
        <f>IF(S548="","",1/AC549*(W549/100/2)^(2/3)*(1/AB548)^(1/2)*0.70541)</f>
        <v/>
      </c>
      <c r="AF549" s="37" t="str">
        <f>IF(S548="","",ROUNDDOWN(AD549/($U$3/8.64),3))</f>
        <v/>
      </c>
      <c r="AG549" s="38" t="str">
        <f>IF(S548="","",ROUNDDOWN(AF549*10000/$AJ$3,0))</f>
        <v/>
      </c>
      <c r="AH549" s="39" t="str">
        <f t="shared" ref="AH549" si="2530">IF(S548="","",IF(AG549&gt;AI548,"＞",IF(AG549=AI548,"=","＜")))</f>
        <v/>
      </c>
      <c r="AI549" s="42"/>
      <c r="AJ549" s="44"/>
      <c r="AK549" s="39" t="str">
        <f>IF(S548="","",IF(AND(T549=1,AE549&gt;1),"NG",IF(AH549="＞","OK","NG")))</f>
        <v/>
      </c>
    </row>
    <row r="550" spans="1:37" ht="15.75" customHeight="1" x14ac:dyDescent="0.15">
      <c r="A550" s="80"/>
      <c r="B550" s="81">
        <v>49</v>
      </c>
      <c r="C550" s="58" t="str">
        <f>IF(A550="","",IF(B550=1,"素　焼土　管",IF(B550=2,"合　成樹脂管",IF(B550=3,"無孔管",""))))</f>
        <v/>
      </c>
      <c r="D550" s="60"/>
      <c r="E550" s="82"/>
      <c r="F550" s="83"/>
      <c r="G550" s="83"/>
      <c r="H550" s="84"/>
      <c r="I550" s="53" t="str">
        <f>IF(A550="","",F550-G550+H550)</f>
        <v/>
      </c>
      <c r="J550" s="55" t="str">
        <f>IF(A550="",""," 1/")</f>
        <v/>
      </c>
      <c r="K550" s="85"/>
      <c r="L550" s="56" t="str">
        <f>IF(A550="","",IF(B550=1,0.013,0.012))</f>
        <v/>
      </c>
      <c r="M550" s="47" t="str">
        <f>IF(A550="","",(1/L550*(E550/100/2)^(8/3)*(1/K550*100)^(1/2)*1.65696)*100)</f>
        <v/>
      </c>
      <c r="N550" s="47" t="str">
        <f>IF(A550="","",1/L550*(E550/100/2)^(2/3)*(1/K550)^(1/2)*0.70541)</f>
        <v/>
      </c>
      <c r="O550" s="48" t="str">
        <f>IF(A550="","",ROUNDDOWN(M550/($U$3/8.64)*10000/$AJ$3,0))</f>
        <v/>
      </c>
      <c r="P550" s="49" t="str">
        <f>IF(A550="","",IF(O550&gt;Q550,"＞","＜"))</f>
        <v/>
      </c>
      <c r="Q550" s="48" t="str">
        <f>IF(A550="","",I550)</f>
        <v/>
      </c>
      <c r="R550" s="51" t="str">
        <f>IF(A550="","",IF(P550="＞","OK","NG"))</f>
        <v/>
      </c>
      <c r="S550" s="86"/>
      <c r="T550" s="87"/>
      <c r="U550" s="28" t="str">
        <f>IF(S550="","",IF(T550=1,"素焼土管",IF(T550=2,"合成樹脂管",IF(T550=3,"無孔管",""))))</f>
        <v/>
      </c>
      <c r="V550" s="29"/>
      <c r="W550" s="88"/>
      <c r="X550" s="89"/>
      <c r="Y550" s="90"/>
      <c r="Z550" s="41" t="str">
        <f>IF(S550="","",IF(AND(T551=3,I550=""),Z548+Y550,IF(AND(Z548="",I548=""),I550+Y550,IF(AND(T551=3,I550&gt;0,Z548&gt;0),I550+Z548+Y550,IF(Z548="",I548+I550+X550+Y550,IF(I550="",Z548+X550+Y550,Z548+I550+X550+Y550))))))</f>
        <v/>
      </c>
      <c r="AA550" s="45" t="str">
        <f>IF(AB550="",""," 1/")</f>
        <v/>
      </c>
      <c r="AB550" s="91"/>
      <c r="AC550" s="30" t="str">
        <f>IF(S550="","",IF(T550="","",IF(T550=1,0.013,0.012)))</f>
        <v/>
      </c>
      <c r="AD550" s="31" t="str">
        <f>IF(S550="","",IF(T550="","",(1/AC550*(W550/100/2)^(8/3)*(1/AB550*100)^(1/2)*1.65696)*100))</f>
        <v/>
      </c>
      <c r="AE550" s="31" t="str">
        <f>IF(S550="","",IF(T550="","",1/AC550*(W550/100/2)^(2/3)*(1/AB550)^(1/2)*0.70541))</f>
        <v/>
      </c>
      <c r="AF550" s="31" t="str">
        <f>IF(S550="","",IF(T550="","",ROUNDDOWN(AD550/($U$3/8.64),3)))</f>
        <v/>
      </c>
      <c r="AG550" s="32" t="str">
        <f>IF(S550="","",IF(T550="","",ROUNDDOWN(AF550*10000/$AJ$3,0)))</f>
        <v/>
      </c>
      <c r="AH550" s="33" t="str">
        <f t="shared" si="2517"/>
        <v/>
      </c>
      <c r="AI550" s="41" t="str">
        <f>IF(S550="","",Z550)</f>
        <v/>
      </c>
      <c r="AJ550" s="43" t="str">
        <f>IF(S550="","",AI550*$AJ$3/10000)</f>
        <v/>
      </c>
      <c r="AK550" s="33" t="str">
        <f>IF(S550="","",IF(T550="","",IF(AND(T550=1,AE550&gt;1),"NG",IF(AH550="＞","OK","NG"))))</f>
        <v/>
      </c>
    </row>
    <row r="551" spans="1:37" ht="15.75" customHeight="1" x14ac:dyDescent="0.15">
      <c r="A551" s="92"/>
      <c r="B551" s="93"/>
      <c r="C551" s="59"/>
      <c r="D551" s="61"/>
      <c r="E551" s="94"/>
      <c r="F551" s="95"/>
      <c r="G551" s="95"/>
      <c r="H551" s="96"/>
      <c r="I551" s="54"/>
      <c r="J551" s="46"/>
      <c r="K551" s="97"/>
      <c r="L551" s="57"/>
      <c r="M551" s="44"/>
      <c r="N551" s="44"/>
      <c r="O551" s="42"/>
      <c r="P551" s="50"/>
      <c r="Q551" s="42"/>
      <c r="R551" s="52"/>
      <c r="S551" s="98"/>
      <c r="T551" s="99">
        <v>49</v>
      </c>
      <c r="U551" s="34" t="str">
        <f>IF(S550="","",IF(T550=T551,"〃",IF(T551=1,"素焼土管",IF(T551=2,"合成樹脂管",IF(T551=3,"無孔管","")))))</f>
        <v/>
      </c>
      <c r="V551" s="35"/>
      <c r="W551" s="100"/>
      <c r="X551" s="101"/>
      <c r="Y551" s="95"/>
      <c r="Z551" s="42"/>
      <c r="AA551" s="46"/>
      <c r="AB551" s="97"/>
      <c r="AC551" s="36" t="str">
        <f>IF(S550="","",IF(T551=1,0.013,0.012))</f>
        <v/>
      </c>
      <c r="AD551" s="37" t="str">
        <f>IF(S550="","",(1/AC551*(W551/100/2)^(8/3)*(1/AB550*100)^(1/2)*1.65696)*100)</f>
        <v/>
      </c>
      <c r="AE551" s="37" t="str">
        <f>IF(S550="","",1/AC551*(W551/100/2)^(2/3)*(1/AB550)^(1/2)*0.70541)</f>
        <v/>
      </c>
      <c r="AF551" s="37" t="str">
        <f>IF(S550="","",ROUNDDOWN(AD551/($U$3/8.64),3))</f>
        <v/>
      </c>
      <c r="AG551" s="38" t="str">
        <f>IF(S550="","",ROUNDDOWN(AF551*10000/$AJ$3,0))</f>
        <v/>
      </c>
      <c r="AH551" s="39" t="str">
        <f t="shared" ref="AH551" si="2531">IF(S550="","",IF(AG551&gt;AI550,"＞",IF(AG551=AI550,"=","＜")))</f>
        <v/>
      </c>
      <c r="AI551" s="42"/>
      <c r="AJ551" s="44"/>
      <c r="AK551" s="39" t="str">
        <f>IF(S550="","",IF(AND(T551=1,AE551&gt;1),"NG",IF(AH551="＞","OK","NG")))</f>
        <v/>
      </c>
    </row>
    <row r="552" spans="1:37" ht="15.75" customHeight="1" x14ac:dyDescent="0.15">
      <c r="A552" s="80"/>
      <c r="B552" s="81">
        <v>50</v>
      </c>
      <c r="C552" s="58" t="str">
        <f>IF(A552="","",IF(B552=1,"素　焼土　管",IF(B552=2,"合　成樹脂管",IF(B552=3,"無孔管",""))))</f>
        <v/>
      </c>
      <c r="D552" s="60"/>
      <c r="E552" s="82"/>
      <c r="F552" s="83"/>
      <c r="G552" s="83"/>
      <c r="H552" s="84"/>
      <c r="I552" s="53" t="str">
        <f>IF(A552="","",F552-G552+H552)</f>
        <v/>
      </c>
      <c r="J552" s="55" t="str">
        <f>IF(A552="",""," 1/")</f>
        <v/>
      </c>
      <c r="K552" s="85"/>
      <c r="L552" s="56" t="str">
        <f>IF(A552="","",IF(B552=1,0.013,0.012))</f>
        <v/>
      </c>
      <c r="M552" s="47" t="str">
        <f>IF(A552="","",(1/L552*(E552/100/2)^(8/3)*(1/K552*100)^(1/2)*1.65696)*100)</f>
        <v/>
      </c>
      <c r="N552" s="47" t="str">
        <f>IF(A552="","",1/L552*(E552/100/2)^(2/3)*(1/K552)^(1/2)*0.70541)</f>
        <v/>
      </c>
      <c r="O552" s="48" t="str">
        <f>IF(A552="","",ROUNDDOWN(M552/($U$3/8.64)*10000/$AJ$3,0))</f>
        <v/>
      </c>
      <c r="P552" s="49" t="str">
        <f>IF(A552="","",IF(O552&gt;Q552,"＞","＜"))</f>
        <v/>
      </c>
      <c r="Q552" s="48" t="str">
        <f>IF(A552="","",I552)</f>
        <v/>
      </c>
      <c r="R552" s="51" t="str">
        <f>IF(A552="","",IF(P552="＞","OK","NG"))</f>
        <v/>
      </c>
      <c r="S552" s="86"/>
      <c r="T552" s="87"/>
      <c r="U552" s="28" t="str">
        <f>IF(S552="","",IF(T552=1,"素焼土管",IF(T552=2,"合成樹脂管",IF(T552=3,"無孔管",""))))</f>
        <v/>
      </c>
      <c r="V552" s="29"/>
      <c r="W552" s="88"/>
      <c r="X552" s="89"/>
      <c r="Y552" s="90"/>
      <c r="Z552" s="41" t="str">
        <f>IF(S552="","",IF(AND(T553=3,I552=""),Z550+Y552,IF(AND(Z550="",I550=""),I552+Y552,IF(AND(T553=3,I552&gt;0,Z550&gt;0),I552+Z550+Y552,IF(Z550="",I550+I552+X552+Y552,IF(I552="",Z550+X552+Y552,Z550+I552+X552+Y552))))))</f>
        <v/>
      </c>
      <c r="AA552" s="45" t="str">
        <f>IF(AB552="",""," 1/")</f>
        <v/>
      </c>
      <c r="AB552" s="91"/>
      <c r="AC552" s="30" t="str">
        <f>IF(S552="","",IF(T552="","",IF(T552=1,0.013,0.012)))</f>
        <v/>
      </c>
      <c r="AD552" s="31" t="str">
        <f>IF(S552="","",IF(T552="","",(1/AC552*(W552/100/2)^(8/3)*(1/AB552*100)^(1/2)*1.65696)*100))</f>
        <v/>
      </c>
      <c r="AE552" s="31" t="str">
        <f>IF(S552="","",IF(T552="","",1/AC552*(W552/100/2)^(2/3)*(1/AB552)^(1/2)*0.70541))</f>
        <v/>
      </c>
      <c r="AF552" s="31" t="str">
        <f>IF(S552="","",IF(T552="","",ROUNDDOWN(AD552/($U$3/8.64),3)))</f>
        <v/>
      </c>
      <c r="AG552" s="32" t="str">
        <f>IF(S552="","",IF(T552="","",ROUNDDOWN(AF552*10000/$AJ$3,0)))</f>
        <v/>
      </c>
      <c r="AH552" s="33" t="str">
        <f t="shared" si="2517"/>
        <v/>
      </c>
      <c r="AI552" s="41" t="str">
        <f>IF(S552="","",Z552)</f>
        <v/>
      </c>
      <c r="AJ552" s="43" t="str">
        <f>IF(S552="","",AI552*$AJ$3/10000)</f>
        <v/>
      </c>
      <c r="AK552" s="33" t="str">
        <f>IF(S552="","",IF(T552="","",IF(AND(T552=1,AE552&gt;1),"NG",IF(AH552="＞","OK","NG"))))</f>
        <v/>
      </c>
    </row>
    <row r="553" spans="1:37" ht="15.75" customHeight="1" x14ac:dyDescent="0.15">
      <c r="A553" s="92"/>
      <c r="B553" s="93"/>
      <c r="C553" s="59"/>
      <c r="D553" s="61"/>
      <c r="E553" s="94"/>
      <c r="F553" s="95"/>
      <c r="G553" s="95"/>
      <c r="H553" s="96"/>
      <c r="I553" s="54"/>
      <c r="J553" s="46"/>
      <c r="K553" s="97"/>
      <c r="L553" s="57"/>
      <c r="M553" s="44"/>
      <c r="N553" s="44"/>
      <c r="O553" s="42"/>
      <c r="P553" s="50"/>
      <c r="Q553" s="42"/>
      <c r="R553" s="52"/>
      <c r="S553" s="98"/>
      <c r="T553" s="99">
        <v>50</v>
      </c>
      <c r="U553" s="34" t="str">
        <f>IF(S552="","",IF(T552=T553,"〃",IF(T553=1,"素焼土管",IF(T553=2,"合成樹脂管",IF(T553=3,"無孔管","")))))</f>
        <v/>
      </c>
      <c r="V553" s="35"/>
      <c r="W553" s="100"/>
      <c r="X553" s="101"/>
      <c r="Y553" s="95"/>
      <c r="Z553" s="42"/>
      <c r="AA553" s="46"/>
      <c r="AB553" s="97"/>
      <c r="AC553" s="36" t="str">
        <f>IF(S552="","",IF(T553=1,0.013,0.012))</f>
        <v/>
      </c>
      <c r="AD553" s="37" t="str">
        <f>IF(S552="","",(1/AC553*(W553/100/2)^(8/3)*(1/AB552*100)^(1/2)*1.65696)*100)</f>
        <v/>
      </c>
      <c r="AE553" s="37" t="str">
        <f>IF(S552="","",1/AC553*(W553/100/2)^(2/3)*(1/AB552)^(1/2)*0.70541)</f>
        <v/>
      </c>
      <c r="AF553" s="37" t="str">
        <f>IF(S552="","",ROUNDDOWN(AD553/($U$3/8.64),3))</f>
        <v/>
      </c>
      <c r="AG553" s="38" t="str">
        <f>IF(S552="","",ROUNDDOWN(AF553*10000/$AJ$3,0))</f>
        <v/>
      </c>
      <c r="AH553" s="39" t="str">
        <f t="shared" ref="AH553" si="2532">IF(S552="","",IF(AG553&gt;AI552,"＞",IF(AG553=AI552,"=","＜")))</f>
        <v/>
      </c>
      <c r="AI553" s="42"/>
      <c r="AJ553" s="44"/>
      <c r="AK553" s="39" t="str">
        <f>IF(S552="","",IF(AND(T553=1,AE553&gt;1),"NG",IF(AH553="＞","OK","NG")))</f>
        <v/>
      </c>
    </row>
    <row r="554" spans="1:37" ht="15.75" customHeight="1" x14ac:dyDescent="0.15">
      <c r="A554" s="80"/>
      <c r="B554" s="81">
        <v>51</v>
      </c>
      <c r="C554" s="58" t="str">
        <f>IF(A554="","",IF(B554=1,"素　焼土　管",IF(B554=2,"合　成樹脂管",IF(B554=3,"無孔管",""))))</f>
        <v/>
      </c>
      <c r="D554" s="60"/>
      <c r="E554" s="82"/>
      <c r="F554" s="83"/>
      <c r="G554" s="83"/>
      <c r="H554" s="84"/>
      <c r="I554" s="53" t="str">
        <f>IF(A554="","",F554-G554+H554)</f>
        <v/>
      </c>
      <c r="J554" s="55" t="str">
        <f>IF(A554="",""," 1/")</f>
        <v/>
      </c>
      <c r="K554" s="85"/>
      <c r="L554" s="56" t="str">
        <f>IF(A554="","",IF(B554=1,0.013,0.012))</f>
        <v/>
      </c>
      <c r="M554" s="47" t="str">
        <f>IF(A554="","",(1/L554*(E554/100/2)^(8/3)*(1/K554*100)^(1/2)*1.65696)*100)</f>
        <v/>
      </c>
      <c r="N554" s="47" t="str">
        <f>IF(A554="","",1/L554*(E554/100/2)^(2/3)*(1/K554)^(1/2)*0.70541)</f>
        <v/>
      </c>
      <c r="O554" s="48" t="str">
        <f>IF(A554="","",ROUNDDOWN(M554/($U$3/8.64)*10000/$AJ$3,0))</f>
        <v/>
      </c>
      <c r="P554" s="49" t="str">
        <f>IF(A554="","",IF(O554&gt;Q554,"＞","＜"))</f>
        <v/>
      </c>
      <c r="Q554" s="48" t="str">
        <f>IF(A554="","",I554)</f>
        <v/>
      </c>
      <c r="R554" s="51" t="str">
        <f>IF(A554="","",IF(P554="＞","OK","NG"))</f>
        <v/>
      </c>
      <c r="S554" s="86"/>
      <c r="T554" s="87"/>
      <c r="U554" s="28" t="str">
        <f>IF(S554="","",IF(T554=1,"素焼土管",IF(T554=2,"合成樹脂管",IF(T554=3,"無孔管",""))))</f>
        <v/>
      </c>
      <c r="V554" s="29"/>
      <c r="W554" s="88"/>
      <c r="X554" s="89"/>
      <c r="Y554" s="90"/>
      <c r="Z554" s="41" t="str">
        <f>IF(S554="","",IF(AND(T555=3,I554=""),Z552+Y554,IF(AND(Z552="",I552=""),I554+Y554,IF(AND(T555=3,I554&gt;0,Z552&gt;0),I554+Z552+Y554,IF(Z552="",I552+I554+X554+Y554,IF(I554="",Z552+X554+Y554,Z552+I554+X554+Y554))))))</f>
        <v/>
      </c>
      <c r="AA554" s="45" t="str">
        <f>IF(AB554="",""," 1/")</f>
        <v/>
      </c>
      <c r="AB554" s="91"/>
      <c r="AC554" s="30" t="str">
        <f>IF(S554="","",IF(T554="","",IF(T554=1,0.013,0.012)))</f>
        <v/>
      </c>
      <c r="AD554" s="31" t="str">
        <f>IF(S554="","",IF(T554="","",(1/AC554*(W554/100/2)^(8/3)*(1/AB554*100)^(1/2)*1.65696)*100))</f>
        <v/>
      </c>
      <c r="AE554" s="31" t="str">
        <f>IF(S554="","",IF(T554="","",1/AC554*(W554/100/2)^(2/3)*(1/AB554)^(1/2)*0.70541))</f>
        <v/>
      </c>
      <c r="AF554" s="31" t="str">
        <f>IF(S554="","",IF(T554="","",ROUNDDOWN(AD554/($U$3/8.64),3)))</f>
        <v/>
      </c>
      <c r="AG554" s="32" t="str">
        <f>IF(S554="","",IF(T554="","",ROUNDDOWN(AF554*10000/$AJ$3,0)))</f>
        <v/>
      </c>
      <c r="AH554" s="33" t="str">
        <f t="shared" si="2517"/>
        <v/>
      </c>
      <c r="AI554" s="41" t="str">
        <f>IF(S554="","",Z554)</f>
        <v/>
      </c>
      <c r="AJ554" s="43" t="str">
        <f>IF(S554="","",AI554*$AJ$3/10000)</f>
        <v/>
      </c>
      <c r="AK554" s="33" t="str">
        <f>IF(S554="","",IF(T554="","",IF(AND(T554=1,AE554&gt;1),"NG",IF(AH554="＞","OK","NG"))))</f>
        <v/>
      </c>
    </row>
    <row r="555" spans="1:37" ht="15.75" customHeight="1" x14ac:dyDescent="0.15">
      <c r="A555" s="92"/>
      <c r="B555" s="93"/>
      <c r="C555" s="59"/>
      <c r="D555" s="61"/>
      <c r="E555" s="94"/>
      <c r="F555" s="95"/>
      <c r="G555" s="95"/>
      <c r="H555" s="96"/>
      <c r="I555" s="54"/>
      <c r="J555" s="46"/>
      <c r="K555" s="97"/>
      <c r="L555" s="57"/>
      <c r="M555" s="44"/>
      <c r="N555" s="44"/>
      <c r="O555" s="42"/>
      <c r="P555" s="50"/>
      <c r="Q555" s="42"/>
      <c r="R555" s="52"/>
      <c r="S555" s="98"/>
      <c r="T555" s="99">
        <v>51</v>
      </c>
      <c r="U555" s="34" t="str">
        <f>IF(S554="","",IF(T554=T555,"〃",IF(T555=1,"素焼土管",IF(T555=2,"合成樹脂管",IF(T555=3,"無孔管","")))))</f>
        <v/>
      </c>
      <c r="V555" s="35"/>
      <c r="W555" s="100"/>
      <c r="X555" s="101"/>
      <c r="Y555" s="95"/>
      <c r="Z555" s="42"/>
      <c r="AA555" s="46"/>
      <c r="AB555" s="97"/>
      <c r="AC555" s="36" t="str">
        <f>IF(S554="","",IF(T555=1,0.013,0.012))</f>
        <v/>
      </c>
      <c r="AD555" s="37" t="str">
        <f>IF(S554="","",(1/AC555*(W555/100/2)^(8/3)*(1/AB554*100)^(1/2)*1.65696)*100)</f>
        <v/>
      </c>
      <c r="AE555" s="37" t="str">
        <f>IF(S554="","",1/AC555*(W555/100/2)^(2/3)*(1/AB554)^(1/2)*0.70541)</f>
        <v/>
      </c>
      <c r="AF555" s="37" t="str">
        <f>IF(S554="","",ROUNDDOWN(AD555/($U$3/8.64),3))</f>
        <v/>
      </c>
      <c r="AG555" s="38" t="str">
        <f>IF(S554="","",ROUNDDOWN(AF555*10000/$AJ$3,0))</f>
        <v/>
      </c>
      <c r="AH555" s="39" t="str">
        <f t="shared" ref="AH555" si="2533">IF(S554="","",IF(AG555&gt;AI554,"＞",IF(AG555=AI554,"=","＜")))</f>
        <v/>
      </c>
      <c r="AI555" s="42"/>
      <c r="AJ555" s="44"/>
      <c r="AK555" s="39" t="str">
        <f>IF(S554="","",IF(AND(T555=1,AE555&gt;1),"NG",IF(AH555="＞","OK","NG")))</f>
        <v/>
      </c>
    </row>
    <row r="556" spans="1:37" ht="15.75" customHeight="1" x14ac:dyDescent="0.15">
      <c r="A556" s="80"/>
      <c r="B556" s="81">
        <v>52</v>
      </c>
      <c r="C556" s="58" t="str">
        <f>IF(A556="","",IF(B556=1,"素　焼土　管",IF(B556=2,"合　成樹脂管",IF(B556=3,"無孔管",""))))</f>
        <v/>
      </c>
      <c r="D556" s="60"/>
      <c r="E556" s="82"/>
      <c r="F556" s="83"/>
      <c r="G556" s="83"/>
      <c r="H556" s="84"/>
      <c r="I556" s="53" t="str">
        <f>IF(A556="","",F556-G556+H556)</f>
        <v/>
      </c>
      <c r="J556" s="55" t="str">
        <f>IF(A556="",""," 1/")</f>
        <v/>
      </c>
      <c r="K556" s="85"/>
      <c r="L556" s="56" t="str">
        <f>IF(A556="","",IF(B556=1,0.013,0.012))</f>
        <v/>
      </c>
      <c r="M556" s="47" t="str">
        <f>IF(A556="","",(1/L556*(E556/100/2)^(8/3)*(1/K556*100)^(1/2)*1.65696)*100)</f>
        <v/>
      </c>
      <c r="N556" s="47" t="str">
        <f>IF(A556="","",1/L556*(E556/100/2)^(2/3)*(1/K556)^(1/2)*0.70541)</f>
        <v/>
      </c>
      <c r="O556" s="48" t="str">
        <f>IF(A556="","",ROUNDDOWN(M556/($U$3/8.64)*10000/$AJ$3,0))</f>
        <v/>
      </c>
      <c r="P556" s="49" t="str">
        <f>IF(A556="","",IF(O556&gt;Q556,"＞","＜"))</f>
        <v/>
      </c>
      <c r="Q556" s="48" t="str">
        <f>IF(A556="","",I556)</f>
        <v/>
      </c>
      <c r="R556" s="51" t="str">
        <f>IF(A556="","",IF(P556="＞","OK","NG"))</f>
        <v/>
      </c>
      <c r="S556" s="86"/>
      <c r="T556" s="87"/>
      <c r="U556" s="28" t="str">
        <f>IF(S556="","",IF(T556=1,"素焼土管",IF(T556=2,"合成樹脂管",IF(T556=3,"無孔管",""))))</f>
        <v/>
      </c>
      <c r="V556" s="29"/>
      <c r="W556" s="88"/>
      <c r="X556" s="89"/>
      <c r="Y556" s="90"/>
      <c r="Z556" s="41" t="str">
        <f>IF(S556="","",IF(AND(T557=3,I556=""),Z554+Y556,IF(AND(Z554="",I554=""),I556+Y556,IF(AND(T557=3,I556&gt;0,Z554&gt;0),I556+Z554+Y556,IF(Z554="",I554+I556+X556+Y556,IF(I556="",Z554+X556+Y556,Z554+I556+X556+Y556))))))</f>
        <v/>
      </c>
      <c r="AA556" s="45" t="str">
        <f>IF(AB556="",""," 1/")</f>
        <v/>
      </c>
      <c r="AB556" s="91"/>
      <c r="AC556" s="30" t="str">
        <f>IF(S556="","",IF(T556="","",IF(T556=1,0.013,0.012)))</f>
        <v/>
      </c>
      <c r="AD556" s="31" t="str">
        <f>IF(S556="","",IF(T556="","",(1/AC556*(W556/100/2)^(8/3)*(1/AB556*100)^(1/2)*1.65696)*100))</f>
        <v/>
      </c>
      <c r="AE556" s="31" t="str">
        <f>IF(S556="","",IF(T556="","",1/AC556*(W556/100/2)^(2/3)*(1/AB556)^(1/2)*0.70541))</f>
        <v/>
      </c>
      <c r="AF556" s="31" t="str">
        <f>IF(S556="","",IF(T556="","",ROUNDDOWN(AD556/($U$3/8.64),3)))</f>
        <v/>
      </c>
      <c r="AG556" s="32" t="str">
        <f>IF(S556="","",IF(T556="","",ROUNDDOWN(AF556*10000/$AJ$3,0)))</f>
        <v/>
      </c>
      <c r="AH556" s="33" t="str">
        <f t="shared" si="2517"/>
        <v/>
      </c>
      <c r="AI556" s="41" t="str">
        <f>IF(S556="","",Z556)</f>
        <v/>
      </c>
      <c r="AJ556" s="43" t="str">
        <f>IF(S556="","",AI556*$AJ$3/10000)</f>
        <v/>
      </c>
      <c r="AK556" s="33" t="str">
        <f>IF(S556="","",IF(T556="","",IF(AND(T556=1,AE556&gt;1),"NG",IF(AH556="＞","OK","NG"))))</f>
        <v/>
      </c>
    </row>
    <row r="557" spans="1:37" ht="15.75" customHeight="1" x14ac:dyDescent="0.15">
      <c r="A557" s="92"/>
      <c r="B557" s="93"/>
      <c r="C557" s="59"/>
      <c r="D557" s="61"/>
      <c r="E557" s="94"/>
      <c r="F557" s="95"/>
      <c r="G557" s="95"/>
      <c r="H557" s="96"/>
      <c r="I557" s="54"/>
      <c r="J557" s="46"/>
      <c r="K557" s="97"/>
      <c r="L557" s="57"/>
      <c r="M557" s="44"/>
      <c r="N557" s="44"/>
      <c r="O557" s="42"/>
      <c r="P557" s="50"/>
      <c r="Q557" s="42"/>
      <c r="R557" s="52"/>
      <c r="S557" s="98"/>
      <c r="T557" s="99">
        <v>52</v>
      </c>
      <c r="U557" s="34" t="str">
        <f>IF(S556="","",IF(T556=T557,"〃",IF(T557=1,"素焼土管",IF(T557=2,"合成樹脂管",IF(T557=3,"無孔管","")))))</f>
        <v/>
      </c>
      <c r="V557" s="35"/>
      <c r="W557" s="100"/>
      <c r="X557" s="101"/>
      <c r="Y557" s="95"/>
      <c r="Z557" s="42"/>
      <c r="AA557" s="46"/>
      <c r="AB557" s="97"/>
      <c r="AC557" s="36" t="str">
        <f>IF(S556="","",IF(T557=1,0.013,0.012))</f>
        <v/>
      </c>
      <c r="AD557" s="37" t="str">
        <f>IF(S556="","",(1/AC557*(W557/100/2)^(8/3)*(1/AB556*100)^(1/2)*1.65696)*100)</f>
        <v/>
      </c>
      <c r="AE557" s="37" t="str">
        <f>IF(S556="","",1/AC557*(W557/100/2)^(2/3)*(1/AB556)^(1/2)*0.70541)</f>
        <v/>
      </c>
      <c r="AF557" s="37" t="str">
        <f>IF(S556="","",ROUNDDOWN(AD557/($U$3/8.64),3))</f>
        <v/>
      </c>
      <c r="AG557" s="38" t="str">
        <f>IF(S556="","",ROUNDDOWN(AF557*10000/$AJ$3,0))</f>
        <v/>
      </c>
      <c r="AH557" s="39" t="str">
        <f t="shared" ref="AH557" si="2534">IF(S556="","",IF(AG557&gt;AI556,"＞",IF(AG557=AI556,"=","＜")))</f>
        <v/>
      </c>
      <c r="AI557" s="42"/>
      <c r="AJ557" s="44"/>
      <c r="AK557" s="39" t="str">
        <f>IF(S556="","",IF(AND(T557=1,AE557&gt;1),"NG",IF(AH557="＞","OK","NG")))</f>
        <v/>
      </c>
    </row>
    <row r="558" spans="1:37" ht="15.75" customHeight="1" x14ac:dyDescent="0.15">
      <c r="A558" s="80"/>
      <c r="B558" s="81">
        <v>53</v>
      </c>
      <c r="C558" s="58" t="str">
        <f>IF(A558="","",IF(B558=1,"素　焼土　管",IF(B558=2,"合　成樹脂管",IF(B558=3,"無孔管",""))))</f>
        <v/>
      </c>
      <c r="D558" s="60"/>
      <c r="E558" s="82"/>
      <c r="F558" s="83"/>
      <c r="G558" s="83"/>
      <c r="H558" s="84"/>
      <c r="I558" s="53" t="str">
        <f>IF(A558="","",F558-G558+H558)</f>
        <v/>
      </c>
      <c r="J558" s="55" t="str">
        <f>IF(A558="",""," 1/")</f>
        <v/>
      </c>
      <c r="K558" s="85"/>
      <c r="L558" s="56" t="str">
        <f>IF(A558="","",IF(B558=1,0.013,0.012))</f>
        <v/>
      </c>
      <c r="M558" s="47" t="str">
        <f>IF(A558="","",(1/L558*(E558/100/2)^(8/3)*(1/K558*100)^(1/2)*1.65696)*100)</f>
        <v/>
      </c>
      <c r="N558" s="47" t="str">
        <f>IF(A558="","",1/L558*(E558/100/2)^(2/3)*(1/K558)^(1/2)*0.70541)</f>
        <v/>
      </c>
      <c r="O558" s="48" t="str">
        <f>IF(A558="","",ROUNDDOWN(M558/($U$3/8.64)*10000/$AJ$3,0))</f>
        <v/>
      </c>
      <c r="P558" s="49" t="str">
        <f>IF(A558="","",IF(O558&gt;Q558,"＞","＜"))</f>
        <v/>
      </c>
      <c r="Q558" s="48" t="str">
        <f>IF(A558="","",I558)</f>
        <v/>
      </c>
      <c r="R558" s="51" t="str">
        <f>IF(A558="","",IF(P558="＞","OK","NG"))</f>
        <v/>
      </c>
      <c r="S558" s="86"/>
      <c r="T558" s="87"/>
      <c r="U558" s="28" t="str">
        <f>IF(S558="","",IF(T558=1,"素焼土管",IF(T558=2,"合成樹脂管",IF(T558=3,"無孔管",""))))</f>
        <v/>
      </c>
      <c r="V558" s="29"/>
      <c r="W558" s="88"/>
      <c r="X558" s="89"/>
      <c r="Y558" s="90"/>
      <c r="Z558" s="41" t="str">
        <f>IF(S558="","",IF(AND(T559=3,I558=""),Z556+Y558,IF(AND(Z556="",I556=""),I558+Y558,IF(AND(T559=3,I558&gt;0,Z556&gt;0),I558+Z556+Y558,IF(Z556="",I556+I558+X558+Y558,IF(I558="",Z556+X558+Y558,Z556+I558+X558+Y558))))))</f>
        <v/>
      </c>
      <c r="AA558" s="45" t="str">
        <f>IF(AB558="",""," 1/")</f>
        <v/>
      </c>
      <c r="AB558" s="91"/>
      <c r="AC558" s="30" t="str">
        <f>IF(S558="","",IF(T558="","",IF(T558=1,0.013,0.012)))</f>
        <v/>
      </c>
      <c r="AD558" s="31" t="str">
        <f>IF(S558="","",IF(T558="","",(1/AC558*(W558/100/2)^(8/3)*(1/AB558*100)^(1/2)*1.65696)*100))</f>
        <v/>
      </c>
      <c r="AE558" s="31" t="str">
        <f>IF(S558="","",IF(T558="","",1/AC558*(W558/100/2)^(2/3)*(1/AB558)^(1/2)*0.70541))</f>
        <v/>
      </c>
      <c r="AF558" s="31" t="str">
        <f>IF(S558="","",IF(T558="","",ROUNDDOWN(AD558/($U$3/8.64),3)))</f>
        <v/>
      </c>
      <c r="AG558" s="32" t="str">
        <f>IF(S558="","",IF(T558="","",ROUNDDOWN(AF558*10000/$AJ$3,0)))</f>
        <v/>
      </c>
      <c r="AH558" s="33" t="str">
        <f t="shared" si="2517"/>
        <v/>
      </c>
      <c r="AI558" s="41" t="str">
        <f>IF(S558="","",Z558)</f>
        <v/>
      </c>
      <c r="AJ558" s="43" t="str">
        <f>IF(S558="","",AI558*$AJ$3/10000)</f>
        <v/>
      </c>
      <c r="AK558" s="33" t="str">
        <f>IF(S558="","",IF(T558="","",IF(AND(T558=1,AE558&gt;1),"NG",IF(AH558="＞","OK","NG"))))</f>
        <v/>
      </c>
    </row>
    <row r="559" spans="1:37" ht="15.75" customHeight="1" x14ac:dyDescent="0.15">
      <c r="A559" s="92"/>
      <c r="B559" s="93"/>
      <c r="C559" s="59"/>
      <c r="D559" s="61"/>
      <c r="E559" s="94"/>
      <c r="F559" s="95"/>
      <c r="G559" s="95"/>
      <c r="H559" s="96"/>
      <c r="I559" s="54"/>
      <c r="J559" s="46"/>
      <c r="K559" s="97"/>
      <c r="L559" s="57"/>
      <c r="M559" s="44"/>
      <c r="N559" s="44"/>
      <c r="O559" s="42"/>
      <c r="P559" s="50"/>
      <c r="Q559" s="42"/>
      <c r="R559" s="52"/>
      <c r="S559" s="98"/>
      <c r="T559" s="99">
        <v>53</v>
      </c>
      <c r="U559" s="34" t="str">
        <f>IF(S558="","",IF(T558=T559,"〃",IF(T559=1,"素焼土管",IF(T559=2,"合成樹脂管",IF(T559=3,"無孔管","")))))</f>
        <v/>
      </c>
      <c r="V559" s="35"/>
      <c r="W559" s="100"/>
      <c r="X559" s="101"/>
      <c r="Y559" s="95"/>
      <c r="Z559" s="42"/>
      <c r="AA559" s="46"/>
      <c r="AB559" s="97"/>
      <c r="AC559" s="36" t="str">
        <f>IF(S558="","",IF(T559=1,0.013,0.012))</f>
        <v/>
      </c>
      <c r="AD559" s="37" t="str">
        <f>IF(S558="","",(1/AC559*(W559/100/2)^(8/3)*(1/AB558*100)^(1/2)*1.65696)*100)</f>
        <v/>
      </c>
      <c r="AE559" s="37" t="str">
        <f>IF(S558="","",1/AC559*(W559/100/2)^(2/3)*(1/AB558)^(1/2)*0.70541)</f>
        <v/>
      </c>
      <c r="AF559" s="37" t="str">
        <f>IF(S558="","",ROUNDDOWN(AD559/($U$3/8.64),3))</f>
        <v/>
      </c>
      <c r="AG559" s="38" t="str">
        <f>IF(S558="","",ROUNDDOWN(AF559*10000/$AJ$3,0))</f>
        <v/>
      </c>
      <c r="AH559" s="39" t="str">
        <f t="shared" ref="AH559" si="2535">IF(S558="","",IF(AG559&gt;AI558,"＞",IF(AG559=AI558,"=","＜")))</f>
        <v/>
      </c>
      <c r="AI559" s="42"/>
      <c r="AJ559" s="44"/>
      <c r="AK559" s="39" t="str">
        <f>IF(S558="","",IF(AND(T559=1,AE559&gt;1),"NG",IF(AH559="＞","OK","NG")))</f>
        <v/>
      </c>
    </row>
    <row r="560" spans="1:37" ht="15.75" customHeight="1" x14ac:dyDescent="0.15">
      <c r="A560" s="80"/>
      <c r="B560" s="81">
        <v>54</v>
      </c>
      <c r="C560" s="58" t="str">
        <f>IF(A560="","",IF(B560=1,"素　焼土　管",IF(B560=2,"合　成樹脂管",IF(B560=3,"無孔管",""))))</f>
        <v/>
      </c>
      <c r="D560" s="60"/>
      <c r="E560" s="82"/>
      <c r="F560" s="83"/>
      <c r="G560" s="83"/>
      <c r="H560" s="84"/>
      <c r="I560" s="53" t="str">
        <f>IF(A560="","",F560-G560+H560)</f>
        <v/>
      </c>
      <c r="J560" s="55" t="str">
        <f>IF(A560="",""," 1/")</f>
        <v/>
      </c>
      <c r="K560" s="85"/>
      <c r="L560" s="56" t="str">
        <f>IF(A560="","",IF(B560=1,0.013,0.012))</f>
        <v/>
      </c>
      <c r="M560" s="47" t="str">
        <f>IF(A560="","",(1/L560*(E560/100/2)^(8/3)*(1/K560*100)^(1/2)*1.65696)*100)</f>
        <v/>
      </c>
      <c r="N560" s="47" t="str">
        <f>IF(A560="","",1/L560*(E560/100/2)^(2/3)*(1/K560)^(1/2)*0.70541)</f>
        <v/>
      </c>
      <c r="O560" s="48" t="str">
        <f>IF(A560="","",ROUNDDOWN(M560/($U$3/8.64)*10000/$AJ$3,0))</f>
        <v/>
      </c>
      <c r="P560" s="49" t="str">
        <f>IF(A560="","",IF(O560&gt;Q560,"＞","＜"))</f>
        <v/>
      </c>
      <c r="Q560" s="48" t="str">
        <f>IF(A560="","",I560)</f>
        <v/>
      </c>
      <c r="R560" s="51" t="str">
        <f>IF(A560="","",IF(P560="＞","OK","NG"))</f>
        <v/>
      </c>
      <c r="S560" s="86"/>
      <c r="T560" s="87"/>
      <c r="U560" s="28" t="str">
        <f>IF(S560="","",IF(T560=1,"素焼土管",IF(T560=2,"合成樹脂管",IF(T560=3,"無孔管",""))))</f>
        <v/>
      </c>
      <c r="V560" s="29"/>
      <c r="W560" s="88"/>
      <c r="X560" s="89"/>
      <c r="Y560" s="90"/>
      <c r="Z560" s="41" t="str">
        <f>IF(S560="","",IF(AND(T561=3,I560=""),Z558+Y560,IF(AND(Z558="",I558=""),I560+Y560,IF(AND(T561=3,I560&gt;0,Z558&gt;0),I560+Z558+Y560,IF(Z558="",I558+I560+X560+Y560,IF(I560="",Z558+X560+Y560,Z558+I560+X560+Y560))))))</f>
        <v/>
      </c>
      <c r="AA560" s="45" t="str">
        <f>IF(AB560="",""," 1/")</f>
        <v/>
      </c>
      <c r="AB560" s="91"/>
      <c r="AC560" s="30" t="str">
        <f>IF(S560="","",IF(T560="","",IF(T560=1,0.013,0.012)))</f>
        <v/>
      </c>
      <c r="AD560" s="31" t="str">
        <f>IF(S560="","",IF(T560="","",(1/AC560*(W560/100/2)^(8/3)*(1/AB560*100)^(1/2)*1.65696)*100))</f>
        <v/>
      </c>
      <c r="AE560" s="31" t="str">
        <f>IF(S560="","",IF(T560="","",1/AC560*(W560/100/2)^(2/3)*(1/AB560)^(1/2)*0.70541))</f>
        <v/>
      </c>
      <c r="AF560" s="31" t="str">
        <f>IF(S560="","",IF(T560="","",ROUNDDOWN(AD560/($U$3/8.64),3)))</f>
        <v/>
      </c>
      <c r="AG560" s="32" t="str">
        <f>IF(S560="","",IF(T560="","",ROUNDDOWN(AF560*10000/$AJ$3,0)))</f>
        <v/>
      </c>
      <c r="AH560" s="33" t="str">
        <f t="shared" si="2517"/>
        <v/>
      </c>
      <c r="AI560" s="41" t="str">
        <f>IF(S560="","",Z560)</f>
        <v/>
      </c>
      <c r="AJ560" s="43" t="str">
        <f>IF(S560="","",AI560*$AJ$3/10000)</f>
        <v/>
      </c>
      <c r="AK560" s="33" t="str">
        <f>IF(S560="","",IF(T560="","",IF(AND(T560=1,AE560&gt;1),"NG",IF(AH560="＞","OK","NG"))))</f>
        <v/>
      </c>
    </row>
    <row r="561" spans="1:37" ht="15.75" customHeight="1" x14ac:dyDescent="0.15">
      <c r="A561" s="92"/>
      <c r="B561" s="93"/>
      <c r="C561" s="59"/>
      <c r="D561" s="61"/>
      <c r="E561" s="94"/>
      <c r="F561" s="95"/>
      <c r="G561" s="95"/>
      <c r="H561" s="96"/>
      <c r="I561" s="54"/>
      <c r="J561" s="46"/>
      <c r="K561" s="97"/>
      <c r="L561" s="57"/>
      <c r="M561" s="44"/>
      <c r="N561" s="44"/>
      <c r="O561" s="42"/>
      <c r="P561" s="50"/>
      <c r="Q561" s="42"/>
      <c r="R561" s="52"/>
      <c r="S561" s="98"/>
      <c r="T561" s="99">
        <v>54</v>
      </c>
      <c r="U561" s="34" t="str">
        <f>IF(S560="","",IF(T560=T561,"〃",IF(T561=1,"素焼土管",IF(T561=2,"合成樹脂管",IF(T561=3,"無孔管","")))))</f>
        <v/>
      </c>
      <c r="V561" s="35"/>
      <c r="W561" s="100"/>
      <c r="X561" s="101"/>
      <c r="Y561" s="95"/>
      <c r="Z561" s="42"/>
      <c r="AA561" s="46"/>
      <c r="AB561" s="97"/>
      <c r="AC561" s="36" t="str">
        <f>IF(S560="","",IF(T561=1,0.013,0.012))</f>
        <v/>
      </c>
      <c r="AD561" s="37" t="str">
        <f>IF(S560="","",(1/AC561*(W561/100/2)^(8/3)*(1/AB560*100)^(1/2)*1.65696)*100)</f>
        <v/>
      </c>
      <c r="AE561" s="37" t="str">
        <f>IF(S560="","",1/AC561*(W561/100/2)^(2/3)*(1/AB560)^(1/2)*0.70541)</f>
        <v/>
      </c>
      <c r="AF561" s="37" t="str">
        <f>IF(S560="","",ROUNDDOWN(AD561/($U$3/8.64),3))</f>
        <v/>
      </c>
      <c r="AG561" s="38" t="str">
        <f>IF(S560="","",ROUNDDOWN(AF561*10000/$AJ$3,0))</f>
        <v/>
      </c>
      <c r="AH561" s="39" t="str">
        <f t="shared" ref="AH561" si="2536">IF(S560="","",IF(AG561&gt;AI560,"＞",IF(AG561=AI560,"=","＜")))</f>
        <v/>
      </c>
      <c r="AI561" s="42"/>
      <c r="AJ561" s="44"/>
      <c r="AK561" s="39" t="str">
        <f>IF(S560="","",IF(AND(T561=1,AE561&gt;1),"NG",IF(AH561="＞","OK","NG")))</f>
        <v/>
      </c>
    </row>
    <row r="562" spans="1:37" ht="15.75" customHeight="1" x14ac:dyDescent="0.15">
      <c r="A562" s="80"/>
      <c r="B562" s="81">
        <v>55</v>
      </c>
      <c r="C562" s="58" t="str">
        <f>IF(A562="","",IF(B562=1,"素　焼土　管",IF(B562=2,"合　成樹脂管",IF(B562=3,"無孔管",""))))</f>
        <v/>
      </c>
      <c r="D562" s="60"/>
      <c r="E562" s="82"/>
      <c r="F562" s="83"/>
      <c r="G562" s="83"/>
      <c r="H562" s="84"/>
      <c r="I562" s="53" t="str">
        <f>IF(A562="","",F562-G562+H562)</f>
        <v/>
      </c>
      <c r="J562" s="55" t="str">
        <f>IF(A562="",""," 1/")</f>
        <v/>
      </c>
      <c r="K562" s="85"/>
      <c r="L562" s="56" t="str">
        <f>IF(A562="","",IF(B562=1,0.013,0.012))</f>
        <v/>
      </c>
      <c r="M562" s="47" t="str">
        <f>IF(A562="","",(1/L562*(E562/100/2)^(8/3)*(1/K562*100)^(1/2)*1.65696)*100)</f>
        <v/>
      </c>
      <c r="N562" s="47" t="str">
        <f>IF(A562="","",1/L562*(E562/100/2)^(2/3)*(1/K562)^(1/2)*0.70541)</f>
        <v/>
      </c>
      <c r="O562" s="48" t="str">
        <f>IF(A562="","",ROUNDDOWN(M562/($U$3/8.64)*10000/$AJ$3,0))</f>
        <v/>
      </c>
      <c r="P562" s="49" t="str">
        <f>IF(A562="","",IF(O562&gt;Q562,"＞","＜"))</f>
        <v/>
      </c>
      <c r="Q562" s="48" t="str">
        <f>IF(A562="","",I562)</f>
        <v/>
      </c>
      <c r="R562" s="51" t="str">
        <f>IF(A562="","",IF(P562="＞","OK","NG"))</f>
        <v/>
      </c>
      <c r="S562" s="86"/>
      <c r="T562" s="87"/>
      <c r="U562" s="28" t="str">
        <f>IF(S562="","",IF(T562=1,"素焼土管",IF(T562=2,"合成樹脂管",IF(T562=3,"無孔管",""))))</f>
        <v/>
      </c>
      <c r="V562" s="29"/>
      <c r="W562" s="88"/>
      <c r="X562" s="89"/>
      <c r="Y562" s="90"/>
      <c r="Z562" s="41" t="str">
        <f>IF(S562="","",IF(AND(T563=3,I562=""),Z560+Y562,IF(AND(Z560="",I560=""),I562+Y562,IF(AND(T563=3,I562&gt;0,Z560&gt;0),I562+Z560+Y562,IF(Z560="",I560+I562+X562+Y562,IF(I562="",Z560+X562+Y562,Z560+I562+X562+Y562))))))</f>
        <v/>
      </c>
      <c r="AA562" s="45" t="str">
        <f>IF(AB562="",""," 1/")</f>
        <v/>
      </c>
      <c r="AB562" s="91"/>
      <c r="AC562" s="30" t="str">
        <f>IF(S562="","",IF(T562="","",IF(T562=1,0.013,0.012)))</f>
        <v/>
      </c>
      <c r="AD562" s="31" t="str">
        <f>IF(S562="","",IF(T562="","",(1/AC562*(W562/100/2)^(8/3)*(1/AB562*100)^(1/2)*1.65696)*100))</f>
        <v/>
      </c>
      <c r="AE562" s="31" t="str">
        <f>IF(S562="","",IF(T562="","",1/AC562*(W562/100/2)^(2/3)*(1/AB562)^(1/2)*0.70541))</f>
        <v/>
      </c>
      <c r="AF562" s="31" t="str">
        <f>IF(S562="","",IF(T562="","",ROUNDDOWN(AD562/($U$3/8.64),3)))</f>
        <v/>
      </c>
      <c r="AG562" s="32" t="str">
        <f>IF(S562="","",IF(T562="","",ROUNDDOWN(AF562*10000/$AJ$3,0)))</f>
        <v/>
      </c>
      <c r="AH562" s="33" t="str">
        <f t="shared" si="2517"/>
        <v/>
      </c>
      <c r="AI562" s="41" t="str">
        <f>IF(S562="","",Z562)</f>
        <v/>
      </c>
      <c r="AJ562" s="43" t="str">
        <f>IF(S562="","",AI562*$AJ$3/10000)</f>
        <v/>
      </c>
      <c r="AK562" s="33" t="str">
        <f>IF(S562="","",IF(T562="","",IF(AND(T562=1,AE562&gt;1),"NG",IF(AH562="＞","OK","NG"))))</f>
        <v/>
      </c>
    </row>
    <row r="563" spans="1:37" ht="15.75" customHeight="1" x14ac:dyDescent="0.15">
      <c r="A563" s="92"/>
      <c r="B563" s="93"/>
      <c r="C563" s="59"/>
      <c r="D563" s="61"/>
      <c r="E563" s="94"/>
      <c r="F563" s="95"/>
      <c r="G563" s="95"/>
      <c r="H563" s="96"/>
      <c r="I563" s="54"/>
      <c r="J563" s="46"/>
      <c r="K563" s="97"/>
      <c r="L563" s="57"/>
      <c r="M563" s="44"/>
      <c r="N563" s="44"/>
      <c r="O563" s="42"/>
      <c r="P563" s="50"/>
      <c r="Q563" s="42"/>
      <c r="R563" s="52"/>
      <c r="S563" s="98"/>
      <c r="T563" s="99">
        <v>55</v>
      </c>
      <c r="U563" s="34" t="str">
        <f>IF(S562="","",IF(T562=T563,"〃",IF(T563=1,"素焼土管",IF(T563=2,"合成樹脂管",IF(T563=3,"無孔管","")))))</f>
        <v/>
      </c>
      <c r="V563" s="35"/>
      <c r="W563" s="100"/>
      <c r="X563" s="101"/>
      <c r="Y563" s="95"/>
      <c r="Z563" s="42"/>
      <c r="AA563" s="46"/>
      <c r="AB563" s="97"/>
      <c r="AC563" s="36" t="str">
        <f>IF(S562="","",IF(T563=1,0.013,0.012))</f>
        <v/>
      </c>
      <c r="AD563" s="37" t="str">
        <f>IF(S562="","",(1/AC563*(W563/100/2)^(8/3)*(1/AB562*100)^(1/2)*1.65696)*100)</f>
        <v/>
      </c>
      <c r="AE563" s="37" t="str">
        <f>IF(S562="","",1/AC563*(W563/100/2)^(2/3)*(1/AB562)^(1/2)*0.70541)</f>
        <v/>
      </c>
      <c r="AF563" s="37" t="str">
        <f>IF(S562="","",ROUNDDOWN(AD563/($U$3/8.64),3))</f>
        <v/>
      </c>
      <c r="AG563" s="38" t="str">
        <f>IF(S562="","",ROUNDDOWN(AF563*10000/$AJ$3,0))</f>
        <v/>
      </c>
      <c r="AH563" s="39" t="str">
        <f t="shared" ref="AH563" si="2537">IF(S562="","",IF(AG563&gt;AI562,"＞",IF(AG563=AI562,"=","＜")))</f>
        <v/>
      </c>
      <c r="AI563" s="42"/>
      <c r="AJ563" s="44"/>
      <c r="AK563" s="39" t="str">
        <f>IF(S562="","",IF(AND(T563=1,AE563&gt;1),"NG",IF(AH563="＞","OK","NG")))</f>
        <v/>
      </c>
    </row>
    <row r="564" spans="1:37" ht="15.75" customHeight="1" x14ac:dyDescent="0.15">
      <c r="A564" s="80"/>
      <c r="B564" s="81">
        <v>56</v>
      </c>
      <c r="C564" s="58" t="str">
        <f>IF(A564="","",IF(B564=1,"素　焼土　管",IF(B564=2,"合　成樹脂管",IF(B564=3,"無孔管",""))))</f>
        <v/>
      </c>
      <c r="D564" s="60"/>
      <c r="E564" s="82"/>
      <c r="F564" s="83"/>
      <c r="G564" s="83"/>
      <c r="H564" s="84"/>
      <c r="I564" s="53" t="str">
        <f>IF(A564="","",F564-G564+H564)</f>
        <v/>
      </c>
      <c r="J564" s="55" t="str">
        <f>IF(A564="",""," 1/")</f>
        <v/>
      </c>
      <c r="K564" s="85"/>
      <c r="L564" s="56" t="str">
        <f>IF(A564="","",IF(B564=1,0.013,0.012))</f>
        <v/>
      </c>
      <c r="M564" s="47" t="str">
        <f>IF(A564="","",(1/L564*(E564/100/2)^(8/3)*(1/K564*100)^(1/2)*1.65696)*100)</f>
        <v/>
      </c>
      <c r="N564" s="47" t="str">
        <f>IF(A564="","",1/L564*(E564/100/2)^(2/3)*(1/K564)^(1/2)*0.70541)</f>
        <v/>
      </c>
      <c r="O564" s="48" t="str">
        <f>IF(A564="","",ROUNDDOWN(M564/($U$3/8.64)*10000/$AJ$3,0))</f>
        <v/>
      </c>
      <c r="P564" s="49" t="str">
        <f>IF(A564="","",IF(O564&gt;Q564,"＞","＜"))</f>
        <v/>
      </c>
      <c r="Q564" s="48" t="str">
        <f>IF(A564="","",I564)</f>
        <v/>
      </c>
      <c r="R564" s="51" t="str">
        <f>IF(A564="","",IF(P564="＞","OK","NG"))</f>
        <v/>
      </c>
      <c r="S564" s="86"/>
      <c r="T564" s="87"/>
      <c r="U564" s="28" t="str">
        <f>IF(S564="","",IF(T564=1,"素焼土管",IF(T564=2,"合成樹脂管",IF(T564=3,"無孔管",""))))</f>
        <v/>
      </c>
      <c r="V564" s="29"/>
      <c r="W564" s="88"/>
      <c r="X564" s="89"/>
      <c r="Y564" s="90"/>
      <c r="Z564" s="41" t="str">
        <f>IF(S564="","",IF(AND(T565=3,I564=""),Z562+Y564,IF(AND(Z562="",I562=""),I564+Y564,IF(AND(T565=3,I564&gt;0,Z562&gt;0),I564+Z562+Y564,IF(Z562="",I562+I564+X564+Y564,IF(I564="",Z562+X564+Y564,Z562+I564+X564+Y564))))))</f>
        <v/>
      </c>
      <c r="AA564" s="45" t="str">
        <f>IF(AB564="",""," 1/")</f>
        <v/>
      </c>
      <c r="AB564" s="91"/>
      <c r="AC564" s="30" t="str">
        <f>IF(S564="","",IF(T564="","",IF(T564=1,0.013,0.012)))</f>
        <v/>
      </c>
      <c r="AD564" s="31" t="str">
        <f>IF(S564="","",IF(T564="","",(1/AC564*(W564/100/2)^(8/3)*(1/AB564*100)^(1/2)*1.65696)*100))</f>
        <v/>
      </c>
      <c r="AE564" s="31" t="str">
        <f>IF(S564="","",IF(T564="","",1/AC564*(W564/100/2)^(2/3)*(1/AB564)^(1/2)*0.70541))</f>
        <v/>
      </c>
      <c r="AF564" s="31" t="str">
        <f>IF(S564="","",IF(T564="","",ROUNDDOWN(AD564/($U$3/8.64),3)))</f>
        <v/>
      </c>
      <c r="AG564" s="32" t="str">
        <f>IF(S564="","",IF(T564="","",ROUNDDOWN(AF564*10000/$AJ$3,0)))</f>
        <v/>
      </c>
      <c r="AH564" s="33" t="str">
        <f t="shared" si="2517"/>
        <v/>
      </c>
      <c r="AI564" s="41" t="str">
        <f>IF(S564="","",Z564)</f>
        <v/>
      </c>
      <c r="AJ564" s="43" t="str">
        <f>IF(S564="","",AI564*$AJ$3/10000)</f>
        <v/>
      </c>
      <c r="AK564" s="33" t="str">
        <f>IF(S564="","",IF(T564="","",IF(AND(T564=1,AE564&gt;1),"NG",IF(AH564="＞","OK","NG"))))</f>
        <v/>
      </c>
    </row>
    <row r="565" spans="1:37" ht="15.75" customHeight="1" x14ac:dyDescent="0.15">
      <c r="A565" s="92"/>
      <c r="B565" s="93"/>
      <c r="C565" s="59"/>
      <c r="D565" s="61"/>
      <c r="E565" s="94"/>
      <c r="F565" s="95"/>
      <c r="G565" s="95"/>
      <c r="H565" s="96"/>
      <c r="I565" s="54"/>
      <c r="J565" s="46"/>
      <c r="K565" s="97"/>
      <c r="L565" s="57"/>
      <c r="M565" s="44"/>
      <c r="N565" s="44"/>
      <c r="O565" s="42"/>
      <c r="P565" s="50"/>
      <c r="Q565" s="42"/>
      <c r="R565" s="52"/>
      <c r="S565" s="98"/>
      <c r="T565" s="99">
        <v>56</v>
      </c>
      <c r="U565" s="34" t="str">
        <f>IF(S564="","",IF(T564=T565,"〃",IF(T565=1,"素焼土管",IF(T565=2,"合成樹脂管",IF(T565=3,"無孔管","")))))</f>
        <v/>
      </c>
      <c r="V565" s="35"/>
      <c r="W565" s="100"/>
      <c r="X565" s="101"/>
      <c r="Y565" s="95"/>
      <c r="Z565" s="42"/>
      <c r="AA565" s="46"/>
      <c r="AB565" s="97"/>
      <c r="AC565" s="36" t="str">
        <f>IF(S564="","",IF(T565=1,0.013,0.012))</f>
        <v/>
      </c>
      <c r="AD565" s="37" t="str">
        <f>IF(S564="","",(1/AC565*(W565/100/2)^(8/3)*(1/AB564*100)^(1/2)*1.65696)*100)</f>
        <v/>
      </c>
      <c r="AE565" s="37" t="str">
        <f>IF(S564="","",1/AC565*(W565/100/2)^(2/3)*(1/AB564)^(1/2)*0.70541)</f>
        <v/>
      </c>
      <c r="AF565" s="37" t="str">
        <f>IF(S564="","",ROUNDDOWN(AD565/($U$3/8.64),3))</f>
        <v/>
      </c>
      <c r="AG565" s="38" t="str">
        <f>IF(S564="","",ROUNDDOWN(AF565*10000/$AJ$3,0))</f>
        <v/>
      </c>
      <c r="AH565" s="39" t="str">
        <f t="shared" ref="AH565" si="2538">IF(S564="","",IF(AG565&gt;AI564,"＞",IF(AG565=AI564,"=","＜")))</f>
        <v/>
      </c>
      <c r="AI565" s="42"/>
      <c r="AJ565" s="44"/>
      <c r="AK565" s="39" t="str">
        <f>IF(S564="","",IF(AND(T565=1,AE565&gt;1),"NG",IF(AH565="＞","OK","NG")))</f>
        <v/>
      </c>
    </row>
    <row r="566" spans="1:37" ht="15.75" customHeight="1" x14ac:dyDescent="0.15">
      <c r="A566" s="80"/>
      <c r="B566" s="81">
        <v>57</v>
      </c>
      <c r="C566" s="58" t="str">
        <f>IF(A566="","",IF(B566=1,"素　焼土　管",IF(B566=2,"合　成樹脂管",IF(B566=3,"無孔管",""))))</f>
        <v/>
      </c>
      <c r="D566" s="60"/>
      <c r="E566" s="82"/>
      <c r="F566" s="83"/>
      <c r="G566" s="83"/>
      <c r="H566" s="84"/>
      <c r="I566" s="53" t="str">
        <f>IF(A566="","",F566-G566+H566)</f>
        <v/>
      </c>
      <c r="J566" s="55" t="str">
        <f>IF(A566="",""," 1/")</f>
        <v/>
      </c>
      <c r="K566" s="85"/>
      <c r="L566" s="56" t="str">
        <f>IF(A566="","",IF(B566=1,0.013,0.012))</f>
        <v/>
      </c>
      <c r="M566" s="47" t="str">
        <f>IF(A566="","",(1/L566*(E566/100/2)^(8/3)*(1/K566*100)^(1/2)*1.65696)*100)</f>
        <v/>
      </c>
      <c r="N566" s="47" t="str">
        <f>IF(A566="","",1/L566*(E566/100/2)^(2/3)*(1/K566)^(1/2)*0.70541)</f>
        <v/>
      </c>
      <c r="O566" s="48" t="str">
        <f>IF(A566="","",ROUNDDOWN(M566/($U$3/8.64)*10000/$AJ$3,0))</f>
        <v/>
      </c>
      <c r="P566" s="49" t="str">
        <f>IF(A566="","",IF(O566&gt;Q566,"＞","＜"))</f>
        <v/>
      </c>
      <c r="Q566" s="48" t="str">
        <f>IF(A566="","",I566)</f>
        <v/>
      </c>
      <c r="R566" s="51" t="str">
        <f>IF(A566="","",IF(P566="＞","OK","NG"))</f>
        <v/>
      </c>
      <c r="S566" s="86"/>
      <c r="T566" s="87"/>
      <c r="U566" s="28" t="str">
        <f>IF(S566="","",IF(T566=1,"素焼土管",IF(T566=2,"合成樹脂管",IF(T566=3,"無孔管",""))))</f>
        <v/>
      </c>
      <c r="V566" s="29"/>
      <c r="W566" s="88"/>
      <c r="X566" s="89"/>
      <c r="Y566" s="90"/>
      <c r="Z566" s="41" t="str">
        <f>IF(S566="","",IF(AND(T567=3,I566=""),Z564+Y566,IF(AND(Z564="",I564=""),I566+Y566,IF(AND(T567=3,I566&gt;0,Z564&gt;0),I566+Z564+Y566,IF(Z564="",I564+I566+X566+Y566,IF(I566="",Z564+X566+Y566,Z564+I566+X566+Y566))))))</f>
        <v/>
      </c>
      <c r="AA566" s="45" t="str">
        <f>IF(AB566="",""," 1/")</f>
        <v/>
      </c>
      <c r="AB566" s="91"/>
      <c r="AC566" s="30" t="str">
        <f>IF(S566="","",IF(T566="","",IF(T566=1,0.013,0.012)))</f>
        <v/>
      </c>
      <c r="AD566" s="31" t="str">
        <f>IF(S566="","",IF(T566="","",(1/AC566*(W566/100/2)^(8/3)*(1/AB566*100)^(1/2)*1.65696)*100))</f>
        <v/>
      </c>
      <c r="AE566" s="31" t="str">
        <f>IF(S566="","",IF(T566="","",1/AC566*(W566/100/2)^(2/3)*(1/AB566)^(1/2)*0.70541))</f>
        <v/>
      </c>
      <c r="AF566" s="31" t="str">
        <f>IF(S566="","",IF(T566="","",ROUNDDOWN(AD566/($U$3/8.64),3)))</f>
        <v/>
      </c>
      <c r="AG566" s="32" t="str">
        <f>IF(S566="","",IF(T566="","",ROUNDDOWN(AF566*10000/$AJ$3,0)))</f>
        <v/>
      </c>
      <c r="AH566" s="33" t="str">
        <f t="shared" si="2517"/>
        <v/>
      </c>
      <c r="AI566" s="41" t="str">
        <f>IF(S566="","",Z566)</f>
        <v/>
      </c>
      <c r="AJ566" s="43" t="str">
        <f>IF(S566="","",AI566*$AJ$3/10000)</f>
        <v/>
      </c>
      <c r="AK566" s="33" t="str">
        <f>IF(S566="","",IF(T566="","",IF(AND(T566=1,AE566&gt;1),"NG",IF(AH566="＞","OK","NG"))))</f>
        <v/>
      </c>
    </row>
    <row r="567" spans="1:37" ht="15.75" customHeight="1" x14ac:dyDescent="0.15">
      <c r="A567" s="92"/>
      <c r="B567" s="93"/>
      <c r="C567" s="59"/>
      <c r="D567" s="61"/>
      <c r="E567" s="94"/>
      <c r="F567" s="95"/>
      <c r="G567" s="95"/>
      <c r="H567" s="96"/>
      <c r="I567" s="54"/>
      <c r="J567" s="46"/>
      <c r="K567" s="97"/>
      <c r="L567" s="57"/>
      <c r="M567" s="44"/>
      <c r="N567" s="44"/>
      <c r="O567" s="42"/>
      <c r="P567" s="50"/>
      <c r="Q567" s="42"/>
      <c r="R567" s="52"/>
      <c r="S567" s="98"/>
      <c r="T567" s="99">
        <v>57</v>
      </c>
      <c r="U567" s="34" t="str">
        <f>IF(S566="","",IF(T566=T567,"〃",IF(T567=1,"素焼土管",IF(T567=2,"合成樹脂管",IF(T567=3,"無孔管","")))))</f>
        <v/>
      </c>
      <c r="V567" s="35"/>
      <c r="W567" s="100"/>
      <c r="X567" s="101"/>
      <c r="Y567" s="95"/>
      <c r="Z567" s="42"/>
      <c r="AA567" s="46"/>
      <c r="AB567" s="97"/>
      <c r="AC567" s="36" t="str">
        <f>IF(S566="","",IF(T567=1,0.013,0.012))</f>
        <v/>
      </c>
      <c r="AD567" s="37" t="str">
        <f>IF(S566="","",(1/AC567*(W567/100/2)^(8/3)*(1/AB566*100)^(1/2)*1.65696)*100)</f>
        <v/>
      </c>
      <c r="AE567" s="37" t="str">
        <f>IF(S566="","",1/AC567*(W567/100/2)^(2/3)*(1/AB566)^(1/2)*0.70541)</f>
        <v/>
      </c>
      <c r="AF567" s="37" t="str">
        <f>IF(S566="","",ROUNDDOWN(AD567/($U$3/8.64),3))</f>
        <v/>
      </c>
      <c r="AG567" s="38" t="str">
        <f>IF(S566="","",ROUNDDOWN(AF567*10000/$AJ$3,0))</f>
        <v/>
      </c>
      <c r="AH567" s="39" t="str">
        <f t="shared" ref="AH567" si="2539">IF(S566="","",IF(AG567&gt;AI566,"＞",IF(AG567=AI566,"=","＜")))</f>
        <v/>
      </c>
      <c r="AI567" s="42"/>
      <c r="AJ567" s="44"/>
      <c r="AK567" s="39" t="str">
        <f>IF(S566="","",IF(AND(T567=1,AE567&gt;1),"NG",IF(AH567="＞","OK","NG")))</f>
        <v/>
      </c>
    </row>
    <row r="568" spans="1:37" ht="15.75" customHeight="1" x14ac:dyDescent="0.15">
      <c r="A568" s="80"/>
      <c r="B568" s="81">
        <v>58</v>
      </c>
      <c r="C568" s="58" t="str">
        <f>IF(A568="","",IF(B568=1,"素　焼土　管",IF(B568=2,"合　成樹脂管",IF(B568=3,"無孔管",""))))</f>
        <v/>
      </c>
      <c r="D568" s="60"/>
      <c r="E568" s="82"/>
      <c r="F568" s="83"/>
      <c r="G568" s="83"/>
      <c r="H568" s="84"/>
      <c r="I568" s="53" t="str">
        <f>IF(A568="","",F568-G568+H568)</f>
        <v/>
      </c>
      <c r="J568" s="55" t="str">
        <f>IF(A568="",""," 1/")</f>
        <v/>
      </c>
      <c r="K568" s="85"/>
      <c r="L568" s="56" t="str">
        <f>IF(A568="","",IF(B568=1,0.013,0.012))</f>
        <v/>
      </c>
      <c r="M568" s="47" t="str">
        <f>IF(A568="","",(1/L568*(E568/100/2)^(8/3)*(1/K568*100)^(1/2)*1.65696)*100)</f>
        <v/>
      </c>
      <c r="N568" s="47" t="str">
        <f>IF(A568="","",1/L568*(E568/100/2)^(2/3)*(1/K568)^(1/2)*0.70541)</f>
        <v/>
      </c>
      <c r="O568" s="48" t="str">
        <f>IF(A568="","",ROUNDDOWN(M568/($U$3/8.64)*10000/$AJ$3,0))</f>
        <v/>
      </c>
      <c r="P568" s="49" t="str">
        <f>IF(A568="","",IF(O568&gt;Q568,"＞","＜"))</f>
        <v/>
      </c>
      <c r="Q568" s="48" t="str">
        <f>IF(A568="","",I568)</f>
        <v/>
      </c>
      <c r="R568" s="51" t="str">
        <f>IF(A568="","",IF(P568="＞","OK","NG"))</f>
        <v/>
      </c>
      <c r="S568" s="86"/>
      <c r="T568" s="87"/>
      <c r="U568" s="28" t="str">
        <f>IF(S568="","",IF(T568=1,"素焼土管",IF(T568=2,"合成樹脂管",IF(T568=3,"無孔管",""))))</f>
        <v/>
      </c>
      <c r="V568" s="29"/>
      <c r="W568" s="88"/>
      <c r="X568" s="89"/>
      <c r="Y568" s="90"/>
      <c r="Z568" s="41" t="str">
        <f>IF(S568="","",IF(AND(T569=3,I568=""),Z566+Y568,IF(AND(Z566="",I566=""),I568+Y568,IF(AND(T569=3,I568&gt;0,Z566&gt;0),I568+Z566+Y568,IF(Z566="",I566+I568+X568+Y568,IF(I568="",Z566+X568+Y568,Z566+I568+X568+Y568))))))</f>
        <v/>
      </c>
      <c r="AA568" s="45" t="str">
        <f>IF(AB568="",""," 1/")</f>
        <v/>
      </c>
      <c r="AB568" s="91"/>
      <c r="AC568" s="30" t="str">
        <f>IF(S568="","",IF(T568="","",IF(T568=1,0.013,0.012)))</f>
        <v/>
      </c>
      <c r="AD568" s="31" t="str">
        <f>IF(S568="","",IF(T568="","",(1/AC568*(W568/100/2)^(8/3)*(1/AB568*100)^(1/2)*1.65696)*100))</f>
        <v/>
      </c>
      <c r="AE568" s="31" t="str">
        <f>IF(S568="","",IF(T568="","",1/AC568*(W568/100/2)^(2/3)*(1/AB568)^(1/2)*0.70541))</f>
        <v/>
      </c>
      <c r="AF568" s="31" t="str">
        <f>IF(S568="","",IF(T568="","",ROUNDDOWN(AD568/($U$3/8.64),3)))</f>
        <v/>
      </c>
      <c r="AG568" s="32" t="str">
        <f>IF(S568="","",IF(T568="","",ROUNDDOWN(AF568*10000/$AJ$3,0)))</f>
        <v/>
      </c>
      <c r="AH568" s="33" t="str">
        <f t="shared" si="2517"/>
        <v/>
      </c>
      <c r="AI568" s="41" t="str">
        <f>IF(S568="","",Z568)</f>
        <v/>
      </c>
      <c r="AJ568" s="43" t="str">
        <f>IF(S568="","",AI568*$AJ$3/10000)</f>
        <v/>
      </c>
      <c r="AK568" s="33" t="str">
        <f>IF(S568="","",IF(T568="","",IF(AND(T568=1,AE568&gt;1),"NG",IF(AH568="＞","OK","NG"))))</f>
        <v/>
      </c>
    </row>
    <row r="569" spans="1:37" ht="15.75" customHeight="1" x14ac:dyDescent="0.15">
      <c r="A569" s="92"/>
      <c r="B569" s="93"/>
      <c r="C569" s="59"/>
      <c r="D569" s="61"/>
      <c r="E569" s="94"/>
      <c r="F569" s="95"/>
      <c r="G569" s="95"/>
      <c r="H569" s="96"/>
      <c r="I569" s="54"/>
      <c r="J569" s="46"/>
      <c r="K569" s="97"/>
      <c r="L569" s="57"/>
      <c r="M569" s="44"/>
      <c r="N569" s="44"/>
      <c r="O569" s="42"/>
      <c r="P569" s="50"/>
      <c r="Q569" s="42"/>
      <c r="R569" s="52"/>
      <c r="S569" s="98"/>
      <c r="T569" s="99">
        <v>58</v>
      </c>
      <c r="U569" s="34" t="str">
        <f>IF(S568="","",IF(T568=T569,"〃",IF(T569=1,"素焼土管",IF(T569=2,"合成樹脂管",IF(T569=3,"無孔管","")))))</f>
        <v/>
      </c>
      <c r="V569" s="35"/>
      <c r="W569" s="100"/>
      <c r="X569" s="101"/>
      <c r="Y569" s="95"/>
      <c r="Z569" s="42"/>
      <c r="AA569" s="46"/>
      <c r="AB569" s="97"/>
      <c r="AC569" s="36" t="str">
        <f>IF(S568="","",IF(T569=1,0.013,0.012))</f>
        <v/>
      </c>
      <c r="AD569" s="37" t="str">
        <f>IF(S568="","",(1/AC569*(W569/100/2)^(8/3)*(1/AB568*100)^(1/2)*1.65696)*100)</f>
        <v/>
      </c>
      <c r="AE569" s="37" t="str">
        <f>IF(S568="","",1/AC569*(W569/100/2)^(2/3)*(1/AB568)^(1/2)*0.70541)</f>
        <v/>
      </c>
      <c r="AF569" s="37" t="str">
        <f>IF(S568="","",ROUNDDOWN(AD569/($U$3/8.64),3))</f>
        <v/>
      </c>
      <c r="AG569" s="38" t="str">
        <f>IF(S568="","",ROUNDDOWN(AF569*10000/$AJ$3,0))</f>
        <v/>
      </c>
      <c r="AH569" s="39" t="str">
        <f t="shared" ref="AH569" si="2540">IF(S568="","",IF(AG569&gt;AI568,"＞",IF(AG569=AI568,"=","＜")))</f>
        <v/>
      </c>
      <c r="AI569" s="42"/>
      <c r="AJ569" s="44"/>
      <c r="AK569" s="39" t="str">
        <f>IF(S568="","",IF(AND(T569=1,AE569&gt;1),"NG",IF(AH569="＞","OK","NG")))</f>
        <v/>
      </c>
    </row>
    <row r="570" spans="1:37" ht="15.75" customHeight="1" x14ac:dyDescent="0.15">
      <c r="A570" s="80"/>
      <c r="B570" s="81">
        <v>59</v>
      </c>
      <c r="C570" s="58" t="str">
        <f>IF(A570="","",IF(B570=1,"素　焼土　管",IF(B570=2,"合　成樹脂管",IF(B570=3,"無孔管",""))))</f>
        <v/>
      </c>
      <c r="D570" s="60"/>
      <c r="E570" s="82"/>
      <c r="F570" s="83"/>
      <c r="G570" s="83"/>
      <c r="H570" s="84"/>
      <c r="I570" s="53" t="str">
        <f>IF(A570="","",F570-G570+H570)</f>
        <v/>
      </c>
      <c r="J570" s="55" t="str">
        <f>IF(A570="",""," 1/")</f>
        <v/>
      </c>
      <c r="K570" s="85"/>
      <c r="L570" s="56" t="str">
        <f>IF(A570="","",IF(B570=1,0.013,0.012))</f>
        <v/>
      </c>
      <c r="M570" s="47" t="str">
        <f>IF(A570="","",(1/L570*(E570/100/2)^(8/3)*(1/K570*100)^(1/2)*1.65696)*100)</f>
        <v/>
      </c>
      <c r="N570" s="47" t="str">
        <f>IF(A570="","",1/L570*(E570/100/2)^(2/3)*(1/K570)^(1/2)*0.70541)</f>
        <v/>
      </c>
      <c r="O570" s="48" t="str">
        <f>IF(A570="","",ROUNDDOWN(M570/($U$3/8.64)*10000/$AJ$3,0))</f>
        <v/>
      </c>
      <c r="P570" s="49" t="str">
        <f>IF(A570="","",IF(O570&gt;Q570,"＞","＜"))</f>
        <v/>
      </c>
      <c r="Q570" s="48" t="str">
        <f>IF(A570="","",I570)</f>
        <v/>
      </c>
      <c r="R570" s="51" t="str">
        <f>IF(A570="","",IF(P570="＞","OK","NG"))</f>
        <v/>
      </c>
      <c r="S570" s="86"/>
      <c r="T570" s="87"/>
      <c r="U570" s="28" t="str">
        <f>IF(S570="","",IF(T570=1,"素焼土管",IF(T570=2,"合成樹脂管",IF(T570=3,"無孔管",""))))</f>
        <v/>
      </c>
      <c r="V570" s="29"/>
      <c r="W570" s="88"/>
      <c r="X570" s="89"/>
      <c r="Y570" s="90"/>
      <c r="Z570" s="41" t="str">
        <f>IF(S570="","",IF(AND(T571=3,I570=""),Z568+Y570,IF(AND(Z568="",I568=""),I570+Y570,IF(AND(T571=3,I570&gt;0,Z568&gt;0),I570+Z568+Y570,IF(Z568="",I568+I570+X570+Y570,IF(I570="",Z568+X570+Y570,Z568+I570+X570+Y570))))))</f>
        <v/>
      </c>
      <c r="AA570" s="45" t="str">
        <f>IF(AB570="",""," 1/")</f>
        <v/>
      </c>
      <c r="AB570" s="91"/>
      <c r="AC570" s="30" t="str">
        <f>IF(S570="","",IF(T570="","",IF(T570=1,0.013,0.012)))</f>
        <v/>
      </c>
      <c r="AD570" s="31" t="str">
        <f>IF(S570="","",IF(T570="","",(1/AC570*(W570/100/2)^(8/3)*(1/AB570*100)^(1/2)*1.65696)*100))</f>
        <v/>
      </c>
      <c r="AE570" s="31" t="str">
        <f>IF(S570="","",IF(T570="","",1/AC570*(W570/100/2)^(2/3)*(1/AB570)^(1/2)*0.70541))</f>
        <v/>
      </c>
      <c r="AF570" s="31" t="str">
        <f>IF(S570="","",IF(T570="","",ROUNDDOWN(AD570/($U$3/8.64),3)))</f>
        <v/>
      </c>
      <c r="AG570" s="32" t="str">
        <f>IF(S570="","",IF(T570="","",ROUNDDOWN(AF570*10000/$AJ$3,0)))</f>
        <v/>
      </c>
      <c r="AH570" s="33" t="str">
        <f t="shared" si="2517"/>
        <v/>
      </c>
      <c r="AI570" s="41" t="str">
        <f>IF(S570="","",Z570)</f>
        <v/>
      </c>
      <c r="AJ570" s="43" t="str">
        <f>IF(S570="","",AI570*$AJ$3/10000)</f>
        <v/>
      </c>
      <c r="AK570" s="33" t="str">
        <f>IF(S570="","",IF(T570="","",IF(AND(T570=1,AE570&gt;1),"NG",IF(AH570="＞","OK","NG"))))</f>
        <v/>
      </c>
    </row>
    <row r="571" spans="1:37" ht="15.75" customHeight="1" x14ac:dyDescent="0.15">
      <c r="A571" s="92"/>
      <c r="B571" s="93"/>
      <c r="C571" s="59"/>
      <c r="D571" s="61"/>
      <c r="E571" s="94"/>
      <c r="F571" s="95"/>
      <c r="G571" s="95"/>
      <c r="H571" s="96"/>
      <c r="I571" s="54"/>
      <c r="J571" s="46"/>
      <c r="K571" s="97"/>
      <c r="L571" s="57"/>
      <c r="M571" s="44"/>
      <c r="N571" s="44"/>
      <c r="O571" s="42"/>
      <c r="P571" s="50"/>
      <c r="Q571" s="42"/>
      <c r="R571" s="52"/>
      <c r="S571" s="98"/>
      <c r="T571" s="99">
        <v>59</v>
      </c>
      <c r="U571" s="34" t="str">
        <f>IF(S570="","",IF(T570=T571,"〃",IF(T571=1,"素焼土管",IF(T571=2,"合成樹脂管",IF(T571=3,"無孔管","")))))</f>
        <v/>
      </c>
      <c r="V571" s="35"/>
      <c r="W571" s="100"/>
      <c r="X571" s="101"/>
      <c r="Y571" s="95"/>
      <c r="Z571" s="42"/>
      <c r="AA571" s="46"/>
      <c r="AB571" s="97"/>
      <c r="AC571" s="36" t="str">
        <f>IF(S570="","",IF(T571=1,0.013,0.012))</f>
        <v/>
      </c>
      <c r="AD571" s="37" t="str">
        <f>IF(S570="","",(1/AC571*(W571/100/2)^(8/3)*(1/AB570*100)^(1/2)*1.65696)*100)</f>
        <v/>
      </c>
      <c r="AE571" s="37" t="str">
        <f>IF(S570="","",1/AC571*(W571/100/2)^(2/3)*(1/AB570)^(1/2)*0.70541)</f>
        <v/>
      </c>
      <c r="AF571" s="37" t="str">
        <f>IF(S570="","",ROUNDDOWN(AD571/($U$3/8.64),3))</f>
        <v/>
      </c>
      <c r="AG571" s="38" t="str">
        <f>IF(S570="","",ROUNDDOWN(AF571*10000/$AJ$3,0))</f>
        <v/>
      </c>
      <c r="AH571" s="39" t="str">
        <f t="shared" ref="AH571" si="2541">IF(S570="","",IF(AG571&gt;AI570,"＞",IF(AG571=AI570,"=","＜")))</f>
        <v/>
      </c>
      <c r="AI571" s="42"/>
      <c r="AJ571" s="44"/>
      <c r="AK571" s="39" t="str">
        <f>IF(S570="","",IF(AND(T571=1,AE571&gt;1),"NG",IF(AH571="＞","OK","NG")))</f>
        <v/>
      </c>
    </row>
    <row r="572" spans="1:37" ht="15.75" customHeight="1" x14ac:dyDescent="0.15">
      <c r="A572" s="80"/>
      <c r="B572" s="81">
        <v>60</v>
      </c>
      <c r="C572" s="58" t="str">
        <f>IF(A572="","",IF(B572=1,"素　焼土　管",IF(B572=2,"合　成樹脂管",IF(B572=3,"無孔管",""))))</f>
        <v/>
      </c>
      <c r="D572" s="60"/>
      <c r="E572" s="82"/>
      <c r="F572" s="83"/>
      <c r="G572" s="83"/>
      <c r="H572" s="84"/>
      <c r="I572" s="53" t="str">
        <f>IF(A572="","",F572-G572+H572)</f>
        <v/>
      </c>
      <c r="J572" s="55" t="str">
        <f>IF(A572="",""," 1/")</f>
        <v/>
      </c>
      <c r="K572" s="85"/>
      <c r="L572" s="56" t="str">
        <f>IF(A572="","",IF(B572=1,0.013,0.012))</f>
        <v/>
      </c>
      <c r="M572" s="47" t="str">
        <f>IF(A572="","",(1/L572*(E572/100/2)^(8/3)*(1/K572*100)^(1/2)*1.65696)*100)</f>
        <v/>
      </c>
      <c r="N572" s="47" t="str">
        <f>IF(A572="","",1/L572*(E572/100/2)^(2/3)*(1/K572)^(1/2)*0.70541)</f>
        <v/>
      </c>
      <c r="O572" s="48" t="str">
        <f>IF(A572="","",ROUNDDOWN(M572/($U$3/8.64)*10000/$AJ$3,0))</f>
        <v/>
      </c>
      <c r="P572" s="49" t="str">
        <f>IF(A572="","",IF(O572&gt;Q572,"＞","＜"))</f>
        <v/>
      </c>
      <c r="Q572" s="48" t="str">
        <f>IF(A572="","",I572)</f>
        <v/>
      </c>
      <c r="R572" s="51" t="str">
        <f>IF(A572="","",IF(P572="＞","OK","NG"))</f>
        <v/>
      </c>
      <c r="S572" s="86"/>
      <c r="T572" s="87"/>
      <c r="U572" s="28" t="str">
        <f>IF(S572="","",IF(T572=1,"素焼土管",IF(T572=2,"合成樹脂管",IF(T572=3,"無孔管",""))))</f>
        <v/>
      </c>
      <c r="V572" s="29"/>
      <c r="W572" s="88"/>
      <c r="X572" s="89"/>
      <c r="Y572" s="90"/>
      <c r="Z572" s="41" t="str">
        <f>IF(S572="","",IF(AND(T573=3,I572=""),Z570+Y572,IF(AND(Z570="",I570=""),I572+Y572,IF(AND(T573=3,I572&gt;0,Z570&gt;0),I572+Z570+Y572,IF(Z570="",I570+I572+X572+Y572,IF(I572="",Z570+X572+Y572,Z570+I572+X572+Y572))))))</f>
        <v/>
      </c>
      <c r="AA572" s="45" t="str">
        <f>IF(AB572="",""," 1/")</f>
        <v/>
      </c>
      <c r="AB572" s="91"/>
      <c r="AC572" s="30" t="str">
        <f>IF(S572="","",IF(T572="","",IF(T572=1,0.013,0.012)))</f>
        <v/>
      </c>
      <c r="AD572" s="31" t="str">
        <f>IF(S572="","",IF(T572="","",(1/AC572*(W572/100/2)^(8/3)*(1/AB572*100)^(1/2)*1.65696)*100))</f>
        <v/>
      </c>
      <c r="AE572" s="31" t="str">
        <f>IF(S572="","",IF(T572="","",1/AC572*(W572/100/2)^(2/3)*(1/AB572)^(1/2)*0.70541))</f>
        <v/>
      </c>
      <c r="AF572" s="31" t="str">
        <f>IF(S572="","",IF(T572="","",ROUNDDOWN(AD572/($U$3/8.64),3)))</f>
        <v/>
      </c>
      <c r="AG572" s="32" t="str">
        <f>IF(S572="","",IF(T572="","",ROUNDDOWN(AF572*10000/$AJ$3,0)))</f>
        <v/>
      </c>
      <c r="AH572" s="33" t="str">
        <f t="shared" si="2517"/>
        <v/>
      </c>
      <c r="AI572" s="41" t="str">
        <f>IF(S572="","",Z572)</f>
        <v/>
      </c>
      <c r="AJ572" s="43" t="str">
        <f>IF(S572="","",AI572*$AJ$3/10000)</f>
        <v/>
      </c>
      <c r="AK572" s="33" t="str">
        <f>IF(S572="","",IF(T572="","",IF(AND(T572=1,AE572&gt;1),"NG",IF(AH572="＞","OK","NG"))))</f>
        <v/>
      </c>
    </row>
    <row r="573" spans="1:37" ht="15.75" customHeight="1" x14ac:dyDescent="0.15">
      <c r="A573" s="92"/>
      <c r="B573" s="93"/>
      <c r="C573" s="59"/>
      <c r="D573" s="61"/>
      <c r="E573" s="94"/>
      <c r="F573" s="95"/>
      <c r="G573" s="95"/>
      <c r="H573" s="96"/>
      <c r="I573" s="54"/>
      <c r="J573" s="46"/>
      <c r="K573" s="97"/>
      <c r="L573" s="57"/>
      <c r="M573" s="44"/>
      <c r="N573" s="44"/>
      <c r="O573" s="42"/>
      <c r="P573" s="50"/>
      <c r="Q573" s="42"/>
      <c r="R573" s="52"/>
      <c r="S573" s="98"/>
      <c r="T573" s="99">
        <v>60</v>
      </c>
      <c r="U573" s="34" t="str">
        <f>IF(S572="","",IF(T572=T573,"〃",IF(T573=1,"素焼土管",IF(T573=2,"合成樹脂管",IF(T573=3,"無孔管","")))))</f>
        <v/>
      </c>
      <c r="V573" s="35"/>
      <c r="W573" s="100"/>
      <c r="X573" s="101"/>
      <c r="Y573" s="95"/>
      <c r="Z573" s="42"/>
      <c r="AA573" s="46"/>
      <c r="AB573" s="97"/>
      <c r="AC573" s="36" t="str">
        <f>IF(S572="","",IF(T573=1,0.013,0.012))</f>
        <v/>
      </c>
      <c r="AD573" s="37" t="str">
        <f>IF(S572="","",(1/AC573*(W573/100/2)^(8/3)*(1/AB572*100)^(1/2)*1.65696)*100)</f>
        <v/>
      </c>
      <c r="AE573" s="37" t="str">
        <f>IF(S572="","",1/AC573*(W573/100/2)^(2/3)*(1/AB572)^(1/2)*0.70541)</f>
        <v/>
      </c>
      <c r="AF573" s="37" t="str">
        <f>IF(S572="","",ROUNDDOWN(AD573/($U$3/8.64),3))</f>
        <v/>
      </c>
      <c r="AG573" s="38" t="str">
        <f>IF(S572="","",ROUNDDOWN(AF573*10000/$AJ$3,0))</f>
        <v/>
      </c>
      <c r="AH573" s="39" t="str">
        <f t="shared" ref="AH573" si="2542">IF(S572="","",IF(AG573&gt;AI572,"＞",IF(AG573=AI572,"=","＜")))</f>
        <v/>
      </c>
      <c r="AI573" s="42"/>
      <c r="AJ573" s="44"/>
      <c r="AK573" s="39" t="str">
        <f>IF(S572="","",IF(AND(T573=1,AE573&gt;1),"NG",IF(AH573="＞","OK","NG")))</f>
        <v/>
      </c>
    </row>
    <row r="574" spans="1:37" ht="15.75" customHeight="1" x14ac:dyDescent="0.15">
      <c r="A574" s="80"/>
      <c r="B574" s="81">
        <v>61</v>
      </c>
      <c r="C574" s="58" t="str">
        <f>IF(A574="","",IF(B574=1,"素　焼土　管",IF(B574=2,"合　成樹脂管",IF(B574=3,"無孔管",""))))</f>
        <v/>
      </c>
      <c r="D574" s="60"/>
      <c r="E574" s="82"/>
      <c r="F574" s="83"/>
      <c r="G574" s="83"/>
      <c r="H574" s="84"/>
      <c r="I574" s="53" t="str">
        <f>IF(A574="","",F574-G574+H574)</f>
        <v/>
      </c>
      <c r="J574" s="55" t="str">
        <f>IF(A574="",""," 1/")</f>
        <v/>
      </c>
      <c r="K574" s="85"/>
      <c r="L574" s="56" t="str">
        <f>IF(A574="","",IF(B574=1,0.013,0.012))</f>
        <v/>
      </c>
      <c r="M574" s="47" t="str">
        <f>IF(A574="","",(1/L574*(E574/100/2)^(8/3)*(1/K574*100)^(1/2)*1.65696)*100)</f>
        <v/>
      </c>
      <c r="N574" s="47" t="str">
        <f>IF(A574="","",1/L574*(E574/100/2)^(2/3)*(1/K574)^(1/2)*0.70541)</f>
        <v/>
      </c>
      <c r="O574" s="48" t="str">
        <f>IF(A574="","",ROUNDDOWN(M574/($U$3/8.64)*10000/$AJ$3,0))</f>
        <v/>
      </c>
      <c r="P574" s="49" t="str">
        <f>IF(A574="","",IF(O574&gt;Q574,"＞","＜"))</f>
        <v/>
      </c>
      <c r="Q574" s="48" t="str">
        <f>IF(A574="","",I574)</f>
        <v/>
      </c>
      <c r="R574" s="51" t="str">
        <f>IF(A574="","",IF(P574="＞","OK","NG"))</f>
        <v/>
      </c>
      <c r="S574" s="86"/>
      <c r="T574" s="87"/>
      <c r="U574" s="28" t="str">
        <f>IF(S574="","",IF(T574=1,"素焼土管",IF(T574=2,"合成樹脂管",IF(T574=3,"無孔管",""))))</f>
        <v/>
      </c>
      <c r="V574" s="29"/>
      <c r="W574" s="88"/>
      <c r="X574" s="89"/>
      <c r="Y574" s="90"/>
      <c r="Z574" s="41" t="str">
        <f>IF(S574="","",IF(AND(T575=3,I574=""),Z572+Y574,IF(AND(Z572="",I572=""),I574+Y574,IF(AND(T575=3,I574&gt;0,Z572&gt;0),I574+Z572+Y574,IF(Z572="",I572+I574+X574+Y574,IF(I574="",Z572+X574+Y574,Z572+I574+X574+Y574))))))</f>
        <v/>
      </c>
      <c r="AA574" s="45" t="str">
        <f>IF(AB574="",""," 1/")</f>
        <v/>
      </c>
      <c r="AB574" s="91"/>
      <c r="AC574" s="30" t="str">
        <f>IF(S574="","",IF(T574="","",IF(T574=1,0.013,0.012)))</f>
        <v/>
      </c>
      <c r="AD574" s="31" t="str">
        <f>IF(S574="","",IF(T574="","",(1/AC574*(W574/100/2)^(8/3)*(1/AB574*100)^(1/2)*1.65696)*100))</f>
        <v/>
      </c>
      <c r="AE574" s="31" t="str">
        <f>IF(S574="","",IF(T574="","",1/AC574*(W574/100/2)^(2/3)*(1/AB574)^(1/2)*0.70541))</f>
        <v/>
      </c>
      <c r="AF574" s="31" t="str">
        <f>IF(S574="","",IF(T574="","",ROUNDDOWN(AD574/($U$3/8.64),3)))</f>
        <v/>
      </c>
      <c r="AG574" s="32" t="str">
        <f>IF(S574="","",IF(T574="","",ROUNDDOWN(AF574*10000/$AJ$3,0)))</f>
        <v/>
      </c>
      <c r="AH574" s="33" t="str">
        <f t="shared" si="2517"/>
        <v/>
      </c>
      <c r="AI574" s="41" t="str">
        <f>IF(S574="","",Z574)</f>
        <v/>
      </c>
      <c r="AJ574" s="43" t="str">
        <f>IF(S574="","",AI574*$AJ$3/10000)</f>
        <v/>
      </c>
      <c r="AK574" s="33" t="str">
        <f>IF(S574="","",IF(T574="","",IF(AND(T574=1,AE574&gt;1),"NG",IF(AH574="＞","OK","NG"))))</f>
        <v/>
      </c>
    </row>
    <row r="575" spans="1:37" ht="15.75" customHeight="1" x14ac:dyDescent="0.15">
      <c r="A575" s="92"/>
      <c r="B575" s="93"/>
      <c r="C575" s="59"/>
      <c r="D575" s="61"/>
      <c r="E575" s="94"/>
      <c r="F575" s="95"/>
      <c r="G575" s="95"/>
      <c r="H575" s="96"/>
      <c r="I575" s="54"/>
      <c r="J575" s="46"/>
      <c r="K575" s="97"/>
      <c r="L575" s="57"/>
      <c r="M575" s="44"/>
      <c r="N575" s="44"/>
      <c r="O575" s="42"/>
      <c r="P575" s="50"/>
      <c r="Q575" s="42"/>
      <c r="R575" s="52"/>
      <c r="S575" s="98"/>
      <c r="T575" s="99">
        <v>61</v>
      </c>
      <c r="U575" s="34" t="str">
        <f>IF(S574="","",IF(T574=T575,"〃",IF(T575=1,"素焼土管",IF(T575=2,"合成樹脂管",IF(T575=3,"無孔管","")))))</f>
        <v/>
      </c>
      <c r="V575" s="35"/>
      <c r="W575" s="100"/>
      <c r="X575" s="101"/>
      <c r="Y575" s="95"/>
      <c r="Z575" s="42"/>
      <c r="AA575" s="46"/>
      <c r="AB575" s="97"/>
      <c r="AC575" s="36" t="str">
        <f>IF(S574="","",IF(T575=1,0.013,0.012))</f>
        <v/>
      </c>
      <c r="AD575" s="37" t="str">
        <f>IF(S574="","",(1/AC575*(W575/100/2)^(8/3)*(1/AB574*100)^(1/2)*1.65696)*100)</f>
        <v/>
      </c>
      <c r="AE575" s="37" t="str">
        <f>IF(S574="","",1/AC575*(W575/100/2)^(2/3)*(1/AB574)^(1/2)*0.70541)</f>
        <v/>
      </c>
      <c r="AF575" s="37" t="str">
        <f>IF(S574="","",ROUNDDOWN(AD575/($U$3/8.64),3))</f>
        <v/>
      </c>
      <c r="AG575" s="38" t="str">
        <f>IF(S574="","",ROUNDDOWN(AF575*10000/$AJ$3,0))</f>
        <v/>
      </c>
      <c r="AH575" s="39" t="str">
        <f t="shared" ref="AH575" si="2543">IF(S574="","",IF(AG575&gt;AI574,"＞",IF(AG575=AI574,"=","＜")))</f>
        <v/>
      </c>
      <c r="AI575" s="42"/>
      <c r="AJ575" s="44"/>
      <c r="AK575" s="39" t="str">
        <f>IF(S574="","",IF(AND(T575=1,AE575&gt;1),"NG",IF(AH575="＞","OK","NG")))</f>
        <v/>
      </c>
    </row>
    <row r="576" spans="1:37" ht="15.75" customHeight="1" x14ac:dyDescent="0.15">
      <c r="A576" s="80"/>
      <c r="B576" s="81">
        <v>62</v>
      </c>
      <c r="C576" s="58" t="str">
        <f>IF(A576="","",IF(B576=1,"素　焼土　管",IF(B576=2,"合　成樹脂管",IF(B576=3,"無孔管",""))))</f>
        <v/>
      </c>
      <c r="D576" s="60"/>
      <c r="E576" s="82"/>
      <c r="F576" s="83"/>
      <c r="G576" s="83"/>
      <c r="H576" s="84"/>
      <c r="I576" s="53" t="str">
        <f>IF(A576="","",F576-G576+H576)</f>
        <v/>
      </c>
      <c r="J576" s="55" t="str">
        <f>IF(A576="",""," 1/")</f>
        <v/>
      </c>
      <c r="K576" s="85"/>
      <c r="L576" s="56" t="str">
        <f>IF(A576="","",IF(B576=1,0.013,0.012))</f>
        <v/>
      </c>
      <c r="M576" s="47" t="str">
        <f>IF(A576="","",(1/L576*(E576/100/2)^(8/3)*(1/K576*100)^(1/2)*1.65696)*100)</f>
        <v/>
      </c>
      <c r="N576" s="47" t="str">
        <f>IF(A576="","",1/L576*(E576/100/2)^(2/3)*(1/K576)^(1/2)*0.70541)</f>
        <v/>
      </c>
      <c r="O576" s="48" t="str">
        <f>IF(A576="","",ROUNDDOWN(M576/($U$3/8.64)*10000/$AJ$3,0))</f>
        <v/>
      </c>
      <c r="P576" s="49" t="str">
        <f>IF(A576="","",IF(O576&gt;Q576,"＞","＜"))</f>
        <v/>
      </c>
      <c r="Q576" s="48" t="str">
        <f>IF(A576="","",I576)</f>
        <v/>
      </c>
      <c r="R576" s="51" t="str">
        <f>IF(A576="","",IF(P576="＞","OK","NG"))</f>
        <v/>
      </c>
      <c r="S576" s="86"/>
      <c r="T576" s="87"/>
      <c r="U576" s="28" t="str">
        <f>IF(S576="","",IF(T576=1,"素焼土管",IF(T576=2,"合成樹脂管",IF(T576=3,"無孔管",""))))</f>
        <v/>
      </c>
      <c r="V576" s="29"/>
      <c r="W576" s="88"/>
      <c r="X576" s="89"/>
      <c r="Y576" s="90"/>
      <c r="Z576" s="41" t="str">
        <f>IF(S576="","",IF(AND(T577=3,I576=""),Z574+Y576,IF(AND(Z574="",I574=""),I576+Y576,IF(AND(T577=3,I576&gt;0,Z574&gt;0),I576+Z574+Y576,IF(Z574="",I574+I576+X576+Y576,IF(I576="",Z574+X576+Y576,Z574+I576+X576+Y576))))))</f>
        <v/>
      </c>
      <c r="AA576" s="45" t="str">
        <f>IF(AB576="",""," 1/")</f>
        <v/>
      </c>
      <c r="AB576" s="91"/>
      <c r="AC576" s="30" t="str">
        <f>IF(S576="","",IF(T576="","",IF(T576=1,0.013,0.012)))</f>
        <v/>
      </c>
      <c r="AD576" s="31" t="str">
        <f>IF(S576="","",IF(T576="","",(1/AC576*(W576/100/2)^(8/3)*(1/AB576*100)^(1/2)*1.65696)*100))</f>
        <v/>
      </c>
      <c r="AE576" s="31" t="str">
        <f>IF(S576="","",IF(T576="","",1/AC576*(W576/100/2)^(2/3)*(1/AB576)^(1/2)*0.70541))</f>
        <v/>
      </c>
      <c r="AF576" s="31" t="str">
        <f>IF(S576="","",IF(T576="","",ROUNDDOWN(AD576/($U$3/8.64),3)))</f>
        <v/>
      </c>
      <c r="AG576" s="32" t="str">
        <f>IF(S576="","",IF(T576="","",ROUNDDOWN(AF576*10000/$AJ$3,0)))</f>
        <v/>
      </c>
      <c r="AH576" s="33" t="str">
        <f t="shared" si="2517"/>
        <v/>
      </c>
      <c r="AI576" s="41" t="str">
        <f>IF(S576="","",Z576)</f>
        <v/>
      </c>
      <c r="AJ576" s="43" t="str">
        <f>IF(S576="","",AI576*$AJ$3/10000)</f>
        <v/>
      </c>
      <c r="AK576" s="33" t="str">
        <f>IF(S576="","",IF(T576="","",IF(AND(T576=1,AE576&gt;1),"NG",IF(AH576="＞","OK","NG"))))</f>
        <v/>
      </c>
    </row>
    <row r="577" spans="1:37" ht="15.75" customHeight="1" x14ac:dyDescent="0.15">
      <c r="A577" s="92"/>
      <c r="B577" s="93"/>
      <c r="C577" s="59"/>
      <c r="D577" s="61"/>
      <c r="E577" s="94"/>
      <c r="F577" s="95"/>
      <c r="G577" s="95"/>
      <c r="H577" s="96"/>
      <c r="I577" s="54"/>
      <c r="J577" s="46"/>
      <c r="K577" s="97"/>
      <c r="L577" s="57"/>
      <c r="M577" s="44"/>
      <c r="N577" s="44"/>
      <c r="O577" s="42"/>
      <c r="P577" s="50"/>
      <c r="Q577" s="42"/>
      <c r="R577" s="52"/>
      <c r="S577" s="98"/>
      <c r="T577" s="99">
        <v>62</v>
      </c>
      <c r="U577" s="34" t="str">
        <f>IF(S576="","",IF(T576=T577,"〃",IF(T577=1,"素焼土管",IF(T577=2,"合成樹脂管",IF(T577=3,"無孔管","")))))</f>
        <v/>
      </c>
      <c r="V577" s="35"/>
      <c r="W577" s="100"/>
      <c r="X577" s="101"/>
      <c r="Y577" s="95"/>
      <c r="Z577" s="42"/>
      <c r="AA577" s="46"/>
      <c r="AB577" s="97"/>
      <c r="AC577" s="36" t="str">
        <f>IF(S576="","",IF(T577=1,0.013,0.012))</f>
        <v/>
      </c>
      <c r="AD577" s="37" t="str">
        <f>IF(S576="","",(1/AC577*(W577/100/2)^(8/3)*(1/AB576*100)^(1/2)*1.65696)*100)</f>
        <v/>
      </c>
      <c r="AE577" s="37" t="str">
        <f>IF(S576="","",1/AC577*(W577/100/2)^(2/3)*(1/AB576)^(1/2)*0.70541)</f>
        <v/>
      </c>
      <c r="AF577" s="37" t="str">
        <f>IF(S576="","",ROUNDDOWN(AD577/($U$3/8.64),3))</f>
        <v/>
      </c>
      <c r="AG577" s="38" t="str">
        <f>IF(S576="","",ROUNDDOWN(AF577*10000/$AJ$3,0))</f>
        <v/>
      </c>
      <c r="AH577" s="39" t="str">
        <f t="shared" ref="AH577" si="2544">IF(S576="","",IF(AG577&gt;AI576,"＞",IF(AG577=AI576,"=","＜")))</f>
        <v/>
      </c>
      <c r="AI577" s="42"/>
      <c r="AJ577" s="44"/>
      <c r="AK577" s="39" t="str">
        <f>IF(S576="","",IF(AND(T577=1,AE577&gt;1),"NG",IF(AH577="＞","OK","NG")))</f>
        <v/>
      </c>
    </row>
    <row r="578" spans="1:37" ht="15.75" customHeight="1" x14ac:dyDescent="0.15">
      <c r="A578" s="80"/>
      <c r="B578" s="81">
        <v>63</v>
      </c>
      <c r="C578" s="58" t="str">
        <f>IF(A578="","",IF(B578=1,"素　焼土　管",IF(B578=2,"合　成樹脂管",IF(B578=3,"無孔管",""))))</f>
        <v/>
      </c>
      <c r="D578" s="60"/>
      <c r="E578" s="82"/>
      <c r="F578" s="83"/>
      <c r="G578" s="83"/>
      <c r="H578" s="84"/>
      <c r="I578" s="53" t="str">
        <f>IF(A578="","",F578-G578+H578)</f>
        <v/>
      </c>
      <c r="J578" s="55" t="str">
        <f>IF(A578="",""," 1/")</f>
        <v/>
      </c>
      <c r="K578" s="85"/>
      <c r="L578" s="56" t="str">
        <f>IF(A578="","",IF(B578=1,0.013,0.012))</f>
        <v/>
      </c>
      <c r="M578" s="47" t="str">
        <f>IF(A578="","",(1/L578*(E578/100/2)^(8/3)*(1/K578*100)^(1/2)*1.65696)*100)</f>
        <v/>
      </c>
      <c r="N578" s="47" t="str">
        <f>IF(A578="","",1/L578*(E578/100/2)^(2/3)*(1/K578)^(1/2)*0.70541)</f>
        <v/>
      </c>
      <c r="O578" s="48" t="str">
        <f>IF(A578="","",ROUNDDOWN(M578/($U$3/8.64)*10000/$AJ$3,0))</f>
        <v/>
      </c>
      <c r="P578" s="49" t="str">
        <f>IF(A578="","",IF(O578&gt;Q578,"＞","＜"))</f>
        <v/>
      </c>
      <c r="Q578" s="48" t="str">
        <f>IF(A578="","",I578)</f>
        <v/>
      </c>
      <c r="R578" s="51" t="str">
        <f>IF(A578="","",IF(P578="＞","OK","NG"))</f>
        <v/>
      </c>
      <c r="S578" s="86"/>
      <c r="T578" s="87"/>
      <c r="U578" s="28" t="str">
        <f>IF(S578="","",IF(T578=1,"素焼土管",IF(T578=2,"合成樹脂管",IF(T578=3,"無孔管",""))))</f>
        <v/>
      </c>
      <c r="V578" s="29"/>
      <c r="W578" s="88"/>
      <c r="X578" s="89"/>
      <c r="Y578" s="90"/>
      <c r="Z578" s="41" t="str">
        <f>IF(S578="","",IF(AND(T579=3,I578=""),Z576+Y578,IF(AND(Z576="",I576=""),I578+Y578,IF(AND(T579=3,I578&gt;0,Z576&gt;0),I578+Z576+Y578,IF(Z576="",I576+I578+X578+Y578,IF(I578="",Z576+X578+Y578,Z576+I578+X578+Y578))))))</f>
        <v/>
      </c>
      <c r="AA578" s="45" t="str">
        <f>IF(AB578="",""," 1/")</f>
        <v/>
      </c>
      <c r="AB578" s="91"/>
      <c r="AC578" s="30" t="str">
        <f>IF(S578="","",IF(T578="","",IF(T578=1,0.013,0.012)))</f>
        <v/>
      </c>
      <c r="AD578" s="31" t="str">
        <f>IF(S578="","",IF(T578="","",(1/AC578*(W578/100/2)^(8/3)*(1/AB578*100)^(1/2)*1.65696)*100))</f>
        <v/>
      </c>
      <c r="AE578" s="31" t="str">
        <f>IF(S578="","",IF(T578="","",1/AC578*(W578/100/2)^(2/3)*(1/AB578)^(1/2)*0.70541))</f>
        <v/>
      </c>
      <c r="AF578" s="31" t="str">
        <f>IF(S578="","",IF(T578="","",ROUNDDOWN(AD578/($U$3/8.64),3)))</f>
        <v/>
      </c>
      <c r="AG578" s="32" t="str">
        <f>IF(S578="","",IF(T578="","",ROUNDDOWN(AF578*10000/$AJ$3,0)))</f>
        <v/>
      </c>
      <c r="AH578" s="33" t="str">
        <f t="shared" si="2517"/>
        <v/>
      </c>
      <c r="AI578" s="41" t="str">
        <f>IF(S578="","",Z578)</f>
        <v/>
      </c>
      <c r="AJ578" s="43" t="str">
        <f>IF(S578="","",AI578*$AJ$3/10000)</f>
        <v/>
      </c>
      <c r="AK578" s="33" t="str">
        <f>IF(S578="","",IF(T578="","",IF(AND(T578=1,AE578&gt;1),"NG",IF(AH578="＞","OK","NG"))))</f>
        <v/>
      </c>
    </row>
    <row r="579" spans="1:37" ht="15.75" customHeight="1" x14ac:dyDescent="0.15">
      <c r="A579" s="92"/>
      <c r="B579" s="93"/>
      <c r="C579" s="59"/>
      <c r="D579" s="61"/>
      <c r="E579" s="94"/>
      <c r="F579" s="95"/>
      <c r="G579" s="95"/>
      <c r="H579" s="96"/>
      <c r="I579" s="54"/>
      <c r="J579" s="46"/>
      <c r="K579" s="97"/>
      <c r="L579" s="57"/>
      <c r="M579" s="44"/>
      <c r="N579" s="44"/>
      <c r="O579" s="42"/>
      <c r="P579" s="50"/>
      <c r="Q579" s="42"/>
      <c r="R579" s="52"/>
      <c r="S579" s="98"/>
      <c r="T579" s="99">
        <v>63</v>
      </c>
      <c r="U579" s="34" t="str">
        <f>IF(S578="","",IF(T578=T579,"〃",IF(T579=1,"素焼土管",IF(T579=2,"合成樹脂管",IF(T579=3,"無孔管","")))))</f>
        <v/>
      </c>
      <c r="V579" s="35"/>
      <c r="W579" s="100"/>
      <c r="X579" s="101"/>
      <c r="Y579" s="95"/>
      <c r="Z579" s="42"/>
      <c r="AA579" s="46"/>
      <c r="AB579" s="97"/>
      <c r="AC579" s="36" t="str">
        <f>IF(S578="","",IF(T579=1,0.013,0.012))</f>
        <v/>
      </c>
      <c r="AD579" s="37" t="str">
        <f>IF(S578="","",(1/AC579*(W579/100/2)^(8/3)*(1/AB578*100)^(1/2)*1.65696)*100)</f>
        <v/>
      </c>
      <c r="AE579" s="37" t="str">
        <f>IF(S578="","",1/AC579*(W579/100/2)^(2/3)*(1/AB578)^(1/2)*0.70541)</f>
        <v/>
      </c>
      <c r="AF579" s="37" t="str">
        <f>IF(S578="","",ROUNDDOWN(AD579/($U$3/8.64),3))</f>
        <v/>
      </c>
      <c r="AG579" s="38" t="str">
        <f>IF(S578="","",ROUNDDOWN(AF579*10000/$AJ$3,0))</f>
        <v/>
      </c>
      <c r="AH579" s="39" t="str">
        <f t="shared" ref="AH579" si="2545">IF(S578="","",IF(AG579&gt;AI578,"＞",IF(AG579=AI578,"=","＜")))</f>
        <v/>
      </c>
      <c r="AI579" s="42"/>
      <c r="AJ579" s="44"/>
      <c r="AK579" s="39" t="str">
        <f>IF(S578="","",IF(AND(T579=1,AE579&gt;1),"NG",IF(AH579="＞","OK","NG")))</f>
        <v/>
      </c>
    </row>
    <row r="580" spans="1:37" ht="15.75" customHeight="1" x14ac:dyDescent="0.15">
      <c r="A580" s="80"/>
      <c r="B580" s="81">
        <v>64</v>
      </c>
      <c r="C580" s="58" t="str">
        <f>IF(A580="","",IF(B580=1,"素　焼土　管",IF(B580=2,"合　成樹脂管",IF(B580=3,"無孔管",""))))</f>
        <v/>
      </c>
      <c r="D580" s="60"/>
      <c r="E580" s="82"/>
      <c r="F580" s="83"/>
      <c r="G580" s="83"/>
      <c r="H580" s="84"/>
      <c r="I580" s="53" t="str">
        <f>IF(A580="","",F580-G580+H580)</f>
        <v/>
      </c>
      <c r="J580" s="55" t="str">
        <f>IF(A580="",""," 1/")</f>
        <v/>
      </c>
      <c r="K580" s="85"/>
      <c r="L580" s="56" t="str">
        <f>IF(A580="","",IF(B580=1,0.013,0.012))</f>
        <v/>
      </c>
      <c r="M580" s="47" t="str">
        <f>IF(A580="","",(1/L580*(E580/100/2)^(8/3)*(1/K580*100)^(1/2)*1.65696)*100)</f>
        <v/>
      </c>
      <c r="N580" s="47" t="str">
        <f>IF(A580="","",1/L580*(E580/100/2)^(2/3)*(1/K580)^(1/2)*0.70541)</f>
        <v/>
      </c>
      <c r="O580" s="48" t="str">
        <f>IF(A580="","",ROUNDDOWN(M580/($U$3/8.64)*10000/$AJ$3,0))</f>
        <v/>
      </c>
      <c r="P580" s="49" t="str">
        <f>IF(A580="","",IF(O580&gt;Q580,"＞","＜"))</f>
        <v/>
      </c>
      <c r="Q580" s="48" t="str">
        <f>IF(A580="","",I580)</f>
        <v/>
      </c>
      <c r="R580" s="51" t="str">
        <f>IF(A580="","",IF(P580="＞","OK","NG"))</f>
        <v/>
      </c>
      <c r="S580" s="86"/>
      <c r="T580" s="87"/>
      <c r="U580" s="28" t="str">
        <f>IF(S580="","",IF(T580=1,"素焼土管",IF(T580=2,"合成樹脂管",IF(T580=3,"無孔管",""))))</f>
        <v/>
      </c>
      <c r="V580" s="29"/>
      <c r="W580" s="88"/>
      <c r="X580" s="89"/>
      <c r="Y580" s="90"/>
      <c r="Z580" s="41" t="str">
        <f>IF(S580="","",IF(AND(T581=3,I580=""),Z578+Y580,IF(AND(Z578="",I578=""),I580+Y580,IF(AND(T581=3,I580&gt;0,Z578&gt;0),I580+Z578+Y580,IF(Z578="",I578+I580+X580+Y580,IF(I580="",Z578+X580+Y580,Z578+I580+X580+Y580))))))</f>
        <v/>
      </c>
      <c r="AA580" s="45" t="str">
        <f>IF(AB580="",""," 1/")</f>
        <v/>
      </c>
      <c r="AB580" s="91"/>
      <c r="AC580" s="30" t="str">
        <f>IF(S580="","",IF(T580="","",IF(T580=1,0.013,0.012)))</f>
        <v/>
      </c>
      <c r="AD580" s="31" t="str">
        <f>IF(S580="","",IF(T580="","",(1/AC580*(W580/100/2)^(8/3)*(1/AB580*100)^(1/2)*1.65696)*100))</f>
        <v/>
      </c>
      <c r="AE580" s="31" t="str">
        <f>IF(S580="","",IF(T580="","",1/AC580*(W580/100/2)^(2/3)*(1/AB580)^(1/2)*0.70541))</f>
        <v/>
      </c>
      <c r="AF580" s="31" t="str">
        <f>IF(S580="","",IF(T580="","",ROUNDDOWN(AD580/($U$3/8.64),3)))</f>
        <v/>
      </c>
      <c r="AG580" s="32" t="str">
        <f>IF(S580="","",IF(T580="","",ROUNDDOWN(AF580*10000/$AJ$3,0)))</f>
        <v/>
      </c>
      <c r="AH580" s="33" t="str">
        <f t="shared" si="2517"/>
        <v/>
      </c>
      <c r="AI580" s="41" t="str">
        <f>IF(S580="","",Z580)</f>
        <v/>
      </c>
      <c r="AJ580" s="43" t="str">
        <f>IF(S580="","",AI580*$AJ$3/10000)</f>
        <v/>
      </c>
      <c r="AK580" s="33" t="str">
        <f>IF(S580="","",IF(T580="","",IF(AND(T580=1,AE580&gt;1),"NG",IF(AH580="＞","OK","NG"))))</f>
        <v/>
      </c>
    </row>
    <row r="581" spans="1:37" ht="15.75" customHeight="1" x14ac:dyDescent="0.15">
      <c r="A581" s="92"/>
      <c r="B581" s="93"/>
      <c r="C581" s="59"/>
      <c r="D581" s="61"/>
      <c r="E581" s="94"/>
      <c r="F581" s="95"/>
      <c r="G581" s="95"/>
      <c r="H581" s="96"/>
      <c r="I581" s="54"/>
      <c r="J581" s="46"/>
      <c r="K581" s="97"/>
      <c r="L581" s="57"/>
      <c r="M581" s="44"/>
      <c r="N581" s="44"/>
      <c r="O581" s="42"/>
      <c r="P581" s="50"/>
      <c r="Q581" s="42"/>
      <c r="R581" s="52"/>
      <c r="S581" s="98"/>
      <c r="T581" s="99">
        <v>64</v>
      </c>
      <c r="U581" s="34" t="str">
        <f>IF(S580="","",IF(T580=T581,"〃",IF(T581=1,"素焼土管",IF(T581=2,"合成樹脂管",IF(T581=3,"無孔管","")))))</f>
        <v/>
      </c>
      <c r="V581" s="35"/>
      <c r="W581" s="100"/>
      <c r="X581" s="101"/>
      <c r="Y581" s="95"/>
      <c r="Z581" s="42"/>
      <c r="AA581" s="46"/>
      <c r="AB581" s="97"/>
      <c r="AC581" s="36" t="str">
        <f>IF(S580="","",IF(T581=1,0.013,0.012))</f>
        <v/>
      </c>
      <c r="AD581" s="37" t="str">
        <f>IF(S580="","",(1/AC581*(W581/100/2)^(8/3)*(1/AB580*100)^(1/2)*1.65696)*100)</f>
        <v/>
      </c>
      <c r="AE581" s="37" t="str">
        <f>IF(S580="","",1/AC581*(W581/100/2)^(2/3)*(1/AB580)^(1/2)*0.70541)</f>
        <v/>
      </c>
      <c r="AF581" s="37" t="str">
        <f>IF(S580="","",ROUNDDOWN(AD581/($U$3/8.64),3))</f>
        <v/>
      </c>
      <c r="AG581" s="38" t="str">
        <f>IF(S580="","",ROUNDDOWN(AF581*10000/$AJ$3,0))</f>
        <v/>
      </c>
      <c r="AH581" s="39" t="str">
        <f t="shared" ref="AH581" si="2546">IF(S580="","",IF(AG581&gt;AI580,"＞",IF(AG581=AI580,"=","＜")))</f>
        <v/>
      </c>
      <c r="AI581" s="42"/>
      <c r="AJ581" s="44"/>
      <c r="AK581" s="39" t="str">
        <f>IF(S580="","",IF(AND(T581=1,AE581&gt;1),"NG",IF(AH581="＞","OK","NG")))</f>
        <v/>
      </c>
    </row>
    <row r="582" spans="1:37" ht="15.75" customHeight="1" x14ac:dyDescent="0.15">
      <c r="A582" s="80"/>
      <c r="B582" s="81">
        <v>65</v>
      </c>
      <c r="C582" s="58" t="str">
        <f>IF(A582="","",IF(B582=1,"素　焼土　管",IF(B582=2,"合　成樹脂管",IF(B582=3,"無孔管",""))))</f>
        <v/>
      </c>
      <c r="D582" s="60"/>
      <c r="E582" s="82"/>
      <c r="F582" s="83"/>
      <c r="G582" s="83"/>
      <c r="H582" s="84"/>
      <c r="I582" s="53" t="str">
        <f>IF(A582="","",F582-G582+H582)</f>
        <v/>
      </c>
      <c r="J582" s="55" t="str">
        <f>IF(A582="",""," 1/")</f>
        <v/>
      </c>
      <c r="K582" s="85"/>
      <c r="L582" s="56" t="str">
        <f>IF(A582="","",IF(B582=1,0.013,0.012))</f>
        <v/>
      </c>
      <c r="M582" s="47" t="str">
        <f>IF(A582="","",(1/L582*(E582/100/2)^(8/3)*(1/K582*100)^(1/2)*1.65696)*100)</f>
        <v/>
      </c>
      <c r="N582" s="47" t="str">
        <f>IF(A582="","",1/L582*(E582/100/2)^(2/3)*(1/K582)^(1/2)*0.70541)</f>
        <v/>
      </c>
      <c r="O582" s="48" t="str">
        <f>IF(A582="","",ROUNDDOWN(M582/($U$3/8.64)*10000/$AJ$3,0))</f>
        <v/>
      </c>
      <c r="P582" s="49" t="str">
        <f>IF(A582="","",IF(O582&gt;Q582,"＞","＜"))</f>
        <v/>
      </c>
      <c r="Q582" s="48" t="str">
        <f>IF(A582="","",I582)</f>
        <v/>
      </c>
      <c r="R582" s="51" t="str">
        <f>IF(A582="","",IF(P582="＞","OK","NG"))</f>
        <v/>
      </c>
      <c r="S582" s="86"/>
      <c r="T582" s="87"/>
      <c r="U582" s="28" t="str">
        <f>IF(S582="","",IF(T582=1,"素焼土管",IF(T582=2,"合成樹脂管",IF(T582=3,"無孔管",""))))</f>
        <v/>
      </c>
      <c r="V582" s="29"/>
      <c r="W582" s="88"/>
      <c r="X582" s="89"/>
      <c r="Y582" s="90"/>
      <c r="Z582" s="41" t="str">
        <f>IF(S582="","",IF(AND(T583=3,I582=""),Z580+Y582,IF(AND(Z580="",I580=""),I582+Y582,IF(AND(T583=3,I582&gt;0,Z580&gt;0),I582+Z580+Y582,IF(Z580="",I580+I582+X582+Y582,IF(I582="",Z580+X582+Y582,Z580+I582+X582+Y582))))))</f>
        <v/>
      </c>
      <c r="AA582" s="45" t="str">
        <f>IF(AB582="",""," 1/")</f>
        <v/>
      </c>
      <c r="AB582" s="91"/>
      <c r="AC582" s="30" t="str">
        <f>IF(S582="","",IF(T582="","",IF(T582=1,0.013,0.012)))</f>
        <v/>
      </c>
      <c r="AD582" s="31" t="str">
        <f>IF(S582="","",IF(T582="","",(1/AC582*(W582/100/2)^(8/3)*(1/AB582*100)^(1/2)*1.65696)*100))</f>
        <v/>
      </c>
      <c r="AE582" s="31" t="str">
        <f>IF(S582="","",IF(T582="","",1/AC582*(W582/100/2)^(2/3)*(1/AB582)^(1/2)*0.70541))</f>
        <v/>
      </c>
      <c r="AF582" s="31" t="str">
        <f>IF(S582="","",IF(T582="","",ROUNDDOWN(AD582/($U$3/8.64),3)))</f>
        <v/>
      </c>
      <c r="AG582" s="32" t="str">
        <f>IF(S582="","",IF(T582="","",ROUNDDOWN(AF582*10000/$AJ$3,0)))</f>
        <v/>
      </c>
      <c r="AH582" s="33" t="str">
        <f t="shared" si="2517"/>
        <v/>
      </c>
      <c r="AI582" s="41" t="str">
        <f>IF(S582="","",Z582)</f>
        <v/>
      </c>
      <c r="AJ582" s="43" t="str">
        <f>IF(S582="","",AI582*$AJ$3/10000)</f>
        <v/>
      </c>
      <c r="AK582" s="33" t="str">
        <f>IF(S582="","",IF(T582="","",IF(AND(T582=1,AE582&gt;1),"NG",IF(AH582="＞","OK","NG"))))</f>
        <v/>
      </c>
    </row>
    <row r="583" spans="1:37" ht="15.75" customHeight="1" x14ac:dyDescent="0.15">
      <c r="A583" s="92"/>
      <c r="B583" s="93"/>
      <c r="C583" s="59"/>
      <c r="D583" s="61"/>
      <c r="E583" s="94"/>
      <c r="F583" s="95"/>
      <c r="G583" s="95"/>
      <c r="H583" s="96"/>
      <c r="I583" s="54"/>
      <c r="J583" s="46"/>
      <c r="K583" s="97"/>
      <c r="L583" s="57"/>
      <c r="M583" s="44"/>
      <c r="N583" s="44"/>
      <c r="O583" s="42"/>
      <c r="P583" s="50"/>
      <c r="Q583" s="42"/>
      <c r="R583" s="52"/>
      <c r="S583" s="98"/>
      <c r="T583" s="99">
        <v>65</v>
      </c>
      <c r="U583" s="34" t="str">
        <f>IF(S582="","",IF(T582=T583,"〃",IF(T583=1,"素焼土管",IF(T583=2,"合成樹脂管",IF(T583=3,"無孔管","")))))</f>
        <v/>
      </c>
      <c r="V583" s="35"/>
      <c r="W583" s="100"/>
      <c r="X583" s="101"/>
      <c r="Y583" s="95"/>
      <c r="Z583" s="42"/>
      <c r="AA583" s="46"/>
      <c r="AB583" s="97"/>
      <c r="AC583" s="36" t="str">
        <f>IF(S582="","",IF(T583=1,0.013,0.012))</f>
        <v/>
      </c>
      <c r="AD583" s="37" t="str">
        <f>IF(S582="","",(1/AC583*(W583/100/2)^(8/3)*(1/AB582*100)^(1/2)*1.65696)*100)</f>
        <v/>
      </c>
      <c r="AE583" s="37" t="str">
        <f>IF(S582="","",1/AC583*(W583/100/2)^(2/3)*(1/AB582)^(1/2)*0.70541)</f>
        <v/>
      </c>
      <c r="AF583" s="37" t="str">
        <f>IF(S582="","",ROUNDDOWN(AD583/($U$3/8.64),3))</f>
        <v/>
      </c>
      <c r="AG583" s="38" t="str">
        <f>IF(S582="","",ROUNDDOWN(AF583*10000/$AJ$3,0))</f>
        <v/>
      </c>
      <c r="AH583" s="39" t="str">
        <f t="shared" ref="AH583" si="2547">IF(S582="","",IF(AG583&gt;AI582,"＞",IF(AG583=AI582,"=","＜")))</f>
        <v/>
      </c>
      <c r="AI583" s="42"/>
      <c r="AJ583" s="44"/>
      <c r="AK583" s="39" t="str">
        <f>IF(S582="","",IF(AND(T583=1,AE583&gt;1),"NG",IF(AH583="＞","OK","NG")))</f>
        <v/>
      </c>
    </row>
    <row r="584" spans="1:37" ht="15.75" customHeight="1" x14ac:dyDescent="0.15">
      <c r="A584" s="80"/>
      <c r="B584" s="81">
        <v>66</v>
      </c>
      <c r="C584" s="58" t="str">
        <f>IF(A584="","",IF(B584=1,"素　焼土　管",IF(B584=2,"合　成樹脂管",IF(B584=3,"無孔管",""))))</f>
        <v/>
      </c>
      <c r="D584" s="60"/>
      <c r="E584" s="82"/>
      <c r="F584" s="83"/>
      <c r="G584" s="83"/>
      <c r="H584" s="84"/>
      <c r="I584" s="53" t="str">
        <f>IF(A584="","",F584-G584+H584)</f>
        <v/>
      </c>
      <c r="J584" s="55" t="str">
        <f>IF(A584="",""," 1/")</f>
        <v/>
      </c>
      <c r="K584" s="85"/>
      <c r="L584" s="56" t="str">
        <f>IF(A584="","",IF(B584=1,0.013,0.012))</f>
        <v/>
      </c>
      <c r="M584" s="47" t="str">
        <f>IF(A584="","",(1/L584*(E584/100/2)^(8/3)*(1/K584*100)^(1/2)*1.65696)*100)</f>
        <v/>
      </c>
      <c r="N584" s="47" t="str">
        <f>IF(A584="","",1/L584*(E584/100/2)^(2/3)*(1/K584)^(1/2)*0.70541)</f>
        <v/>
      </c>
      <c r="O584" s="48" t="str">
        <f>IF(A584="","",ROUNDDOWN(M584/($U$3/8.64)*10000/$AJ$3,0))</f>
        <v/>
      </c>
      <c r="P584" s="49" t="str">
        <f>IF(A584="","",IF(O584&gt;Q584,"＞","＜"))</f>
        <v/>
      </c>
      <c r="Q584" s="48" t="str">
        <f>IF(A584="","",I584)</f>
        <v/>
      </c>
      <c r="R584" s="51" t="str">
        <f>IF(A584="","",IF(P584="＞","OK","NG"))</f>
        <v/>
      </c>
      <c r="S584" s="86"/>
      <c r="T584" s="87"/>
      <c r="U584" s="28" t="str">
        <f>IF(S584="","",IF(T584=1,"素焼土管",IF(T584=2,"合成樹脂管",IF(T584=3,"無孔管",""))))</f>
        <v/>
      </c>
      <c r="V584" s="29"/>
      <c r="W584" s="88"/>
      <c r="X584" s="89"/>
      <c r="Y584" s="90"/>
      <c r="Z584" s="41" t="str">
        <f>IF(S584="","",IF(AND(T585=3,I584=""),Z582+Y584,IF(AND(Z582="",I582=""),I584+Y584,IF(AND(T585=3,I584&gt;0,Z582&gt;0),I584+Z582+Y584,IF(Z582="",I582+I584+X584+Y584,IF(I584="",Z582+X584+Y584,Z582+I584+X584+Y584))))))</f>
        <v/>
      </c>
      <c r="AA584" s="45" t="str">
        <f>IF(AB584="",""," 1/")</f>
        <v/>
      </c>
      <c r="AB584" s="91"/>
      <c r="AC584" s="30" t="str">
        <f>IF(S584="","",IF(T584="","",IF(T584=1,0.013,0.012)))</f>
        <v/>
      </c>
      <c r="AD584" s="31" t="str">
        <f>IF(S584="","",IF(T584="","",(1/AC584*(W584/100/2)^(8/3)*(1/AB584*100)^(1/2)*1.65696)*100))</f>
        <v/>
      </c>
      <c r="AE584" s="31" t="str">
        <f>IF(S584="","",IF(T584="","",1/AC584*(W584/100/2)^(2/3)*(1/AB584)^(1/2)*0.70541))</f>
        <v/>
      </c>
      <c r="AF584" s="31" t="str">
        <f>IF(S584="","",IF(T584="","",ROUNDDOWN(AD584/($U$3/8.64),3)))</f>
        <v/>
      </c>
      <c r="AG584" s="32" t="str">
        <f>IF(S584="","",IF(T584="","",ROUNDDOWN(AF584*10000/$AJ$3,0)))</f>
        <v/>
      </c>
      <c r="AH584" s="33" t="str">
        <f t="shared" si="2517"/>
        <v/>
      </c>
      <c r="AI584" s="41" t="str">
        <f>IF(S584="","",Z584)</f>
        <v/>
      </c>
      <c r="AJ584" s="43" t="str">
        <f>IF(S584="","",AI584*$AJ$3/10000)</f>
        <v/>
      </c>
      <c r="AK584" s="33" t="str">
        <f>IF(S584="","",IF(T584="","",IF(AND(T584=1,AE584&gt;1),"NG",IF(AH584="＞","OK","NG"))))</f>
        <v/>
      </c>
    </row>
    <row r="585" spans="1:37" ht="15.75" customHeight="1" x14ac:dyDescent="0.15">
      <c r="A585" s="92"/>
      <c r="B585" s="93"/>
      <c r="C585" s="59"/>
      <c r="D585" s="61"/>
      <c r="E585" s="94"/>
      <c r="F585" s="95"/>
      <c r="G585" s="95"/>
      <c r="H585" s="96"/>
      <c r="I585" s="54"/>
      <c r="J585" s="46"/>
      <c r="K585" s="97"/>
      <c r="L585" s="57"/>
      <c r="M585" s="44"/>
      <c r="N585" s="44"/>
      <c r="O585" s="42"/>
      <c r="P585" s="50"/>
      <c r="Q585" s="42"/>
      <c r="R585" s="52"/>
      <c r="S585" s="98"/>
      <c r="T585" s="99">
        <v>66</v>
      </c>
      <c r="U585" s="34" t="str">
        <f>IF(S584="","",IF(T584=T585,"〃",IF(T585=1,"素焼土管",IF(T585=2,"合成樹脂管",IF(T585=3,"無孔管","")))))</f>
        <v/>
      </c>
      <c r="V585" s="35"/>
      <c r="W585" s="100"/>
      <c r="X585" s="101"/>
      <c r="Y585" s="95"/>
      <c r="Z585" s="42"/>
      <c r="AA585" s="46"/>
      <c r="AB585" s="97"/>
      <c r="AC585" s="36" t="str">
        <f>IF(S584="","",IF(T585=1,0.013,0.012))</f>
        <v/>
      </c>
      <c r="AD585" s="37" t="str">
        <f>IF(S584="","",(1/AC585*(W585/100/2)^(8/3)*(1/AB584*100)^(1/2)*1.65696)*100)</f>
        <v/>
      </c>
      <c r="AE585" s="37" t="str">
        <f>IF(S584="","",1/AC585*(W585/100/2)^(2/3)*(1/AB584)^(1/2)*0.70541)</f>
        <v/>
      </c>
      <c r="AF585" s="37" t="str">
        <f>IF(S584="","",ROUNDDOWN(AD585/($U$3/8.64),3))</f>
        <v/>
      </c>
      <c r="AG585" s="38" t="str">
        <f>IF(S584="","",ROUNDDOWN(AF585*10000/$AJ$3,0))</f>
        <v/>
      </c>
      <c r="AH585" s="39" t="str">
        <f t="shared" ref="AH585" si="2548">IF(S584="","",IF(AG585&gt;AI584,"＞",IF(AG585=AI584,"=","＜")))</f>
        <v/>
      </c>
      <c r="AI585" s="42"/>
      <c r="AJ585" s="44"/>
      <c r="AK585" s="39" t="str">
        <f>IF(S584="","",IF(AND(T585=1,AE585&gt;1),"NG",IF(AH585="＞","OK","NG")))</f>
        <v/>
      </c>
    </row>
    <row r="586" spans="1:37" ht="15.75" customHeight="1" x14ac:dyDescent="0.15">
      <c r="A586" s="80"/>
      <c r="B586" s="81">
        <v>67</v>
      </c>
      <c r="C586" s="58" t="str">
        <f>IF(A586="","",IF(B586=1,"素　焼土　管",IF(B586=2,"合　成樹脂管",IF(B586=3,"無孔管",""))))</f>
        <v/>
      </c>
      <c r="D586" s="60"/>
      <c r="E586" s="82"/>
      <c r="F586" s="83"/>
      <c r="G586" s="83"/>
      <c r="H586" s="84"/>
      <c r="I586" s="53" t="str">
        <f>IF(A586="","",F586-G586+H586)</f>
        <v/>
      </c>
      <c r="J586" s="55" t="str">
        <f>IF(A586="",""," 1/")</f>
        <v/>
      </c>
      <c r="K586" s="85"/>
      <c r="L586" s="56" t="str">
        <f>IF(A586="","",IF(B586=1,0.013,0.012))</f>
        <v/>
      </c>
      <c r="M586" s="47" t="str">
        <f>IF(A586="","",(1/L586*(E586/100/2)^(8/3)*(1/K586*100)^(1/2)*1.65696)*100)</f>
        <v/>
      </c>
      <c r="N586" s="47" t="str">
        <f>IF(A586="","",1/L586*(E586/100/2)^(2/3)*(1/K586)^(1/2)*0.70541)</f>
        <v/>
      </c>
      <c r="O586" s="48" t="str">
        <f>IF(A586="","",ROUNDDOWN(M586/($U$3/8.64)*10000/$AJ$3,0))</f>
        <v/>
      </c>
      <c r="P586" s="49" t="str">
        <f>IF(A586="","",IF(O586&gt;Q586,"＞","＜"))</f>
        <v/>
      </c>
      <c r="Q586" s="48" t="str">
        <f>IF(A586="","",I586)</f>
        <v/>
      </c>
      <c r="R586" s="51" t="str">
        <f>IF(A586="","",IF(P586="＞","OK","NG"))</f>
        <v/>
      </c>
      <c r="S586" s="86"/>
      <c r="T586" s="87"/>
      <c r="U586" s="28" t="str">
        <f>IF(S586="","",IF(T586=1,"素焼土管",IF(T586=2,"合成樹脂管",IF(T586=3,"無孔管",""))))</f>
        <v/>
      </c>
      <c r="V586" s="29"/>
      <c r="W586" s="88"/>
      <c r="X586" s="89"/>
      <c r="Y586" s="90"/>
      <c r="Z586" s="41" t="str">
        <f>IF(S586="","",IF(AND(T587=3,I586=""),Z584+Y586,IF(AND(Z584="",I584=""),I586+Y586,IF(AND(T587=3,I586&gt;0,Z584&gt;0),I586+Z584+Y586,IF(Z584="",I584+I586+X586+Y586,IF(I586="",Z584+X586+Y586,Z584+I586+X586+Y586))))))</f>
        <v/>
      </c>
      <c r="AA586" s="45" t="str">
        <f>IF(AB586="",""," 1/")</f>
        <v/>
      </c>
      <c r="AB586" s="91"/>
      <c r="AC586" s="30" t="str">
        <f>IF(S586="","",IF(T586="","",IF(T586=1,0.013,0.012)))</f>
        <v/>
      </c>
      <c r="AD586" s="31" t="str">
        <f>IF(S586="","",IF(T586="","",(1/AC586*(W586/100/2)^(8/3)*(1/AB586*100)^(1/2)*1.65696)*100))</f>
        <v/>
      </c>
      <c r="AE586" s="31" t="str">
        <f>IF(S586="","",IF(T586="","",1/AC586*(W586/100/2)^(2/3)*(1/AB586)^(1/2)*0.70541))</f>
        <v/>
      </c>
      <c r="AF586" s="31" t="str">
        <f>IF(S586="","",IF(T586="","",ROUNDDOWN(AD586/($U$3/8.64),3)))</f>
        <v/>
      </c>
      <c r="AG586" s="32" t="str">
        <f>IF(S586="","",IF(T586="","",ROUNDDOWN(AF586*10000/$AJ$3,0)))</f>
        <v/>
      </c>
      <c r="AH586" s="33" t="str">
        <f t="shared" si="2517"/>
        <v/>
      </c>
      <c r="AI586" s="41" t="str">
        <f>IF(S586="","",Z586)</f>
        <v/>
      </c>
      <c r="AJ586" s="43" t="str">
        <f>IF(S586="","",AI586*$AJ$3/10000)</f>
        <v/>
      </c>
      <c r="AK586" s="33" t="str">
        <f>IF(S586="","",IF(T586="","",IF(AND(T586=1,AE586&gt;1),"NG",IF(AH586="＞","OK","NG"))))</f>
        <v/>
      </c>
    </row>
    <row r="587" spans="1:37" ht="15.75" customHeight="1" x14ac:dyDescent="0.15">
      <c r="A587" s="92"/>
      <c r="B587" s="93"/>
      <c r="C587" s="59"/>
      <c r="D587" s="61"/>
      <c r="E587" s="94"/>
      <c r="F587" s="95"/>
      <c r="G587" s="95"/>
      <c r="H587" s="96"/>
      <c r="I587" s="54"/>
      <c r="J587" s="46"/>
      <c r="K587" s="97"/>
      <c r="L587" s="57"/>
      <c r="M587" s="44"/>
      <c r="N587" s="44"/>
      <c r="O587" s="42"/>
      <c r="P587" s="50"/>
      <c r="Q587" s="42"/>
      <c r="R587" s="52"/>
      <c r="S587" s="98"/>
      <c r="T587" s="99">
        <v>67</v>
      </c>
      <c r="U587" s="34" t="str">
        <f>IF(S586="","",IF(T586=T587,"〃",IF(T587=1,"素焼土管",IF(T587=2,"合成樹脂管",IF(T587=3,"無孔管","")))))</f>
        <v/>
      </c>
      <c r="V587" s="35"/>
      <c r="W587" s="100"/>
      <c r="X587" s="101"/>
      <c r="Y587" s="95"/>
      <c r="Z587" s="42"/>
      <c r="AA587" s="46"/>
      <c r="AB587" s="97"/>
      <c r="AC587" s="36" t="str">
        <f>IF(S586="","",IF(T587=1,0.013,0.012))</f>
        <v/>
      </c>
      <c r="AD587" s="37" t="str">
        <f>IF(S586="","",(1/AC587*(W587/100/2)^(8/3)*(1/AB586*100)^(1/2)*1.65696)*100)</f>
        <v/>
      </c>
      <c r="AE587" s="37" t="str">
        <f>IF(S586="","",1/AC587*(W587/100/2)^(2/3)*(1/AB586)^(1/2)*0.70541)</f>
        <v/>
      </c>
      <c r="AF587" s="37" t="str">
        <f>IF(S586="","",ROUNDDOWN(AD587/($U$3/8.64),3))</f>
        <v/>
      </c>
      <c r="AG587" s="38" t="str">
        <f>IF(S586="","",ROUNDDOWN(AF587*10000/$AJ$3,0))</f>
        <v/>
      </c>
      <c r="AH587" s="39" t="str">
        <f t="shared" ref="AH587" si="2549">IF(S586="","",IF(AG587&gt;AI586,"＞",IF(AG587=AI586,"=","＜")))</f>
        <v/>
      </c>
      <c r="AI587" s="42"/>
      <c r="AJ587" s="44"/>
      <c r="AK587" s="39" t="str">
        <f>IF(S586="","",IF(AND(T587=1,AE587&gt;1),"NG",IF(AH587="＞","OK","NG")))</f>
        <v/>
      </c>
    </row>
    <row r="588" spans="1:37" ht="15.75" customHeight="1" x14ac:dyDescent="0.15">
      <c r="A588" s="80"/>
      <c r="B588" s="81">
        <v>68</v>
      </c>
      <c r="C588" s="58" t="str">
        <f>IF(A588="","",IF(B588=1,"素　焼土　管",IF(B588=2,"合　成樹脂管",IF(B588=3,"無孔管",""))))</f>
        <v/>
      </c>
      <c r="D588" s="60"/>
      <c r="E588" s="82"/>
      <c r="F588" s="83"/>
      <c r="G588" s="83"/>
      <c r="H588" s="84"/>
      <c r="I588" s="53" t="str">
        <f>IF(A588="","",F588-G588+H588)</f>
        <v/>
      </c>
      <c r="J588" s="55" t="str">
        <f>IF(A588="",""," 1/")</f>
        <v/>
      </c>
      <c r="K588" s="85"/>
      <c r="L588" s="56" t="str">
        <f>IF(A588="","",IF(B588=1,0.013,0.012))</f>
        <v/>
      </c>
      <c r="M588" s="47" t="str">
        <f>IF(A588="","",(1/L588*(E588/100/2)^(8/3)*(1/K588*100)^(1/2)*1.65696)*100)</f>
        <v/>
      </c>
      <c r="N588" s="47" t="str">
        <f>IF(A588="","",1/L588*(E588/100/2)^(2/3)*(1/K588)^(1/2)*0.70541)</f>
        <v/>
      </c>
      <c r="O588" s="48" t="str">
        <f>IF(A588="","",ROUNDDOWN(M588/($U$3/8.64)*10000/$AJ$3,0))</f>
        <v/>
      </c>
      <c r="P588" s="49" t="str">
        <f>IF(A588="","",IF(O588&gt;Q588,"＞","＜"))</f>
        <v/>
      </c>
      <c r="Q588" s="48" t="str">
        <f>IF(A588="","",I588)</f>
        <v/>
      </c>
      <c r="R588" s="51" t="str">
        <f>IF(A588="","",IF(P588="＞","OK","NG"))</f>
        <v/>
      </c>
      <c r="S588" s="86"/>
      <c r="T588" s="87"/>
      <c r="U588" s="28" t="str">
        <f>IF(S588="","",IF(T588=1,"素焼土管",IF(T588=2,"合成樹脂管",IF(T588=3,"無孔管",""))))</f>
        <v/>
      </c>
      <c r="V588" s="29"/>
      <c r="W588" s="88"/>
      <c r="X588" s="89"/>
      <c r="Y588" s="90"/>
      <c r="Z588" s="41" t="str">
        <f>IF(S588="","",IF(AND(T589=3,I588=""),Z586+Y588,IF(AND(Z586="",I586=""),I588+Y588,IF(AND(T589=3,I588&gt;0,Z586&gt;0),I588+Z586+Y588,IF(Z586="",I586+I588+X588+Y588,IF(I588="",Z586+X588+Y588,Z586+I588+X588+Y588))))))</f>
        <v/>
      </c>
      <c r="AA588" s="45" t="str">
        <f>IF(AB588="",""," 1/")</f>
        <v/>
      </c>
      <c r="AB588" s="91"/>
      <c r="AC588" s="30" t="str">
        <f>IF(S588="","",IF(T588="","",IF(T588=1,0.013,0.012)))</f>
        <v/>
      </c>
      <c r="AD588" s="31" t="str">
        <f>IF(S588="","",IF(T588="","",(1/AC588*(W588/100/2)^(8/3)*(1/AB588*100)^(1/2)*1.65696)*100))</f>
        <v/>
      </c>
      <c r="AE588" s="31" t="str">
        <f>IF(S588="","",IF(T588="","",1/AC588*(W588/100/2)^(2/3)*(1/AB588)^(1/2)*0.70541))</f>
        <v/>
      </c>
      <c r="AF588" s="31" t="str">
        <f>IF(S588="","",IF(T588="","",ROUNDDOWN(AD588/($U$3/8.64),3)))</f>
        <v/>
      </c>
      <c r="AG588" s="32" t="str">
        <f>IF(S588="","",IF(T588="","",ROUNDDOWN(AF588*10000/$AJ$3,0)))</f>
        <v/>
      </c>
      <c r="AH588" s="33" t="str">
        <f t="shared" ref="AH588:AH608" si="2550">IF(S588="","",IF(T588="","",IF(AG588&gt;AI588,"＞","＜")))</f>
        <v/>
      </c>
      <c r="AI588" s="41" t="str">
        <f>IF(S588="","",Z588)</f>
        <v/>
      </c>
      <c r="AJ588" s="43" t="str">
        <f>IF(S588="","",AI588*$AJ$3/10000)</f>
        <v/>
      </c>
      <c r="AK588" s="33" t="str">
        <f>IF(S588="","",IF(T588="","",IF(AND(T588=1,AE588&gt;1),"NG",IF(AH588="＞","OK","NG"))))</f>
        <v/>
      </c>
    </row>
    <row r="589" spans="1:37" ht="15.75" customHeight="1" x14ac:dyDescent="0.15">
      <c r="A589" s="92"/>
      <c r="B589" s="93"/>
      <c r="C589" s="59"/>
      <c r="D589" s="61"/>
      <c r="E589" s="94"/>
      <c r="F589" s="95"/>
      <c r="G589" s="95"/>
      <c r="H589" s="96"/>
      <c r="I589" s="54"/>
      <c r="J589" s="46"/>
      <c r="K589" s="97"/>
      <c r="L589" s="57"/>
      <c r="M589" s="44"/>
      <c r="N589" s="44"/>
      <c r="O589" s="42"/>
      <c r="P589" s="50"/>
      <c r="Q589" s="42"/>
      <c r="R589" s="52"/>
      <c r="S589" s="98"/>
      <c r="T589" s="99">
        <v>68</v>
      </c>
      <c r="U589" s="34" t="str">
        <f>IF(S588="","",IF(T588=T589,"〃",IF(T589=1,"素焼土管",IF(T589=2,"合成樹脂管",IF(T589=3,"無孔管","")))))</f>
        <v/>
      </c>
      <c r="V589" s="35"/>
      <c r="W589" s="100"/>
      <c r="X589" s="101"/>
      <c r="Y589" s="95"/>
      <c r="Z589" s="42"/>
      <c r="AA589" s="46"/>
      <c r="AB589" s="97"/>
      <c r="AC589" s="36" t="str">
        <f>IF(S588="","",IF(T589=1,0.013,0.012))</f>
        <v/>
      </c>
      <c r="AD589" s="37" t="str">
        <f>IF(S588="","",(1/AC589*(W589/100/2)^(8/3)*(1/AB588*100)^(1/2)*1.65696)*100)</f>
        <v/>
      </c>
      <c r="AE589" s="37" t="str">
        <f>IF(S588="","",1/AC589*(W589/100/2)^(2/3)*(1/AB588)^(1/2)*0.70541)</f>
        <v/>
      </c>
      <c r="AF589" s="37" t="str">
        <f>IF(S588="","",ROUNDDOWN(AD589/($U$3/8.64),3))</f>
        <v/>
      </c>
      <c r="AG589" s="38" t="str">
        <f>IF(S588="","",ROUNDDOWN(AF589*10000/$AJ$3,0))</f>
        <v/>
      </c>
      <c r="AH589" s="39" t="str">
        <f t="shared" ref="AH589" si="2551">IF(S588="","",IF(AG589&gt;AI588,"＞",IF(AG589=AI588,"=","＜")))</f>
        <v/>
      </c>
      <c r="AI589" s="42"/>
      <c r="AJ589" s="44"/>
      <c r="AK589" s="39" t="str">
        <f>IF(S588="","",IF(AND(T589=1,AE589&gt;1),"NG",IF(AH589="＞","OK","NG")))</f>
        <v/>
      </c>
    </row>
    <row r="590" spans="1:37" ht="15.75" customHeight="1" x14ac:dyDescent="0.15">
      <c r="A590" s="80"/>
      <c r="B590" s="81">
        <v>69</v>
      </c>
      <c r="C590" s="58" t="str">
        <f>IF(A590="","",IF(B590=1,"素　焼土　管",IF(B590=2,"合　成樹脂管",IF(B590=3,"無孔管",""))))</f>
        <v/>
      </c>
      <c r="D590" s="60"/>
      <c r="E590" s="82"/>
      <c r="F590" s="83"/>
      <c r="G590" s="83"/>
      <c r="H590" s="84"/>
      <c r="I590" s="53" t="str">
        <f>IF(A590="","",F590-G590+H590)</f>
        <v/>
      </c>
      <c r="J590" s="55" t="str">
        <f>IF(A590="",""," 1/")</f>
        <v/>
      </c>
      <c r="K590" s="85"/>
      <c r="L590" s="56" t="str">
        <f>IF(A590="","",IF(B590=1,0.013,0.012))</f>
        <v/>
      </c>
      <c r="M590" s="47" t="str">
        <f>IF(A590="","",(1/L590*(E590/100/2)^(8/3)*(1/K590*100)^(1/2)*1.65696)*100)</f>
        <v/>
      </c>
      <c r="N590" s="47" t="str">
        <f>IF(A590="","",1/L590*(E590/100/2)^(2/3)*(1/K590)^(1/2)*0.70541)</f>
        <v/>
      </c>
      <c r="O590" s="48" t="str">
        <f>IF(A590="","",ROUNDDOWN(M590/($U$3/8.64)*10000/$AJ$3,0))</f>
        <v/>
      </c>
      <c r="P590" s="49" t="str">
        <f>IF(A590="","",IF(O590&gt;Q590,"＞","＜"))</f>
        <v/>
      </c>
      <c r="Q590" s="48" t="str">
        <f>IF(A590="","",I590)</f>
        <v/>
      </c>
      <c r="R590" s="51" t="str">
        <f>IF(A590="","",IF(P590="＞","OK","NG"))</f>
        <v/>
      </c>
      <c r="S590" s="86"/>
      <c r="T590" s="87"/>
      <c r="U590" s="28" t="str">
        <f>IF(S590="","",IF(T590=1,"素焼土管",IF(T590=2,"合成樹脂管",IF(T590=3,"無孔管",""))))</f>
        <v/>
      </c>
      <c r="V590" s="29"/>
      <c r="W590" s="88"/>
      <c r="X590" s="89"/>
      <c r="Y590" s="90"/>
      <c r="Z590" s="41" t="str">
        <f>IF(S590="","",IF(AND(T591=3,I590=""),Z588+Y590,IF(AND(Z588="",I588=""),I590+Y590,IF(AND(T591=3,I590&gt;0,Z588&gt;0),I590+Z588+Y590,IF(Z588="",I588+I590+X590+Y590,IF(I590="",Z588+X590+Y590,Z588+I590+X590+Y590))))))</f>
        <v/>
      </c>
      <c r="AA590" s="45" t="str">
        <f>IF(AB590="",""," 1/")</f>
        <v/>
      </c>
      <c r="AB590" s="91"/>
      <c r="AC590" s="30" t="str">
        <f>IF(S590="","",IF(T590="","",IF(T590=1,0.013,0.012)))</f>
        <v/>
      </c>
      <c r="AD590" s="31" t="str">
        <f>IF(S590="","",IF(T590="","",(1/AC590*(W590/100/2)^(8/3)*(1/AB590*100)^(1/2)*1.65696)*100))</f>
        <v/>
      </c>
      <c r="AE590" s="31" t="str">
        <f>IF(S590="","",IF(T590="","",1/AC590*(W590/100/2)^(2/3)*(1/AB590)^(1/2)*0.70541))</f>
        <v/>
      </c>
      <c r="AF590" s="31" t="str">
        <f>IF(S590="","",IF(T590="","",ROUNDDOWN(AD590/($U$3/8.64),3)))</f>
        <v/>
      </c>
      <c r="AG590" s="32" t="str">
        <f>IF(S590="","",IF(T590="","",ROUNDDOWN(AF590*10000/$AJ$3,0)))</f>
        <v/>
      </c>
      <c r="AH590" s="33" t="str">
        <f t="shared" si="2550"/>
        <v/>
      </c>
      <c r="AI590" s="41" t="str">
        <f>IF(S590="","",Z590)</f>
        <v/>
      </c>
      <c r="AJ590" s="43" t="str">
        <f>IF(S590="","",AI590*$AJ$3/10000)</f>
        <v/>
      </c>
      <c r="AK590" s="33" t="str">
        <f>IF(S590="","",IF(T590="","",IF(AND(T590=1,AE590&gt;1),"NG",IF(AH590="＞","OK","NG"))))</f>
        <v/>
      </c>
    </row>
    <row r="591" spans="1:37" ht="15.75" customHeight="1" x14ac:dyDescent="0.15">
      <c r="A591" s="92"/>
      <c r="B591" s="93"/>
      <c r="C591" s="59"/>
      <c r="D591" s="61"/>
      <c r="E591" s="94"/>
      <c r="F591" s="95"/>
      <c r="G591" s="95"/>
      <c r="H591" s="96"/>
      <c r="I591" s="54"/>
      <c r="J591" s="46"/>
      <c r="K591" s="97"/>
      <c r="L591" s="57"/>
      <c r="M591" s="44"/>
      <c r="N591" s="44"/>
      <c r="O591" s="42"/>
      <c r="P591" s="50"/>
      <c r="Q591" s="42"/>
      <c r="R591" s="52"/>
      <c r="S591" s="98"/>
      <c r="T591" s="99">
        <v>69</v>
      </c>
      <c r="U591" s="34" t="str">
        <f>IF(S590="","",IF(T590=T591,"〃",IF(T591=1,"素焼土管",IF(T591=2,"合成樹脂管",IF(T591=3,"無孔管","")))))</f>
        <v/>
      </c>
      <c r="V591" s="35"/>
      <c r="W591" s="100"/>
      <c r="X591" s="101"/>
      <c r="Y591" s="95"/>
      <c r="Z591" s="42"/>
      <c r="AA591" s="46"/>
      <c r="AB591" s="97"/>
      <c r="AC591" s="36" t="str">
        <f>IF(S590="","",IF(T591=1,0.013,0.012))</f>
        <v/>
      </c>
      <c r="AD591" s="37" t="str">
        <f>IF(S590="","",(1/AC591*(W591/100/2)^(8/3)*(1/AB590*100)^(1/2)*1.65696)*100)</f>
        <v/>
      </c>
      <c r="AE591" s="37" t="str">
        <f>IF(S590="","",1/AC591*(W591/100/2)^(2/3)*(1/AB590)^(1/2)*0.70541)</f>
        <v/>
      </c>
      <c r="AF591" s="37" t="str">
        <f>IF(S590="","",ROUNDDOWN(AD591/($U$3/8.64),3))</f>
        <v/>
      </c>
      <c r="AG591" s="38" t="str">
        <f>IF(S590="","",ROUNDDOWN(AF591*10000/$AJ$3,0))</f>
        <v/>
      </c>
      <c r="AH591" s="39" t="str">
        <f t="shared" ref="AH591" si="2552">IF(S590="","",IF(AG591&gt;AI590,"＞",IF(AG591=AI590,"=","＜")))</f>
        <v/>
      </c>
      <c r="AI591" s="42"/>
      <c r="AJ591" s="44"/>
      <c r="AK591" s="39" t="str">
        <f>IF(S590="","",IF(AND(T591=1,AE591&gt;1),"NG",IF(AH591="＞","OK","NG")))</f>
        <v/>
      </c>
    </row>
    <row r="592" spans="1:37" ht="15.75" customHeight="1" x14ac:dyDescent="0.15">
      <c r="A592" s="80"/>
      <c r="B592" s="81">
        <v>70</v>
      </c>
      <c r="C592" s="58" t="str">
        <f>IF(A592="","",IF(B592=1,"素　焼土　管",IF(B592=2,"合　成樹脂管",IF(B592=3,"無孔管",""))))</f>
        <v/>
      </c>
      <c r="D592" s="60"/>
      <c r="E592" s="82"/>
      <c r="F592" s="83"/>
      <c r="G592" s="83"/>
      <c r="H592" s="84"/>
      <c r="I592" s="53" t="str">
        <f>IF(A592="","",F592-G592+H592)</f>
        <v/>
      </c>
      <c r="J592" s="55" t="str">
        <f>IF(A592="",""," 1/")</f>
        <v/>
      </c>
      <c r="K592" s="85"/>
      <c r="L592" s="56" t="str">
        <f>IF(A592="","",IF(B592=1,0.013,0.012))</f>
        <v/>
      </c>
      <c r="M592" s="47" t="str">
        <f>IF(A592="","",(1/L592*(E592/100/2)^(8/3)*(1/K592*100)^(1/2)*1.65696)*100)</f>
        <v/>
      </c>
      <c r="N592" s="47" t="str">
        <f>IF(A592="","",1/L592*(E592/100/2)^(2/3)*(1/K592)^(1/2)*0.70541)</f>
        <v/>
      </c>
      <c r="O592" s="48" t="str">
        <f>IF(A592="","",ROUNDDOWN(M592/($U$3/8.64)*10000/$AJ$3,0))</f>
        <v/>
      </c>
      <c r="P592" s="49" t="str">
        <f>IF(A592="","",IF(O592&gt;Q592,"＞","＜"))</f>
        <v/>
      </c>
      <c r="Q592" s="48" t="str">
        <f>IF(A592="","",I592)</f>
        <v/>
      </c>
      <c r="R592" s="51" t="str">
        <f>IF(A592="","",IF(P592="＞","OK","NG"))</f>
        <v/>
      </c>
      <c r="S592" s="86"/>
      <c r="T592" s="87"/>
      <c r="U592" s="28" t="str">
        <f>IF(S592="","",IF(T592=1,"素焼土管",IF(T592=2,"合成樹脂管",IF(T592=3,"無孔管",""))))</f>
        <v/>
      </c>
      <c r="V592" s="29"/>
      <c r="W592" s="88"/>
      <c r="X592" s="89"/>
      <c r="Y592" s="90"/>
      <c r="Z592" s="41" t="str">
        <f>IF(S592="","",IF(AND(T593=3,I592=""),Z590+Y592,IF(AND(Z590="",I590=""),I592+Y592,IF(AND(T593=3,I592&gt;0,Z590&gt;0),I592+Z590+Y592,IF(Z590="",I590+I592+X592+Y592,IF(I592="",Z590+X592+Y592,Z590+I592+X592+Y592))))))</f>
        <v/>
      </c>
      <c r="AA592" s="45" t="str">
        <f>IF(AB592="",""," 1/")</f>
        <v/>
      </c>
      <c r="AB592" s="91"/>
      <c r="AC592" s="30" t="str">
        <f>IF(S592="","",IF(T592="","",IF(T592=1,0.013,0.012)))</f>
        <v/>
      </c>
      <c r="AD592" s="31" t="str">
        <f>IF(S592="","",IF(T592="","",(1/AC592*(W592/100/2)^(8/3)*(1/AB592*100)^(1/2)*1.65696)*100))</f>
        <v/>
      </c>
      <c r="AE592" s="31" t="str">
        <f>IF(S592="","",IF(T592="","",1/AC592*(W592/100/2)^(2/3)*(1/AB592)^(1/2)*0.70541))</f>
        <v/>
      </c>
      <c r="AF592" s="31" t="str">
        <f>IF(S592="","",IF(T592="","",ROUNDDOWN(AD592/($U$3/8.64),3)))</f>
        <v/>
      </c>
      <c r="AG592" s="32" t="str">
        <f>IF(S592="","",IF(T592="","",ROUNDDOWN(AF592*10000/$AJ$3,0)))</f>
        <v/>
      </c>
      <c r="AH592" s="33" t="str">
        <f t="shared" si="2550"/>
        <v/>
      </c>
      <c r="AI592" s="41" t="str">
        <f>IF(S592="","",Z592)</f>
        <v/>
      </c>
      <c r="AJ592" s="43" t="str">
        <f>IF(S592="","",AI592*$AJ$3/10000)</f>
        <v/>
      </c>
      <c r="AK592" s="33" t="str">
        <f>IF(S592="","",IF(T592="","",IF(AND(T592=1,AE592&gt;1),"NG",IF(AH592="＞","OK","NG"))))</f>
        <v/>
      </c>
    </row>
    <row r="593" spans="1:37" ht="15.75" customHeight="1" x14ac:dyDescent="0.15">
      <c r="A593" s="92"/>
      <c r="B593" s="93"/>
      <c r="C593" s="59"/>
      <c r="D593" s="61"/>
      <c r="E593" s="94"/>
      <c r="F593" s="95"/>
      <c r="G593" s="95"/>
      <c r="H593" s="96"/>
      <c r="I593" s="54"/>
      <c r="J593" s="46"/>
      <c r="K593" s="97"/>
      <c r="L593" s="57"/>
      <c r="M593" s="44"/>
      <c r="N593" s="44"/>
      <c r="O593" s="42"/>
      <c r="P593" s="50"/>
      <c r="Q593" s="42"/>
      <c r="R593" s="52"/>
      <c r="S593" s="98"/>
      <c r="T593" s="99">
        <v>70</v>
      </c>
      <c r="U593" s="34" t="str">
        <f>IF(S592="","",IF(T592=T593,"〃",IF(T593=1,"素焼土管",IF(T593=2,"合成樹脂管",IF(T593=3,"無孔管","")))))</f>
        <v/>
      </c>
      <c r="V593" s="35"/>
      <c r="W593" s="100"/>
      <c r="X593" s="101"/>
      <c r="Y593" s="95"/>
      <c r="Z593" s="42"/>
      <c r="AA593" s="46"/>
      <c r="AB593" s="97"/>
      <c r="AC593" s="36" t="str">
        <f>IF(S592="","",IF(T593=1,0.013,0.012))</f>
        <v/>
      </c>
      <c r="AD593" s="37" t="str">
        <f>IF(S592="","",(1/AC593*(W593/100/2)^(8/3)*(1/AB592*100)^(1/2)*1.65696)*100)</f>
        <v/>
      </c>
      <c r="AE593" s="37" t="str">
        <f>IF(S592="","",1/AC593*(W593/100/2)^(2/3)*(1/AB592)^(1/2)*0.70541)</f>
        <v/>
      </c>
      <c r="AF593" s="37" t="str">
        <f>IF(S592="","",ROUNDDOWN(AD593/($U$3/8.64),3))</f>
        <v/>
      </c>
      <c r="AG593" s="38" t="str">
        <f>IF(S592="","",ROUNDDOWN(AF593*10000/$AJ$3,0))</f>
        <v/>
      </c>
      <c r="AH593" s="39" t="str">
        <f t="shared" ref="AH593" si="2553">IF(S592="","",IF(AG593&gt;AI592,"＞",IF(AG593=AI592,"=","＜")))</f>
        <v/>
      </c>
      <c r="AI593" s="42"/>
      <c r="AJ593" s="44"/>
      <c r="AK593" s="39" t="str">
        <f>IF(S592="","",IF(AND(T593=1,AE593&gt;1),"NG",IF(AH593="＞","OK","NG")))</f>
        <v/>
      </c>
    </row>
    <row r="594" spans="1:37" ht="15.75" customHeight="1" x14ac:dyDescent="0.15">
      <c r="A594" s="80"/>
      <c r="B594" s="81">
        <v>71</v>
      </c>
      <c r="C594" s="58" t="str">
        <f>IF(A594="","",IF(B594=1,"素　焼土　管",IF(B594=2,"合　成樹脂管",IF(B594=3,"無孔管",""))))</f>
        <v/>
      </c>
      <c r="D594" s="60"/>
      <c r="E594" s="82"/>
      <c r="F594" s="83"/>
      <c r="G594" s="83"/>
      <c r="H594" s="84"/>
      <c r="I594" s="53" t="str">
        <f>IF(A594="","",F594-G594+H594)</f>
        <v/>
      </c>
      <c r="J594" s="55" t="str">
        <f>IF(A594="",""," 1/")</f>
        <v/>
      </c>
      <c r="K594" s="85"/>
      <c r="L594" s="56" t="str">
        <f>IF(A594="","",IF(B594=1,0.013,0.012))</f>
        <v/>
      </c>
      <c r="M594" s="47" t="str">
        <f>IF(A594="","",(1/L594*(E594/100/2)^(8/3)*(1/K594*100)^(1/2)*1.65696)*100)</f>
        <v/>
      </c>
      <c r="N594" s="47" t="str">
        <f>IF(A594="","",1/L594*(E594/100/2)^(2/3)*(1/K594)^(1/2)*0.70541)</f>
        <v/>
      </c>
      <c r="O594" s="48" t="str">
        <f>IF(A594="","",ROUNDDOWN(M594/($U$3/8.64)*10000/$AJ$3,0))</f>
        <v/>
      </c>
      <c r="P594" s="49" t="str">
        <f>IF(A594="","",IF(O594&gt;Q594,"＞","＜"))</f>
        <v/>
      </c>
      <c r="Q594" s="48" t="str">
        <f>IF(A594="","",I594)</f>
        <v/>
      </c>
      <c r="R594" s="51" t="str">
        <f>IF(A594="","",IF(P594="＞","OK","NG"))</f>
        <v/>
      </c>
      <c r="S594" s="86"/>
      <c r="T594" s="87"/>
      <c r="U594" s="28" t="str">
        <f>IF(S594="","",IF(T594=1,"素焼土管",IF(T594=2,"合成樹脂管",IF(T594=3,"無孔管",""))))</f>
        <v/>
      </c>
      <c r="V594" s="29"/>
      <c r="W594" s="88"/>
      <c r="X594" s="89"/>
      <c r="Y594" s="90"/>
      <c r="Z594" s="41" t="str">
        <f>IF(S594="","",IF(AND(T595=3,I594=""),Z592+Y594,IF(AND(Z592="",I592=""),I594+Y594,IF(AND(T595=3,I594&gt;0,Z592&gt;0),I594+Z592+Y594,IF(Z592="",I592+I594+X594+Y594,IF(I594="",Z592+X594+Y594,Z592+I594+X594+Y594))))))</f>
        <v/>
      </c>
      <c r="AA594" s="45" t="str">
        <f>IF(AB594="",""," 1/")</f>
        <v/>
      </c>
      <c r="AB594" s="91"/>
      <c r="AC594" s="30" t="str">
        <f>IF(S594="","",IF(T594="","",IF(T594=1,0.013,0.012)))</f>
        <v/>
      </c>
      <c r="AD594" s="31" t="str">
        <f>IF(S594="","",IF(T594="","",(1/AC594*(W594/100/2)^(8/3)*(1/AB594*100)^(1/2)*1.65696)*100))</f>
        <v/>
      </c>
      <c r="AE594" s="31" t="str">
        <f>IF(S594="","",IF(T594="","",1/AC594*(W594/100/2)^(2/3)*(1/AB594)^(1/2)*0.70541))</f>
        <v/>
      </c>
      <c r="AF594" s="31" t="str">
        <f>IF(S594="","",IF(T594="","",ROUNDDOWN(AD594/($U$3/8.64),3)))</f>
        <v/>
      </c>
      <c r="AG594" s="32" t="str">
        <f>IF(S594="","",IF(T594="","",ROUNDDOWN(AF594*10000/$AJ$3,0)))</f>
        <v/>
      </c>
      <c r="AH594" s="33" t="str">
        <f t="shared" si="2550"/>
        <v/>
      </c>
      <c r="AI594" s="41" t="str">
        <f>IF(S594="","",Z594)</f>
        <v/>
      </c>
      <c r="AJ594" s="43" t="str">
        <f>IF(S594="","",AI594*$AJ$3/10000)</f>
        <v/>
      </c>
      <c r="AK594" s="33" t="str">
        <f>IF(S594="","",IF(T594="","",IF(AND(T594=1,AE594&gt;1),"NG",IF(AH594="＞","OK","NG"))))</f>
        <v/>
      </c>
    </row>
    <row r="595" spans="1:37" ht="15.75" customHeight="1" x14ac:dyDescent="0.15">
      <c r="A595" s="92"/>
      <c r="B595" s="93"/>
      <c r="C595" s="59"/>
      <c r="D595" s="61"/>
      <c r="E595" s="94"/>
      <c r="F595" s="95"/>
      <c r="G595" s="95"/>
      <c r="H595" s="96"/>
      <c r="I595" s="54"/>
      <c r="J595" s="46"/>
      <c r="K595" s="97"/>
      <c r="L595" s="57"/>
      <c r="M595" s="44"/>
      <c r="N595" s="44"/>
      <c r="O595" s="42"/>
      <c r="P595" s="50"/>
      <c r="Q595" s="42"/>
      <c r="R595" s="52"/>
      <c r="S595" s="98"/>
      <c r="T595" s="99">
        <v>71</v>
      </c>
      <c r="U595" s="34" t="str">
        <f>IF(S594="","",IF(T594=T595,"〃",IF(T595=1,"素焼土管",IF(T595=2,"合成樹脂管",IF(T595=3,"無孔管","")))))</f>
        <v/>
      </c>
      <c r="V595" s="35"/>
      <c r="W595" s="100"/>
      <c r="X595" s="101"/>
      <c r="Y595" s="95"/>
      <c r="Z595" s="42"/>
      <c r="AA595" s="46"/>
      <c r="AB595" s="97"/>
      <c r="AC595" s="36" t="str">
        <f>IF(S594="","",IF(T595=1,0.013,0.012))</f>
        <v/>
      </c>
      <c r="AD595" s="37" t="str">
        <f>IF(S594="","",(1/AC595*(W595/100/2)^(8/3)*(1/AB594*100)^(1/2)*1.65696)*100)</f>
        <v/>
      </c>
      <c r="AE595" s="37" t="str">
        <f>IF(S594="","",1/AC595*(W595/100/2)^(2/3)*(1/AB594)^(1/2)*0.70541)</f>
        <v/>
      </c>
      <c r="AF595" s="37" t="str">
        <f>IF(S594="","",ROUNDDOWN(AD595/($U$3/8.64),3))</f>
        <v/>
      </c>
      <c r="AG595" s="38" t="str">
        <f>IF(S594="","",ROUNDDOWN(AF595*10000/$AJ$3,0))</f>
        <v/>
      </c>
      <c r="AH595" s="39" t="str">
        <f t="shared" ref="AH595" si="2554">IF(S594="","",IF(AG595&gt;AI594,"＞",IF(AG595=AI594,"=","＜")))</f>
        <v/>
      </c>
      <c r="AI595" s="42"/>
      <c r="AJ595" s="44"/>
      <c r="AK595" s="39" t="str">
        <f>IF(S594="","",IF(AND(T595=1,AE595&gt;1),"NG",IF(AH595="＞","OK","NG")))</f>
        <v/>
      </c>
    </row>
    <row r="596" spans="1:37" ht="15.75" customHeight="1" x14ac:dyDescent="0.15">
      <c r="A596" s="80"/>
      <c r="B596" s="81">
        <v>72</v>
      </c>
      <c r="C596" s="58" t="str">
        <f>IF(A596="","",IF(B596=1,"素　焼土　管",IF(B596=2,"合　成樹脂管",IF(B596=3,"無孔管",""))))</f>
        <v/>
      </c>
      <c r="D596" s="60"/>
      <c r="E596" s="82"/>
      <c r="F596" s="83"/>
      <c r="G596" s="83"/>
      <c r="H596" s="84"/>
      <c r="I596" s="53" t="str">
        <f>IF(A596="","",F596-G596+H596)</f>
        <v/>
      </c>
      <c r="J596" s="55" t="str">
        <f>IF(A596="",""," 1/")</f>
        <v/>
      </c>
      <c r="K596" s="85"/>
      <c r="L596" s="56" t="str">
        <f>IF(A596="","",IF(B596=1,0.013,0.012))</f>
        <v/>
      </c>
      <c r="M596" s="47" t="str">
        <f>IF(A596="","",(1/L596*(E596/100/2)^(8/3)*(1/K596*100)^(1/2)*1.65696)*100)</f>
        <v/>
      </c>
      <c r="N596" s="47" t="str">
        <f>IF(A596="","",1/L596*(E596/100/2)^(2/3)*(1/K596)^(1/2)*0.70541)</f>
        <v/>
      </c>
      <c r="O596" s="48" t="str">
        <f>IF(A596="","",ROUNDDOWN(M596/($U$3/8.64)*10000/$AJ$3,0))</f>
        <v/>
      </c>
      <c r="P596" s="49" t="str">
        <f>IF(A596="","",IF(O596&gt;Q596,"＞","＜"))</f>
        <v/>
      </c>
      <c r="Q596" s="48" t="str">
        <f>IF(A596="","",I596)</f>
        <v/>
      </c>
      <c r="R596" s="51" t="str">
        <f>IF(A596="","",IF(P596="＞","OK","NG"))</f>
        <v/>
      </c>
      <c r="S596" s="86"/>
      <c r="T596" s="87"/>
      <c r="U596" s="28" t="str">
        <f>IF(S596="","",IF(T596=1,"素焼土管",IF(T596=2,"合成樹脂管",IF(T596=3,"無孔管",""))))</f>
        <v/>
      </c>
      <c r="V596" s="29"/>
      <c r="W596" s="88"/>
      <c r="X596" s="89"/>
      <c r="Y596" s="90"/>
      <c r="Z596" s="41" t="str">
        <f>IF(S596="","",IF(AND(T597=3,I596=""),Z594+Y596,IF(AND(Z594="",I594=""),I596+Y596,IF(AND(T597=3,I596&gt;0,Z594&gt;0),I596+Z594+Y596,IF(Z594="",I594+I596+X596+Y596,IF(I596="",Z594+X596+Y596,Z594+I596+X596+Y596))))))</f>
        <v/>
      </c>
      <c r="AA596" s="45" t="str">
        <f>IF(AB596="",""," 1/")</f>
        <v/>
      </c>
      <c r="AB596" s="91"/>
      <c r="AC596" s="30" t="str">
        <f>IF(S596="","",IF(T596="","",IF(T596=1,0.013,0.012)))</f>
        <v/>
      </c>
      <c r="AD596" s="31" t="str">
        <f>IF(S596="","",IF(T596="","",(1/AC596*(W596/100/2)^(8/3)*(1/AB596*100)^(1/2)*1.65696)*100))</f>
        <v/>
      </c>
      <c r="AE596" s="31" t="str">
        <f>IF(S596="","",IF(T596="","",1/AC596*(W596/100/2)^(2/3)*(1/AB596)^(1/2)*0.70541))</f>
        <v/>
      </c>
      <c r="AF596" s="31" t="str">
        <f>IF(S596="","",IF(T596="","",ROUNDDOWN(AD596/($U$3/8.64),3)))</f>
        <v/>
      </c>
      <c r="AG596" s="32" t="str">
        <f>IF(S596="","",IF(T596="","",ROUNDDOWN(AF596*10000/$AJ$3,0)))</f>
        <v/>
      </c>
      <c r="AH596" s="33" t="str">
        <f t="shared" si="2550"/>
        <v/>
      </c>
      <c r="AI596" s="41" t="str">
        <f>IF(S596="","",Z596)</f>
        <v/>
      </c>
      <c r="AJ596" s="43" t="str">
        <f>IF(S596="","",AI596*$AJ$3/10000)</f>
        <v/>
      </c>
      <c r="AK596" s="33" t="str">
        <f>IF(S596="","",IF(T596="","",IF(AND(T596=1,AE596&gt;1),"NG",IF(AH596="＞","OK","NG"))))</f>
        <v/>
      </c>
    </row>
    <row r="597" spans="1:37" ht="15.75" customHeight="1" x14ac:dyDescent="0.15">
      <c r="A597" s="92"/>
      <c r="B597" s="93"/>
      <c r="C597" s="59"/>
      <c r="D597" s="61"/>
      <c r="E597" s="94"/>
      <c r="F597" s="95"/>
      <c r="G597" s="95"/>
      <c r="H597" s="96"/>
      <c r="I597" s="54"/>
      <c r="J597" s="46"/>
      <c r="K597" s="97"/>
      <c r="L597" s="57"/>
      <c r="M597" s="44"/>
      <c r="N597" s="44"/>
      <c r="O597" s="42"/>
      <c r="P597" s="50"/>
      <c r="Q597" s="42"/>
      <c r="R597" s="52"/>
      <c r="S597" s="98"/>
      <c r="T597" s="99">
        <v>72</v>
      </c>
      <c r="U597" s="34" t="str">
        <f>IF(S596="","",IF(T596=T597,"〃",IF(T597=1,"素焼土管",IF(T597=2,"合成樹脂管",IF(T597=3,"無孔管","")))))</f>
        <v/>
      </c>
      <c r="V597" s="35"/>
      <c r="W597" s="100"/>
      <c r="X597" s="101"/>
      <c r="Y597" s="95"/>
      <c r="Z597" s="42"/>
      <c r="AA597" s="46"/>
      <c r="AB597" s="97"/>
      <c r="AC597" s="36" t="str">
        <f>IF(S596="","",IF(T597=1,0.013,0.012))</f>
        <v/>
      </c>
      <c r="AD597" s="37" t="str">
        <f>IF(S596="","",(1/AC597*(W597/100/2)^(8/3)*(1/AB596*100)^(1/2)*1.65696)*100)</f>
        <v/>
      </c>
      <c r="AE597" s="37" t="str">
        <f>IF(S596="","",1/AC597*(W597/100/2)^(2/3)*(1/AB596)^(1/2)*0.70541)</f>
        <v/>
      </c>
      <c r="AF597" s="37" t="str">
        <f>IF(S596="","",ROUNDDOWN(AD597/($U$3/8.64),3))</f>
        <v/>
      </c>
      <c r="AG597" s="38" t="str">
        <f>IF(S596="","",ROUNDDOWN(AF597*10000/$AJ$3,0))</f>
        <v/>
      </c>
      <c r="AH597" s="39" t="str">
        <f t="shared" ref="AH597" si="2555">IF(S596="","",IF(AG597&gt;AI596,"＞",IF(AG597=AI596,"=","＜")))</f>
        <v/>
      </c>
      <c r="AI597" s="42"/>
      <c r="AJ597" s="44"/>
      <c r="AK597" s="39" t="str">
        <f>IF(S596="","",IF(AND(T597=1,AE597&gt;1),"NG",IF(AH597="＞","OK","NG")))</f>
        <v/>
      </c>
    </row>
    <row r="598" spans="1:37" ht="15.75" customHeight="1" x14ac:dyDescent="0.15">
      <c r="A598" s="80"/>
      <c r="B598" s="81">
        <v>73</v>
      </c>
      <c r="C598" s="58" t="str">
        <f>IF(A598="","",IF(B598=1,"素　焼土　管",IF(B598=2,"合　成樹脂管",IF(B598=3,"無孔管",""))))</f>
        <v/>
      </c>
      <c r="D598" s="60"/>
      <c r="E598" s="82"/>
      <c r="F598" s="83"/>
      <c r="G598" s="83"/>
      <c r="H598" s="84"/>
      <c r="I598" s="53" t="str">
        <f>IF(A598="","",F598-G598+H598)</f>
        <v/>
      </c>
      <c r="J598" s="55" t="str">
        <f>IF(A598="",""," 1/")</f>
        <v/>
      </c>
      <c r="K598" s="85"/>
      <c r="L598" s="56" t="str">
        <f>IF(A598="","",IF(B598=1,0.013,0.012))</f>
        <v/>
      </c>
      <c r="M598" s="47" t="str">
        <f>IF(A598="","",(1/L598*(E598/100/2)^(8/3)*(1/K598*100)^(1/2)*1.65696)*100)</f>
        <v/>
      </c>
      <c r="N598" s="47" t="str">
        <f>IF(A598="","",1/L598*(E598/100/2)^(2/3)*(1/K598)^(1/2)*0.70541)</f>
        <v/>
      </c>
      <c r="O598" s="48" t="str">
        <f>IF(A598="","",ROUNDDOWN(M598/($U$3/8.64)*10000/$AJ$3,0))</f>
        <v/>
      </c>
      <c r="P598" s="49" t="str">
        <f>IF(A598="","",IF(O598&gt;Q598,"＞","＜"))</f>
        <v/>
      </c>
      <c r="Q598" s="48" t="str">
        <f>IF(A598="","",I598)</f>
        <v/>
      </c>
      <c r="R598" s="51" t="str">
        <f>IF(A598="","",IF(P598="＞","OK","NG"))</f>
        <v/>
      </c>
      <c r="S598" s="86"/>
      <c r="T598" s="87"/>
      <c r="U598" s="28" t="str">
        <f>IF(S598="","",IF(T598=1,"素焼土管",IF(T598=2,"合成樹脂管",IF(T598=3,"無孔管",""))))</f>
        <v/>
      </c>
      <c r="V598" s="29"/>
      <c r="W598" s="88"/>
      <c r="X598" s="89"/>
      <c r="Y598" s="90"/>
      <c r="Z598" s="41" t="str">
        <f>IF(S598="","",IF(AND(T599=3,I598=""),Z596+Y598,IF(AND(Z596="",I596=""),I598+Y598,IF(AND(T599=3,I598&gt;0,Z596&gt;0),I598+Z596+Y598,IF(Z596="",I596+I598+X598+Y598,IF(I598="",Z596+X598+Y598,Z596+I598+X598+Y598))))))</f>
        <v/>
      </c>
      <c r="AA598" s="45" t="str">
        <f>IF(AB598="",""," 1/")</f>
        <v/>
      </c>
      <c r="AB598" s="91"/>
      <c r="AC598" s="30" t="str">
        <f>IF(S598="","",IF(T598="","",IF(T598=1,0.013,0.012)))</f>
        <v/>
      </c>
      <c r="AD598" s="31" t="str">
        <f>IF(S598="","",IF(T598="","",(1/AC598*(W598/100/2)^(8/3)*(1/AB598*100)^(1/2)*1.65696)*100))</f>
        <v/>
      </c>
      <c r="AE598" s="31" t="str">
        <f>IF(S598="","",IF(T598="","",1/AC598*(W598/100/2)^(2/3)*(1/AB598)^(1/2)*0.70541))</f>
        <v/>
      </c>
      <c r="AF598" s="31" t="str">
        <f>IF(S598="","",IF(T598="","",ROUNDDOWN(AD598/($U$3/8.64),3)))</f>
        <v/>
      </c>
      <c r="AG598" s="32" t="str">
        <f>IF(S598="","",IF(T598="","",ROUNDDOWN(AF598*10000/$AJ$3,0)))</f>
        <v/>
      </c>
      <c r="AH598" s="33" t="str">
        <f t="shared" si="2550"/>
        <v/>
      </c>
      <c r="AI598" s="41" t="str">
        <f>IF(S598="","",Z598)</f>
        <v/>
      </c>
      <c r="AJ598" s="43" t="str">
        <f>IF(S598="","",AI598*$AJ$3/10000)</f>
        <v/>
      </c>
      <c r="AK598" s="33" t="str">
        <f>IF(S598="","",IF(T598="","",IF(AND(T598=1,AE598&gt;1),"NG",IF(AH598="＞","OK","NG"))))</f>
        <v/>
      </c>
    </row>
    <row r="599" spans="1:37" ht="15.75" customHeight="1" x14ac:dyDescent="0.15">
      <c r="A599" s="92"/>
      <c r="B599" s="93"/>
      <c r="C599" s="59"/>
      <c r="D599" s="61"/>
      <c r="E599" s="94"/>
      <c r="F599" s="95"/>
      <c r="G599" s="95"/>
      <c r="H599" s="96"/>
      <c r="I599" s="54"/>
      <c r="J599" s="46"/>
      <c r="K599" s="97"/>
      <c r="L599" s="57"/>
      <c r="M599" s="44"/>
      <c r="N599" s="44"/>
      <c r="O599" s="42"/>
      <c r="P599" s="50"/>
      <c r="Q599" s="42"/>
      <c r="R599" s="52"/>
      <c r="S599" s="98"/>
      <c r="T599" s="99">
        <v>73</v>
      </c>
      <c r="U599" s="34" t="str">
        <f>IF(S598="","",IF(T598=T599,"〃",IF(T599=1,"素焼土管",IF(T599=2,"合成樹脂管",IF(T599=3,"無孔管","")))))</f>
        <v/>
      </c>
      <c r="V599" s="35"/>
      <c r="W599" s="100"/>
      <c r="X599" s="101"/>
      <c r="Y599" s="95"/>
      <c r="Z599" s="42"/>
      <c r="AA599" s="46"/>
      <c r="AB599" s="97"/>
      <c r="AC599" s="36" t="str">
        <f>IF(S598="","",IF(T599=1,0.013,0.012))</f>
        <v/>
      </c>
      <c r="AD599" s="37" t="str">
        <f>IF(S598="","",(1/AC599*(W599/100/2)^(8/3)*(1/AB598*100)^(1/2)*1.65696)*100)</f>
        <v/>
      </c>
      <c r="AE599" s="37" t="str">
        <f>IF(S598="","",1/AC599*(W599/100/2)^(2/3)*(1/AB598)^(1/2)*0.70541)</f>
        <v/>
      </c>
      <c r="AF599" s="37" t="str">
        <f>IF(S598="","",ROUNDDOWN(AD599/($U$3/8.64),3))</f>
        <v/>
      </c>
      <c r="AG599" s="38" t="str">
        <f>IF(S598="","",ROUNDDOWN(AF599*10000/$AJ$3,0))</f>
        <v/>
      </c>
      <c r="AH599" s="39" t="str">
        <f t="shared" ref="AH599" si="2556">IF(S598="","",IF(AG599&gt;AI598,"＞",IF(AG599=AI598,"=","＜")))</f>
        <v/>
      </c>
      <c r="AI599" s="42"/>
      <c r="AJ599" s="44"/>
      <c r="AK599" s="39" t="str">
        <f>IF(S598="","",IF(AND(T599=1,AE599&gt;1),"NG",IF(AH599="＞","OK","NG")))</f>
        <v/>
      </c>
    </row>
    <row r="600" spans="1:37" ht="15.75" customHeight="1" x14ac:dyDescent="0.15">
      <c r="A600" s="80"/>
      <c r="B600" s="81">
        <v>74</v>
      </c>
      <c r="C600" s="58" t="str">
        <f>IF(A600="","",IF(B600=1,"素　焼土　管",IF(B600=2,"合　成樹脂管",IF(B600=3,"無孔管",""))))</f>
        <v/>
      </c>
      <c r="D600" s="60"/>
      <c r="E600" s="82"/>
      <c r="F600" s="83"/>
      <c r="G600" s="83"/>
      <c r="H600" s="84"/>
      <c r="I600" s="53" t="str">
        <f>IF(A600="","",F600-G600+H600)</f>
        <v/>
      </c>
      <c r="J600" s="55" t="str">
        <f>IF(A600="",""," 1/")</f>
        <v/>
      </c>
      <c r="K600" s="85"/>
      <c r="L600" s="56" t="str">
        <f>IF(A600="","",IF(B600=1,0.013,0.012))</f>
        <v/>
      </c>
      <c r="M600" s="47" t="str">
        <f>IF(A600="","",(1/L600*(E600/100/2)^(8/3)*(1/K600*100)^(1/2)*1.65696)*100)</f>
        <v/>
      </c>
      <c r="N600" s="47" t="str">
        <f>IF(A600="","",1/L600*(E600/100/2)^(2/3)*(1/K600)^(1/2)*0.70541)</f>
        <v/>
      </c>
      <c r="O600" s="48" t="str">
        <f>IF(A600="","",ROUNDDOWN(M600/($U$3/8.64)*10000/$AJ$3,0))</f>
        <v/>
      </c>
      <c r="P600" s="49" t="str">
        <f>IF(A600="","",IF(O600&gt;Q600,"＞","＜"))</f>
        <v/>
      </c>
      <c r="Q600" s="48" t="str">
        <f>IF(A600="","",I600)</f>
        <v/>
      </c>
      <c r="R600" s="51" t="str">
        <f>IF(A600="","",IF(P600="＞","OK","NG"))</f>
        <v/>
      </c>
      <c r="S600" s="86"/>
      <c r="T600" s="87"/>
      <c r="U600" s="28" t="str">
        <f>IF(S600="","",IF(T600=1,"素焼土管",IF(T600=2,"合成樹脂管",IF(T600=3,"無孔管",""))))</f>
        <v/>
      </c>
      <c r="V600" s="29"/>
      <c r="W600" s="88"/>
      <c r="X600" s="89"/>
      <c r="Y600" s="90"/>
      <c r="Z600" s="41" t="str">
        <f>IF(S600="","",IF(AND(T601=3,I600=""),Z598+Y600,IF(AND(Z598="",I598=""),I600+Y600,IF(AND(T601=3,I600&gt;0,Z598&gt;0),I600+Z598+Y600,IF(Z598="",I598+I600+X600+Y600,IF(I600="",Z598+X600+Y600,Z598+I600+X600+Y600))))))</f>
        <v/>
      </c>
      <c r="AA600" s="45" t="str">
        <f>IF(AB600="",""," 1/")</f>
        <v/>
      </c>
      <c r="AB600" s="91"/>
      <c r="AC600" s="30" t="str">
        <f>IF(S600="","",IF(T600="","",IF(T600=1,0.013,0.012)))</f>
        <v/>
      </c>
      <c r="AD600" s="31" t="str">
        <f>IF(S600="","",IF(T600="","",(1/AC600*(W600/100/2)^(8/3)*(1/AB600*100)^(1/2)*1.65696)*100))</f>
        <v/>
      </c>
      <c r="AE600" s="31" t="str">
        <f>IF(S600="","",IF(T600="","",1/AC600*(W600/100/2)^(2/3)*(1/AB600)^(1/2)*0.70541))</f>
        <v/>
      </c>
      <c r="AF600" s="31" t="str">
        <f>IF(S600="","",IF(T600="","",ROUNDDOWN(AD600/($U$3/8.64),3)))</f>
        <v/>
      </c>
      <c r="AG600" s="32" t="str">
        <f>IF(S600="","",IF(T600="","",ROUNDDOWN(AF600*10000/$AJ$3,0)))</f>
        <v/>
      </c>
      <c r="AH600" s="33" t="str">
        <f t="shared" si="2550"/>
        <v/>
      </c>
      <c r="AI600" s="41" t="str">
        <f>IF(S600="","",Z600)</f>
        <v/>
      </c>
      <c r="AJ600" s="43" t="str">
        <f>IF(S600="","",AI600*$AJ$3/10000)</f>
        <v/>
      </c>
      <c r="AK600" s="33" t="str">
        <f>IF(S600="","",IF(T600="","",IF(AND(T600=1,AE600&gt;1),"NG",IF(AH600="＞","OK","NG"))))</f>
        <v/>
      </c>
    </row>
    <row r="601" spans="1:37" ht="15.75" customHeight="1" x14ac:dyDescent="0.15">
      <c r="A601" s="92"/>
      <c r="B601" s="93"/>
      <c r="C601" s="59"/>
      <c r="D601" s="61"/>
      <c r="E601" s="94"/>
      <c r="F601" s="95"/>
      <c r="G601" s="95"/>
      <c r="H601" s="96"/>
      <c r="I601" s="54"/>
      <c r="J601" s="46"/>
      <c r="K601" s="97"/>
      <c r="L601" s="57"/>
      <c r="M601" s="44"/>
      <c r="N601" s="44"/>
      <c r="O601" s="42"/>
      <c r="P601" s="50"/>
      <c r="Q601" s="42"/>
      <c r="R601" s="52"/>
      <c r="S601" s="98"/>
      <c r="T601" s="99">
        <v>74</v>
      </c>
      <c r="U601" s="34" t="str">
        <f>IF(S600="","",IF(T600=T601,"〃",IF(T601=1,"素焼土管",IF(T601=2,"合成樹脂管",IF(T601=3,"無孔管","")))))</f>
        <v/>
      </c>
      <c r="V601" s="35"/>
      <c r="W601" s="100"/>
      <c r="X601" s="101"/>
      <c r="Y601" s="95"/>
      <c r="Z601" s="42"/>
      <c r="AA601" s="46"/>
      <c r="AB601" s="97"/>
      <c r="AC601" s="36" t="str">
        <f>IF(S600="","",IF(T601=1,0.013,0.012))</f>
        <v/>
      </c>
      <c r="AD601" s="37" t="str">
        <f>IF(S600="","",(1/AC601*(W601/100/2)^(8/3)*(1/AB600*100)^(1/2)*1.65696)*100)</f>
        <v/>
      </c>
      <c r="AE601" s="37" t="str">
        <f>IF(S600="","",1/AC601*(W601/100/2)^(2/3)*(1/AB600)^(1/2)*0.70541)</f>
        <v/>
      </c>
      <c r="AF601" s="37" t="str">
        <f>IF(S600="","",ROUNDDOWN(AD601/($U$3/8.64),3))</f>
        <v/>
      </c>
      <c r="AG601" s="38" t="str">
        <f>IF(S600="","",ROUNDDOWN(AF601*10000/$AJ$3,0))</f>
        <v/>
      </c>
      <c r="AH601" s="39" t="str">
        <f t="shared" ref="AH601" si="2557">IF(S600="","",IF(AG601&gt;AI600,"＞",IF(AG601=AI600,"=","＜")))</f>
        <v/>
      </c>
      <c r="AI601" s="42"/>
      <c r="AJ601" s="44"/>
      <c r="AK601" s="39" t="str">
        <f>IF(S600="","",IF(AND(T601=1,AE601&gt;1),"NG",IF(AH601="＞","OK","NG")))</f>
        <v/>
      </c>
    </row>
    <row r="602" spans="1:37" ht="15.75" customHeight="1" x14ac:dyDescent="0.15">
      <c r="A602" s="80"/>
      <c r="B602" s="81">
        <v>75</v>
      </c>
      <c r="C602" s="58" t="str">
        <f>IF(A602="","",IF(B602=1,"素　焼土　管",IF(B602=2,"合　成樹脂管",IF(B602=3,"無孔管",""))))</f>
        <v/>
      </c>
      <c r="D602" s="60"/>
      <c r="E602" s="82"/>
      <c r="F602" s="83"/>
      <c r="G602" s="83"/>
      <c r="H602" s="84"/>
      <c r="I602" s="53" t="str">
        <f>IF(A602="","",F602-G602+H602)</f>
        <v/>
      </c>
      <c r="J602" s="55" t="str">
        <f>IF(A602="",""," 1/")</f>
        <v/>
      </c>
      <c r="K602" s="85"/>
      <c r="L602" s="56" t="str">
        <f>IF(A602="","",IF(B602=1,0.013,0.012))</f>
        <v/>
      </c>
      <c r="M602" s="47" t="str">
        <f>IF(A602="","",(1/L602*(E602/100/2)^(8/3)*(1/K602*100)^(1/2)*1.65696)*100)</f>
        <v/>
      </c>
      <c r="N602" s="47" t="str">
        <f>IF(A602="","",1/L602*(E602/100/2)^(2/3)*(1/K602)^(1/2)*0.70541)</f>
        <v/>
      </c>
      <c r="O602" s="48" t="str">
        <f>IF(A602="","",ROUNDDOWN(M602/($U$3/8.64)*10000/$AJ$3,0))</f>
        <v/>
      </c>
      <c r="P602" s="49" t="str">
        <f>IF(A602="","",IF(O602&gt;Q602,"＞","＜"))</f>
        <v/>
      </c>
      <c r="Q602" s="48" t="str">
        <f>IF(A602="","",I602)</f>
        <v/>
      </c>
      <c r="R602" s="51" t="str">
        <f>IF(A602="","",IF(P602="＞","OK","NG"))</f>
        <v/>
      </c>
      <c r="S602" s="86"/>
      <c r="T602" s="87"/>
      <c r="U602" s="28" t="str">
        <f>IF(S602="","",IF(T602=1,"素焼土管",IF(T602=2,"合成樹脂管",IF(T602=3,"無孔管",""))))</f>
        <v/>
      </c>
      <c r="V602" s="29"/>
      <c r="W602" s="88"/>
      <c r="X602" s="89"/>
      <c r="Y602" s="90"/>
      <c r="Z602" s="41" t="str">
        <f>IF(S602="","",IF(AND(T603=3,I602=""),Z600+Y602,IF(AND(Z600="",I600=""),I602+Y602,IF(AND(T603=3,I602&gt;0,Z600&gt;0),I602+Z600+Y602,IF(Z600="",I600+I602+X602+Y602,IF(I602="",Z600+X602+Y602,Z600+I602+X602+Y602))))))</f>
        <v/>
      </c>
      <c r="AA602" s="45" t="str">
        <f>IF(AB602="",""," 1/")</f>
        <v/>
      </c>
      <c r="AB602" s="91"/>
      <c r="AC602" s="30" t="str">
        <f>IF(S602="","",IF(T602="","",IF(T602=1,0.013,0.012)))</f>
        <v/>
      </c>
      <c r="AD602" s="31" t="str">
        <f>IF(S602="","",IF(T602="","",(1/AC602*(W602/100/2)^(8/3)*(1/AB602*100)^(1/2)*1.65696)*100))</f>
        <v/>
      </c>
      <c r="AE602" s="31" t="str">
        <f>IF(S602="","",IF(T602="","",1/AC602*(W602/100/2)^(2/3)*(1/AB602)^(1/2)*0.70541))</f>
        <v/>
      </c>
      <c r="AF602" s="31" t="str">
        <f>IF(S602="","",IF(T602="","",ROUNDDOWN(AD602/($U$3/8.64),3)))</f>
        <v/>
      </c>
      <c r="AG602" s="32" t="str">
        <f>IF(S602="","",IF(T602="","",ROUNDDOWN(AF602*10000/$AJ$3,0)))</f>
        <v/>
      </c>
      <c r="AH602" s="33" t="str">
        <f t="shared" si="2550"/>
        <v/>
      </c>
      <c r="AI602" s="41" t="str">
        <f>IF(S602="","",Z602)</f>
        <v/>
      </c>
      <c r="AJ602" s="43" t="str">
        <f>IF(S602="","",AI602*$AJ$3/10000)</f>
        <v/>
      </c>
      <c r="AK602" s="33" t="str">
        <f>IF(S602="","",IF(T602="","",IF(AND(T602=1,AE602&gt;1),"NG",IF(AH602="＞","OK","NG"))))</f>
        <v/>
      </c>
    </row>
    <row r="603" spans="1:37" ht="15.75" customHeight="1" x14ac:dyDescent="0.15">
      <c r="A603" s="92"/>
      <c r="B603" s="93"/>
      <c r="C603" s="59"/>
      <c r="D603" s="61"/>
      <c r="E603" s="94"/>
      <c r="F603" s="95"/>
      <c r="G603" s="95"/>
      <c r="H603" s="96"/>
      <c r="I603" s="54"/>
      <c r="J603" s="46"/>
      <c r="K603" s="97"/>
      <c r="L603" s="57"/>
      <c r="M603" s="44"/>
      <c r="N603" s="44"/>
      <c r="O603" s="42"/>
      <c r="P603" s="50"/>
      <c r="Q603" s="42"/>
      <c r="R603" s="52"/>
      <c r="S603" s="98"/>
      <c r="T603" s="99">
        <v>75</v>
      </c>
      <c r="U603" s="34" t="str">
        <f>IF(S602="","",IF(T602=T603,"〃",IF(T603=1,"素焼土管",IF(T603=2,"合成樹脂管",IF(T603=3,"無孔管","")))))</f>
        <v/>
      </c>
      <c r="V603" s="35"/>
      <c r="W603" s="100"/>
      <c r="X603" s="101"/>
      <c r="Y603" s="95"/>
      <c r="Z603" s="42"/>
      <c r="AA603" s="46"/>
      <c r="AB603" s="97"/>
      <c r="AC603" s="36" t="str">
        <f>IF(S602="","",IF(T603=1,0.013,0.012))</f>
        <v/>
      </c>
      <c r="AD603" s="37" t="str">
        <f>IF(S602="","",(1/AC603*(W603/100/2)^(8/3)*(1/AB602*100)^(1/2)*1.65696)*100)</f>
        <v/>
      </c>
      <c r="AE603" s="37" t="str">
        <f>IF(S602="","",1/AC603*(W603/100/2)^(2/3)*(1/AB602)^(1/2)*0.70541)</f>
        <v/>
      </c>
      <c r="AF603" s="37" t="str">
        <f>IF(S602="","",ROUNDDOWN(AD603/($U$3/8.64),3))</f>
        <v/>
      </c>
      <c r="AG603" s="38" t="str">
        <f>IF(S602="","",ROUNDDOWN(AF603*10000/$AJ$3,0))</f>
        <v/>
      </c>
      <c r="AH603" s="39" t="str">
        <f t="shared" ref="AH603" si="2558">IF(S602="","",IF(AG603&gt;AI602,"＞",IF(AG603=AI602,"=","＜")))</f>
        <v/>
      </c>
      <c r="AI603" s="42"/>
      <c r="AJ603" s="44"/>
      <c r="AK603" s="39" t="str">
        <f>IF(S602="","",IF(AND(T603=1,AE603&gt;1),"NG",IF(AH603="＞","OK","NG")))</f>
        <v/>
      </c>
    </row>
    <row r="604" spans="1:37" ht="15.75" customHeight="1" x14ac:dyDescent="0.15">
      <c r="A604" s="80"/>
      <c r="B604" s="81">
        <v>76</v>
      </c>
      <c r="C604" s="58" t="str">
        <f>IF(A604="","",IF(B604=1,"素　焼土　管",IF(B604=2,"合　成樹脂管",IF(B604=3,"無孔管",""))))</f>
        <v/>
      </c>
      <c r="D604" s="60"/>
      <c r="E604" s="82"/>
      <c r="F604" s="83"/>
      <c r="G604" s="83"/>
      <c r="H604" s="84"/>
      <c r="I604" s="53" t="str">
        <f>IF(A604="","",F604-G604+H604)</f>
        <v/>
      </c>
      <c r="J604" s="55" t="str">
        <f>IF(A604="",""," 1/")</f>
        <v/>
      </c>
      <c r="K604" s="85"/>
      <c r="L604" s="56" t="str">
        <f>IF(A604="","",IF(B604=1,0.013,0.012))</f>
        <v/>
      </c>
      <c r="M604" s="47" t="str">
        <f>IF(A604="","",(1/L604*(E604/100/2)^(8/3)*(1/K604*100)^(1/2)*1.65696)*100)</f>
        <v/>
      </c>
      <c r="N604" s="47" t="str">
        <f>IF(A604="","",1/L604*(E604/100/2)^(2/3)*(1/K604)^(1/2)*0.70541)</f>
        <v/>
      </c>
      <c r="O604" s="48" t="str">
        <f>IF(A604="","",ROUNDDOWN(M604/($U$3/8.64)*10000/$AJ$3,0))</f>
        <v/>
      </c>
      <c r="P604" s="49" t="str">
        <f>IF(A604="","",IF(O604&gt;Q604,"＞","＜"))</f>
        <v/>
      </c>
      <c r="Q604" s="48" t="str">
        <f>IF(A604="","",I604)</f>
        <v/>
      </c>
      <c r="R604" s="51" t="str">
        <f>IF(A604="","",IF(P604="＞","OK","NG"))</f>
        <v/>
      </c>
      <c r="S604" s="86"/>
      <c r="T604" s="87"/>
      <c r="U604" s="28" t="str">
        <f>IF(S604="","",IF(T604=1,"素焼土管",IF(T604=2,"合成樹脂管",IF(T604=3,"無孔管",""))))</f>
        <v/>
      </c>
      <c r="V604" s="29"/>
      <c r="W604" s="88"/>
      <c r="X604" s="89"/>
      <c r="Y604" s="90"/>
      <c r="Z604" s="41" t="str">
        <f>IF(S604="","",IF(AND(T605=3,I604=""),Z602+Y604,IF(AND(Z602="",I602=""),I604+Y604,IF(AND(T605=3,I604&gt;0,Z602&gt;0),I604+Z602+Y604,IF(Z602="",I602+I604+X604+Y604,IF(I604="",Z602+X604+Y604,Z602+I604+X604+Y604))))))</f>
        <v/>
      </c>
      <c r="AA604" s="45" t="str">
        <f>IF(AB604="",""," 1/")</f>
        <v/>
      </c>
      <c r="AB604" s="91"/>
      <c r="AC604" s="30" t="str">
        <f>IF(S604="","",IF(T604="","",IF(T604=1,0.013,0.012)))</f>
        <v/>
      </c>
      <c r="AD604" s="31" t="str">
        <f>IF(S604="","",IF(T604="","",(1/AC604*(W604/100/2)^(8/3)*(1/AB604*100)^(1/2)*1.65696)*100))</f>
        <v/>
      </c>
      <c r="AE604" s="31" t="str">
        <f>IF(S604="","",IF(T604="","",1/AC604*(W604/100/2)^(2/3)*(1/AB604)^(1/2)*0.70541))</f>
        <v/>
      </c>
      <c r="AF604" s="31" t="str">
        <f>IF(S604="","",IF(T604="","",ROUNDDOWN(AD604/($U$3/8.64),3)))</f>
        <v/>
      </c>
      <c r="AG604" s="32" t="str">
        <f>IF(S604="","",IF(T604="","",ROUNDDOWN(AF604*10000/$AJ$3,0)))</f>
        <v/>
      </c>
      <c r="AH604" s="33" t="str">
        <f t="shared" si="2550"/>
        <v/>
      </c>
      <c r="AI604" s="41" t="str">
        <f>IF(S604="","",Z604)</f>
        <v/>
      </c>
      <c r="AJ604" s="43" t="str">
        <f>IF(S604="","",AI604*$AJ$3/10000)</f>
        <v/>
      </c>
      <c r="AK604" s="33" t="str">
        <f>IF(S604="","",IF(T604="","",IF(AND(T604=1,AE604&gt;1),"NG",IF(AH604="＞","OK","NG"))))</f>
        <v/>
      </c>
    </row>
    <row r="605" spans="1:37" ht="15.75" customHeight="1" x14ac:dyDescent="0.15">
      <c r="A605" s="92"/>
      <c r="B605" s="93"/>
      <c r="C605" s="59"/>
      <c r="D605" s="61"/>
      <c r="E605" s="94"/>
      <c r="F605" s="95"/>
      <c r="G605" s="95"/>
      <c r="H605" s="96"/>
      <c r="I605" s="54"/>
      <c r="J605" s="46"/>
      <c r="K605" s="97"/>
      <c r="L605" s="57"/>
      <c r="M605" s="44"/>
      <c r="N605" s="44"/>
      <c r="O605" s="42"/>
      <c r="P605" s="50"/>
      <c r="Q605" s="42"/>
      <c r="R605" s="52"/>
      <c r="S605" s="98"/>
      <c r="T605" s="99">
        <v>76</v>
      </c>
      <c r="U605" s="34" t="str">
        <f>IF(S604="","",IF(T604=T605,"〃",IF(T605=1,"素焼土管",IF(T605=2,"合成樹脂管",IF(T605=3,"無孔管","")))))</f>
        <v/>
      </c>
      <c r="V605" s="35"/>
      <c r="W605" s="100"/>
      <c r="X605" s="101"/>
      <c r="Y605" s="95"/>
      <c r="Z605" s="42"/>
      <c r="AA605" s="46"/>
      <c r="AB605" s="97"/>
      <c r="AC605" s="36" t="str">
        <f>IF(S604="","",IF(T605=1,0.013,0.012))</f>
        <v/>
      </c>
      <c r="AD605" s="37" t="str">
        <f>IF(S604="","",(1/AC605*(W605/100/2)^(8/3)*(1/AB604*100)^(1/2)*1.65696)*100)</f>
        <v/>
      </c>
      <c r="AE605" s="37" t="str">
        <f>IF(S604="","",1/AC605*(W605/100/2)^(2/3)*(1/AB604)^(1/2)*0.70541)</f>
        <v/>
      </c>
      <c r="AF605" s="37" t="str">
        <f>IF(S604="","",ROUNDDOWN(AD605/($U$3/8.64),3))</f>
        <v/>
      </c>
      <c r="AG605" s="38" t="str">
        <f>IF(S604="","",ROUNDDOWN(AF605*10000/$AJ$3,0))</f>
        <v/>
      </c>
      <c r="AH605" s="39" t="str">
        <f t="shared" ref="AH605" si="2559">IF(S604="","",IF(AG605&gt;AI604,"＞",IF(AG605=AI604,"=","＜")))</f>
        <v/>
      </c>
      <c r="AI605" s="42"/>
      <c r="AJ605" s="44"/>
      <c r="AK605" s="39" t="str">
        <f>IF(S604="","",IF(AND(T605=1,AE605&gt;1),"NG",IF(AH605="＞","OK","NG")))</f>
        <v/>
      </c>
    </row>
    <row r="606" spans="1:37" ht="15.75" customHeight="1" x14ac:dyDescent="0.15">
      <c r="A606" s="80"/>
      <c r="B606" s="81">
        <v>77</v>
      </c>
      <c r="C606" s="58" t="str">
        <f>IF(A606="","",IF(B606=1,"素　焼土　管",IF(B606=2,"合　成樹脂管",IF(B606=3,"無孔管",""))))</f>
        <v/>
      </c>
      <c r="D606" s="60"/>
      <c r="E606" s="82"/>
      <c r="F606" s="83"/>
      <c r="G606" s="83"/>
      <c r="H606" s="84"/>
      <c r="I606" s="53" t="str">
        <f>IF(A606="","",F606-G606+H606)</f>
        <v/>
      </c>
      <c r="J606" s="55" t="str">
        <f>IF(A606="",""," 1/")</f>
        <v/>
      </c>
      <c r="K606" s="85"/>
      <c r="L606" s="56" t="str">
        <f>IF(A606="","",IF(B606=1,0.013,0.012))</f>
        <v/>
      </c>
      <c r="M606" s="47" t="str">
        <f>IF(A606="","",(1/L606*(E606/100/2)^(8/3)*(1/K606*100)^(1/2)*1.65696)*100)</f>
        <v/>
      </c>
      <c r="N606" s="47" t="str">
        <f>IF(A606="","",1/L606*(E606/100/2)^(2/3)*(1/K606)^(1/2)*0.70541)</f>
        <v/>
      </c>
      <c r="O606" s="48" t="str">
        <f>IF(A606="","",ROUNDDOWN(M606/($U$3/8.64)*10000/$AJ$3,0))</f>
        <v/>
      </c>
      <c r="P606" s="49" t="str">
        <f>IF(A606="","",IF(O606&gt;Q606,"＞","＜"))</f>
        <v/>
      </c>
      <c r="Q606" s="48" t="str">
        <f>IF(A606="","",I606)</f>
        <v/>
      </c>
      <c r="R606" s="51" t="str">
        <f>IF(A606="","",IF(P606="＞","OK","NG"))</f>
        <v/>
      </c>
      <c r="S606" s="86"/>
      <c r="T606" s="87"/>
      <c r="U606" s="28" t="str">
        <f>IF(S606="","",IF(T606=1,"素焼土管",IF(T606=2,"合成樹脂管",IF(T606=3,"無孔管",""))))</f>
        <v/>
      </c>
      <c r="V606" s="29"/>
      <c r="W606" s="88"/>
      <c r="X606" s="89"/>
      <c r="Y606" s="90"/>
      <c r="Z606" s="41" t="str">
        <f>IF(S606="","",IF(AND(T607=3,I606=""),Z604+Y606,IF(AND(Z604="",I604=""),I606+Y606,IF(AND(T607=3,I606&gt;0,Z604&gt;0),I606+Z604+Y606,IF(Z604="",I604+I606+X606+Y606,IF(I606="",Z604+X606+Y606,Z604+I606+X606+Y606))))))</f>
        <v/>
      </c>
      <c r="AA606" s="45" t="str">
        <f>IF(AB606="",""," 1/")</f>
        <v/>
      </c>
      <c r="AB606" s="91"/>
      <c r="AC606" s="30" t="str">
        <f>IF(S606="","",IF(T606="","",IF(T606=1,0.013,0.012)))</f>
        <v/>
      </c>
      <c r="AD606" s="31" t="str">
        <f>IF(S606="","",IF(T606="","",(1/AC606*(W606/100/2)^(8/3)*(1/AB606*100)^(1/2)*1.65696)*100))</f>
        <v/>
      </c>
      <c r="AE606" s="31" t="str">
        <f>IF(S606="","",IF(T606="","",1/AC606*(W606/100/2)^(2/3)*(1/AB606)^(1/2)*0.70541))</f>
        <v/>
      </c>
      <c r="AF606" s="31" t="str">
        <f>IF(S606="","",IF(T606="","",ROUNDDOWN(AD606/($U$3/8.64),3)))</f>
        <v/>
      </c>
      <c r="AG606" s="32" t="str">
        <f>IF(S606="","",IF(T606="","",ROUNDDOWN(AF606*10000/$AJ$3,0)))</f>
        <v/>
      </c>
      <c r="AH606" s="33" t="str">
        <f t="shared" si="2550"/>
        <v/>
      </c>
      <c r="AI606" s="41" t="str">
        <f>IF(S606="","",Z606)</f>
        <v/>
      </c>
      <c r="AJ606" s="43" t="str">
        <f>IF(S606="","",AI606*$AJ$3/10000)</f>
        <v/>
      </c>
      <c r="AK606" s="33" t="str">
        <f>IF(S606="","",IF(T606="","",IF(AND(T606=1,AE606&gt;1),"NG",IF(AH606="＞","OK","NG"))))</f>
        <v/>
      </c>
    </row>
    <row r="607" spans="1:37" ht="15.75" customHeight="1" x14ac:dyDescent="0.15">
      <c r="A607" s="92"/>
      <c r="B607" s="93"/>
      <c r="C607" s="59"/>
      <c r="D607" s="61"/>
      <c r="E607" s="94"/>
      <c r="F607" s="95"/>
      <c r="G607" s="95"/>
      <c r="H607" s="96"/>
      <c r="I607" s="54"/>
      <c r="J607" s="46"/>
      <c r="K607" s="97"/>
      <c r="L607" s="57"/>
      <c r="M607" s="44"/>
      <c r="N607" s="44"/>
      <c r="O607" s="42"/>
      <c r="P607" s="50"/>
      <c r="Q607" s="42"/>
      <c r="R607" s="52"/>
      <c r="S607" s="98"/>
      <c r="T607" s="99">
        <v>77</v>
      </c>
      <c r="U607" s="34" t="str">
        <f>IF(S606="","",IF(T606=T607,"〃",IF(T607=1,"素焼土管",IF(T607=2,"合成樹脂管",IF(T607=3,"無孔管","")))))</f>
        <v/>
      </c>
      <c r="V607" s="35"/>
      <c r="W607" s="100"/>
      <c r="X607" s="101"/>
      <c r="Y607" s="95"/>
      <c r="Z607" s="42"/>
      <c r="AA607" s="46"/>
      <c r="AB607" s="97"/>
      <c r="AC607" s="36" t="str">
        <f>IF(S606="","",IF(T607=1,0.013,0.012))</f>
        <v/>
      </c>
      <c r="AD607" s="37" t="str">
        <f>IF(S606="","",(1/AC607*(W607/100/2)^(8/3)*(1/AB606*100)^(1/2)*1.65696)*100)</f>
        <v/>
      </c>
      <c r="AE607" s="37" t="str">
        <f>IF(S606="","",1/AC607*(W607/100/2)^(2/3)*(1/AB606)^(1/2)*0.70541)</f>
        <v/>
      </c>
      <c r="AF607" s="37" t="str">
        <f>IF(S606="","",ROUNDDOWN(AD607/($U$3/8.64),3))</f>
        <v/>
      </c>
      <c r="AG607" s="38" t="str">
        <f>IF(S606="","",ROUNDDOWN(AF607*10000/$AJ$3,0))</f>
        <v/>
      </c>
      <c r="AH607" s="39" t="str">
        <f t="shared" ref="AH607" si="2560">IF(S606="","",IF(AG607&gt;AI606,"＞",IF(AG607=AI606,"=","＜")))</f>
        <v/>
      </c>
      <c r="AI607" s="42"/>
      <c r="AJ607" s="44"/>
      <c r="AK607" s="39" t="str">
        <f>IF(S606="","",IF(AND(T607=1,AE607&gt;1),"NG",IF(AH607="＞","OK","NG")))</f>
        <v/>
      </c>
    </row>
    <row r="608" spans="1:37" ht="15.75" customHeight="1" x14ac:dyDescent="0.15">
      <c r="A608" s="80"/>
      <c r="B608" s="81">
        <v>78</v>
      </c>
      <c r="C608" s="58" t="str">
        <f>IF(A608="","",IF(B608=1,"素　焼土　管",IF(B608=2,"合　成樹脂管",IF(B608=3,"無孔管",""))))</f>
        <v/>
      </c>
      <c r="D608" s="60"/>
      <c r="E608" s="82"/>
      <c r="F608" s="83"/>
      <c r="G608" s="83"/>
      <c r="H608" s="84"/>
      <c r="I608" s="53" t="str">
        <f>IF(A608="","",F608-G608+H608)</f>
        <v/>
      </c>
      <c r="J608" s="55" t="str">
        <f>IF(A608="",""," 1/")</f>
        <v/>
      </c>
      <c r="K608" s="85"/>
      <c r="L608" s="56" t="str">
        <f>IF(A608="","",IF(B608=1,0.013,0.012))</f>
        <v/>
      </c>
      <c r="M608" s="47" t="str">
        <f>IF(A608="","",(1/L608*(E608/100/2)^(8/3)*(1/K608*100)^(1/2)*1.65696)*100)</f>
        <v/>
      </c>
      <c r="N608" s="47" t="str">
        <f>IF(A608="","",1/L608*(E608/100/2)^(2/3)*(1/K608)^(1/2)*0.70541)</f>
        <v/>
      </c>
      <c r="O608" s="48" t="str">
        <f>IF(A608="","",ROUNDDOWN(M608/($U$3/8.64)*10000/$AJ$3,0))</f>
        <v/>
      </c>
      <c r="P608" s="49" t="str">
        <f>IF(A608="","",IF(O608&gt;Q608,"＞","＜"))</f>
        <v/>
      </c>
      <c r="Q608" s="48" t="str">
        <f>IF(A608="","",I608)</f>
        <v/>
      </c>
      <c r="R608" s="51" t="str">
        <f>IF(A608="","",IF(P608="＞","OK","NG"))</f>
        <v/>
      </c>
      <c r="S608" s="86"/>
      <c r="T608" s="87"/>
      <c r="U608" s="28" t="str">
        <f>IF(S608="","",IF(T608=1,"素焼土管",IF(T608=2,"合成樹脂管",IF(T608=3,"無孔管",""))))</f>
        <v/>
      </c>
      <c r="V608" s="29"/>
      <c r="W608" s="88"/>
      <c r="X608" s="89"/>
      <c r="Y608" s="90"/>
      <c r="Z608" s="41" t="str">
        <f>IF(S608="","",IF(AND(T609=3,I608=""),Z606+Y608,IF(AND(Z606="",I606=""),I608+Y608,IF(AND(T609=3,I608&gt;0,Z606&gt;0),I608+Z606+Y608,IF(Z606="",I606+I608+X608+Y608,IF(I608="",Z606+X608+Y608,Z606+I608+X608+Y608))))))</f>
        <v/>
      </c>
      <c r="AA608" s="45" t="str">
        <f>IF(AB608="",""," 1/")</f>
        <v/>
      </c>
      <c r="AB608" s="91"/>
      <c r="AC608" s="30" t="str">
        <f>IF(S608="","",IF(T608="","",IF(T608=1,0.013,0.012)))</f>
        <v/>
      </c>
      <c r="AD608" s="31" t="str">
        <f>IF(S608="","",IF(T608="","",(1/AC608*(W608/100/2)^(8/3)*(1/AB608*100)^(1/2)*1.65696)*100))</f>
        <v/>
      </c>
      <c r="AE608" s="31" t="str">
        <f>IF(S608="","",IF(T608="","",1/AC608*(W608/100/2)^(2/3)*(1/AB608)^(1/2)*0.70541))</f>
        <v/>
      </c>
      <c r="AF608" s="31" t="str">
        <f>IF(S608="","",IF(T608="","",ROUNDDOWN(AD608/($U$3/8.64),3)))</f>
        <v/>
      </c>
      <c r="AG608" s="32" t="str">
        <f>IF(S608="","",IF(T608="","",ROUNDDOWN(AF608*10000/$AJ$3,0)))</f>
        <v/>
      </c>
      <c r="AH608" s="33" t="str">
        <f t="shared" si="2550"/>
        <v/>
      </c>
      <c r="AI608" s="41" t="str">
        <f>IF(S608="","",Z608)</f>
        <v/>
      </c>
      <c r="AJ608" s="43" t="str">
        <f>IF(S608="","",AI608*$AJ$3/10000)</f>
        <v/>
      </c>
      <c r="AK608" s="33" t="str">
        <f>IF(S608="","",IF(T608="","",IF(AND(T608=1,AE608&gt;1),"NG",IF(AH608="＞","OK","NG"))))</f>
        <v/>
      </c>
    </row>
    <row r="609" spans="1:37" ht="15.75" customHeight="1" x14ac:dyDescent="0.15">
      <c r="A609" s="92"/>
      <c r="B609" s="93"/>
      <c r="C609" s="59"/>
      <c r="D609" s="61"/>
      <c r="E609" s="94"/>
      <c r="F609" s="95"/>
      <c r="G609" s="95"/>
      <c r="H609" s="96"/>
      <c r="I609" s="54"/>
      <c r="J609" s="46"/>
      <c r="K609" s="97"/>
      <c r="L609" s="57"/>
      <c r="M609" s="44"/>
      <c r="N609" s="44"/>
      <c r="O609" s="42"/>
      <c r="P609" s="50"/>
      <c r="Q609" s="42"/>
      <c r="R609" s="52"/>
      <c r="S609" s="98"/>
      <c r="T609" s="99">
        <v>78</v>
      </c>
      <c r="U609" s="34" t="str">
        <f>IF(S608="","",IF(T608=T609,"〃",IF(T609=1,"素焼土管",IF(T609=2,"合成樹脂管",IF(T609=3,"無孔管","")))))</f>
        <v/>
      </c>
      <c r="V609" s="35"/>
      <c r="W609" s="100"/>
      <c r="X609" s="101"/>
      <c r="Y609" s="95"/>
      <c r="Z609" s="42"/>
      <c r="AA609" s="46"/>
      <c r="AB609" s="97"/>
      <c r="AC609" s="36" t="str">
        <f>IF(S608="","",IF(T609=1,0.013,0.012))</f>
        <v/>
      </c>
      <c r="AD609" s="37" t="str">
        <f>IF(S608="","",(1/AC609*(W609/100/2)^(8/3)*(1/AB608*100)^(1/2)*1.65696)*100)</f>
        <v/>
      </c>
      <c r="AE609" s="37" t="str">
        <f>IF(S608="","",1/AC609*(W609/100/2)^(2/3)*(1/AB608)^(1/2)*0.70541)</f>
        <v/>
      </c>
      <c r="AF609" s="37" t="str">
        <f>IF(S608="","",ROUNDDOWN(AD609/($U$3/8.64),3))</f>
        <v/>
      </c>
      <c r="AG609" s="38" t="str">
        <f>IF(S608="","",ROUNDDOWN(AF609*10000/$AJ$3,0))</f>
        <v/>
      </c>
      <c r="AH609" s="39" t="str">
        <f t="shared" ref="AH609" si="2561">IF(S608="","",IF(AG609&gt;AI608,"＞",IF(AG609=AI608,"=","＜")))</f>
        <v/>
      </c>
      <c r="AI609" s="42"/>
      <c r="AJ609" s="44"/>
      <c r="AK609" s="39" t="str">
        <f>IF(S608="","",IF(AND(T609=1,AE609&gt;1),"NG",IF(AH609="＞","OK","NG")))</f>
        <v/>
      </c>
    </row>
  </sheetData>
  <mergeCells count="7846">
    <mergeCell ref="A3:D3"/>
    <mergeCell ref="E3:G3"/>
    <mergeCell ref="J3:L3"/>
    <mergeCell ref="M3:O3"/>
    <mergeCell ref="W3:X3"/>
    <mergeCell ref="AA3:AB3"/>
    <mergeCell ref="AA6:AB7"/>
    <mergeCell ref="AC6:AC7"/>
    <mergeCell ref="AK6:AK7"/>
    <mergeCell ref="AN7:AP7"/>
    <mergeCell ref="A8:A9"/>
    <mergeCell ref="B8:B9"/>
    <mergeCell ref="C8:C9"/>
    <mergeCell ref="D8:D9"/>
    <mergeCell ref="E8:E9"/>
    <mergeCell ref="F8:F9"/>
    <mergeCell ref="A5:R5"/>
    <mergeCell ref="S5:AK5"/>
    <mergeCell ref="A6:A7"/>
    <mergeCell ref="B6:D7"/>
    <mergeCell ref="F6:I6"/>
    <mergeCell ref="J6:K7"/>
    <mergeCell ref="L6:L7"/>
    <mergeCell ref="R6:R7"/>
    <mergeCell ref="T6:V7"/>
    <mergeCell ref="X6:Z6"/>
    <mergeCell ref="AI8:AI9"/>
    <mergeCell ref="AJ8:AJ9"/>
    <mergeCell ref="A10:A11"/>
    <mergeCell ref="B10:B11"/>
    <mergeCell ref="C10:C11"/>
    <mergeCell ref="D10:D11"/>
    <mergeCell ref="E10:E11"/>
    <mergeCell ref="F10:F11"/>
    <mergeCell ref="G10:G11"/>
    <mergeCell ref="H10:H11"/>
    <mergeCell ref="S8:S9"/>
    <mergeCell ref="X8:X9"/>
    <mergeCell ref="Y8:Y9"/>
    <mergeCell ref="Z8:Z9"/>
    <mergeCell ref="AA8:AA9"/>
    <mergeCell ref="AB8:AB9"/>
    <mergeCell ref="M8:M9"/>
    <mergeCell ref="N8:N9"/>
    <mergeCell ref="O8:O9"/>
    <mergeCell ref="P8:P9"/>
    <mergeCell ref="Q8:Q9"/>
    <mergeCell ref="R8:R9"/>
    <mergeCell ref="G8:G9"/>
    <mergeCell ref="H8:H9"/>
    <mergeCell ref="I8:I9"/>
    <mergeCell ref="J8:J9"/>
    <mergeCell ref="K8:K9"/>
    <mergeCell ref="L8:L9"/>
    <mergeCell ref="E12:E13"/>
    <mergeCell ref="F12:F13"/>
    <mergeCell ref="Y10:Y11"/>
    <mergeCell ref="Z10:Z11"/>
    <mergeCell ref="AA10:AA11"/>
    <mergeCell ref="AB10:AB11"/>
    <mergeCell ref="AI10:AI11"/>
    <mergeCell ref="AJ10:AJ11"/>
    <mergeCell ref="O10:O11"/>
    <mergeCell ref="P10:P11"/>
    <mergeCell ref="Q10:Q11"/>
    <mergeCell ref="R10:R11"/>
    <mergeCell ref="S10:S11"/>
    <mergeCell ref="X10:X11"/>
    <mergeCell ref="I10:I11"/>
    <mergeCell ref="J10:J11"/>
    <mergeCell ref="K10:K11"/>
    <mergeCell ref="L10:L11"/>
    <mergeCell ref="M10:M11"/>
    <mergeCell ref="N10:N11"/>
    <mergeCell ref="AI12:AI13"/>
    <mergeCell ref="AJ12:AJ13"/>
    <mergeCell ref="A14:A15"/>
    <mergeCell ref="B14:B15"/>
    <mergeCell ref="C14:C15"/>
    <mergeCell ref="D14:D15"/>
    <mergeCell ref="E14:E15"/>
    <mergeCell ref="F14:F15"/>
    <mergeCell ref="G14:G15"/>
    <mergeCell ref="H14:H15"/>
    <mergeCell ref="S12:S13"/>
    <mergeCell ref="X12:X13"/>
    <mergeCell ref="Y12:Y13"/>
    <mergeCell ref="Z12:Z13"/>
    <mergeCell ref="AA12:AA13"/>
    <mergeCell ref="AB12:AB13"/>
    <mergeCell ref="M12:M13"/>
    <mergeCell ref="N12:N13"/>
    <mergeCell ref="O12:O13"/>
    <mergeCell ref="P12:P13"/>
    <mergeCell ref="Q12:Q13"/>
    <mergeCell ref="R12:R13"/>
    <mergeCell ref="G12:G13"/>
    <mergeCell ref="H12:H13"/>
    <mergeCell ref="I12:I13"/>
    <mergeCell ref="J12:J13"/>
    <mergeCell ref="K12:K13"/>
    <mergeCell ref="L12:L13"/>
    <mergeCell ref="A12:A13"/>
    <mergeCell ref="B12:B13"/>
    <mergeCell ref="C12:C13"/>
    <mergeCell ref="D12:D13"/>
    <mergeCell ref="E16:E17"/>
    <mergeCell ref="F16:F17"/>
    <mergeCell ref="Y14:Y15"/>
    <mergeCell ref="Z14:Z15"/>
    <mergeCell ref="AA14:AA15"/>
    <mergeCell ref="AB14:AB15"/>
    <mergeCell ref="AI14:AI15"/>
    <mergeCell ref="AJ14:AJ15"/>
    <mergeCell ref="O14:O15"/>
    <mergeCell ref="P14:P15"/>
    <mergeCell ref="Q14:Q15"/>
    <mergeCell ref="R14:R15"/>
    <mergeCell ref="S14:S15"/>
    <mergeCell ref="X14:X15"/>
    <mergeCell ref="I14:I15"/>
    <mergeCell ref="J14:J15"/>
    <mergeCell ref="K14:K15"/>
    <mergeCell ref="L14:L15"/>
    <mergeCell ref="M14:M15"/>
    <mergeCell ref="N14:N15"/>
    <mergeCell ref="AI16:AI17"/>
    <mergeCell ref="AJ16:AJ17"/>
    <mergeCell ref="A18:A19"/>
    <mergeCell ref="B18:B19"/>
    <mergeCell ref="C18:C19"/>
    <mergeCell ref="D18:D19"/>
    <mergeCell ref="E18:E19"/>
    <mergeCell ref="F18:F19"/>
    <mergeCell ref="G18:G19"/>
    <mergeCell ref="H18:H19"/>
    <mergeCell ref="S16:S17"/>
    <mergeCell ref="X16:X17"/>
    <mergeCell ref="Y16:Y17"/>
    <mergeCell ref="Z16:Z17"/>
    <mergeCell ref="AA16:AA17"/>
    <mergeCell ref="AB16:AB17"/>
    <mergeCell ref="M16:M17"/>
    <mergeCell ref="N16:N17"/>
    <mergeCell ref="O16:O17"/>
    <mergeCell ref="P16:P17"/>
    <mergeCell ref="Q16:Q17"/>
    <mergeCell ref="R16:R17"/>
    <mergeCell ref="G16:G17"/>
    <mergeCell ref="H16:H17"/>
    <mergeCell ref="I16:I17"/>
    <mergeCell ref="J16:J17"/>
    <mergeCell ref="K16:K17"/>
    <mergeCell ref="L16:L17"/>
    <mergeCell ref="A16:A17"/>
    <mergeCell ref="B16:B17"/>
    <mergeCell ref="C16:C17"/>
    <mergeCell ref="D16:D17"/>
    <mergeCell ref="E20:E21"/>
    <mergeCell ref="F20:F21"/>
    <mergeCell ref="Y18:Y19"/>
    <mergeCell ref="Z18:Z19"/>
    <mergeCell ref="AA18:AA19"/>
    <mergeCell ref="AB18:AB19"/>
    <mergeCell ref="AI18:AI19"/>
    <mergeCell ref="AJ18:AJ19"/>
    <mergeCell ref="O18:O19"/>
    <mergeCell ref="P18:P19"/>
    <mergeCell ref="Q18:Q19"/>
    <mergeCell ref="R18:R19"/>
    <mergeCell ref="S18:S19"/>
    <mergeCell ref="X18:X19"/>
    <mergeCell ref="I18:I19"/>
    <mergeCell ref="J18:J19"/>
    <mergeCell ref="K18:K19"/>
    <mergeCell ref="L18:L19"/>
    <mergeCell ref="M18:M19"/>
    <mergeCell ref="N18:N19"/>
    <mergeCell ref="AI20:AI21"/>
    <mergeCell ref="AJ20:AJ21"/>
    <mergeCell ref="A22:A23"/>
    <mergeCell ref="B22:B23"/>
    <mergeCell ref="C22:C23"/>
    <mergeCell ref="D22:D23"/>
    <mergeCell ref="E22:E23"/>
    <mergeCell ref="F22:F23"/>
    <mergeCell ref="G22:G23"/>
    <mergeCell ref="H22:H23"/>
    <mergeCell ref="S20:S21"/>
    <mergeCell ref="X20:X21"/>
    <mergeCell ref="Y20:Y21"/>
    <mergeCell ref="Z20:Z21"/>
    <mergeCell ref="AA20:AA21"/>
    <mergeCell ref="AB20:AB21"/>
    <mergeCell ref="M20:M21"/>
    <mergeCell ref="N20:N21"/>
    <mergeCell ref="O20:O21"/>
    <mergeCell ref="P20:P21"/>
    <mergeCell ref="Q20:Q21"/>
    <mergeCell ref="R20:R21"/>
    <mergeCell ref="G20:G21"/>
    <mergeCell ref="H20:H21"/>
    <mergeCell ref="I20:I21"/>
    <mergeCell ref="J20:J21"/>
    <mergeCell ref="K20:K21"/>
    <mergeCell ref="L20:L21"/>
    <mergeCell ref="A20:A21"/>
    <mergeCell ref="B20:B21"/>
    <mergeCell ref="C20:C21"/>
    <mergeCell ref="D20:D21"/>
    <mergeCell ref="E24:E25"/>
    <mergeCell ref="F24:F25"/>
    <mergeCell ref="Y22:Y23"/>
    <mergeCell ref="Z22:Z23"/>
    <mergeCell ref="AA22:AA23"/>
    <mergeCell ref="AB22:AB23"/>
    <mergeCell ref="AI22:AI23"/>
    <mergeCell ref="AJ22:AJ23"/>
    <mergeCell ref="O22:O23"/>
    <mergeCell ref="P22:P23"/>
    <mergeCell ref="Q22:Q23"/>
    <mergeCell ref="R22:R23"/>
    <mergeCell ref="S22:S23"/>
    <mergeCell ref="X22:X23"/>
    <mergeCell ref="I22:I23"/>
    <mergeCell ref="J22:J23"/>
    <mergeCell ref="K22:K23"/>
    <mergeCell ref="L22:L23"/>
    <mergeCell ref="M22:M23"/>
    <mergeCell ref="N22:N23"/>
    <mergeCell ref="AI24:AI25"/>
    <mergeCell ref="AJ24:AJ25"/>
    <mergeCell ref="A26:A27"/>
    <mergeCell ref="B26:B27"/>
    <mergeCell ref="C26:C27"/>
    <mergeCell ref="D26:D27"/>
    <mergeCell ref="E26:E27"/>
    <mergeCell ref="F26:F27"/>
    <mergeCell ref="G26:G27"/>
    <mergeCell ref="H26:H27"/>
    <mergeCell ref="S24:S25"/>
    <mergeCell ref="X24:X25"/>
    <mergeCell ref="Y24:Y25"/>
    <mergeCell ref="Z24:Z25"/>
    <mergeCell ref="AA24:AA25"/>
    <mergeCell ref="AB24:AB25"/>
    <mergeCell ref="M24:M25"/>
    <mergeCell ref="N24:N25"/>
    <mergeCell ref="O24:O25"/>
    <mergeCell ref="P24:P25"/>
    <mergeCell ref="Q24:Q25"/>
    <mergeCell ref="R24:R25"/>
    <mergeCell ref="G24:G25"/>
    <mergeCell ref="H24:H25"/>
    <mergeCell ref="I24:I25"/>
    <mergeCell ref="J24:J25"/>
    <mergeCell ref="K24:K25"/>
    <mergeCell ref="L24:L25"/>
    <mergeCell ref="A24:A25"/>
    <mergeCell ref="B24:B25"/>
    <mergeCell ref="C24:C25"/>
    <mergeCell ref="D24:D25"/>
    <mergeCell ref="E28:E29"/>
    <mergeCell ref="F28:F29"/>
    <mergeCell ref="Y26:Y27"/>
    <mergeCell ref="Z26:Z27"/>
    <mergeCell ref="AA26:AA27"/>
    <mergeCell ref="AB26:AB27"/>
    <mergeCell ref="AI26:AI27"/>
    <mergeCell ref="AJ26:AJ27"/>
    <mergeCell ref="O26:O27"/>
    <mergeCell ref="P26:P27"/>
    <mergeCell ref="Q26:Q27"/>
    <mergeCell ref="R26:R27"/>
    <mergeCell ref="S26:S27"/>
    <mergeCell ref="X26:X27"/>
    <mergeCell ref="I26:I27"/>
    <mergeCell ref="J26:J27"/>
    <mergeCell ref="K26:K27"/>
    <mergeCell ref="L26:L27"/>
    <mergeCell ref="M26:M27"/>
    <mergeCell ref="N26:N27"/>
    <mergeCell ref="AI28:AI29"/>
    <mergeCell ref="AJ28:AJ29"/>
    <mergeCell ref="A30:A31"/>
    <mergeCell ref="B30:B31"/>
    <mergeCell ref="C30:C31"/>
    <mergeCell ref="D30:D31"/>
    <mergeCell ref="E30:E31"/>
    <mergeCell ref="F30:F31"/>
    <mergeCell ref="G30:G31"/>
    <mergeCell ref="H30:H31"/>
    <mergeCell ref="S28:S29"/>
    <mergeCell ref="X28:X29"/>
    <mergeCell ref="Y28:Y29"/>
    <mergeCell ref="Z28:Z29"/>
    <mergeCell ref="AA28:AA29"/>
    <mergeCell ref="AB28:AB29"/>
    <mergeCell ref="M28:M29"/>
    <mergeCell ref="N28:N29"/>
    <mergeCell ref="O28:O29"/>
    <mergeCell ref="P28:P29"/>
    <mergeCell ref="Q28:Q29"/>
    <mergeCell ref="R28:R29"/>
    <mergeCell ref="G28:G29"/>
    <mergeCell ref="H28:H29"/>
    <mergeCell ref="I28:I29"/>
    <mergeCell ref="J28:J29"/>
    <mergeCell ref="K28:K29"/>
    <mergeCell ref="L28:L29"/>
    <mergeCell ref="A28:A29"/>
    <mergeCell ref="B28:B29"/>
    <mergeCell ref="C28:C29"/>
    <mergeCell ref="D28:D29"/>
    <mergeCell ref="E32:E33"/>
    <mergeCell ref="F32:F33"/>
    <mergeCell ref="Y30:Y31"/>
    <mergeCell ref="Z30:Z31"/>
    <mergeCell ref="AA30:AA31"/>
    <mergeCell ref="AB30:AB31"/>
    <mergeCell ref="AI30:AI31"/>
    <mergeCell ref="AJ30:AJ31"/>
    <mergeCell ref="O30:O31"/>
    <mergeCell ref="P30:P31"/>
    <mergeCell ref="Q30:Q31"/>
    <mergeCell ref="R30:R31"/>
    <mergeCell ref="S30:S31"/>
    <mergeCell ref="X30:X31"/>
    <mergeCell ref="I30:I31"/>
    <mergeCell ref="J30:J31"/>
    <mergeCell ref="K30:K31"/>
    <mergeCell ref="L30:L31"/>
    <mergeCell ref="M30:M31"/>
    <mergeCell ref="N30:N31"/>
    <mergeCell ref="AI32:AI33"/>
    <mergeCell ref="AJ32:AJ33"/>
    <mergeCell ref="A34:A35"/>
    <mergeCell ref="B34:B35"/>
    <mergeCell ref="C34:C35"/>
    <mergeCell ref="D34:D35"/>
    <mergeCell ref="E34:E35"/>
    <mergeCell ref="F34:F35"/>
    <mergeCell ref="G34:G35"/>
    <mergeCell ref="H34:H35"/>
    <mergeCell ref="S32:S33"/>
    <mergeCell ref="X32:X33"/>
    <mergeCell ref="Y32:Y33"/>
    <mergeCell ref="Z32:Z33"/>
    <mergeCell ref="AA32:AA33"/>
    <mergeCell ref="AB32:AB33"/>
    <mergeCell ref="M32:M33"/>
    <mergeCell ref="N32:N33"/>
    <mergeCell ref="O32:O33"/>
    <mergeCell ref="P32:P33"/>
    <mergeCell ref="Q32:Q33"/>
    <mergeCell ref="R32:R33"/>
    <mergeCell ref="G32:G33"/>
    <mergeCell ref="H32:H33"/>
    <mergeCell ref="I32:I33"/>
    <mergeCell ref="J32:J33"/>
    <mergeCell ref="K32:K33"/>
    <mergeCell ref="L32:L33"/>
    <mergeCell ref="A32:A33"/>
    <mergeCell ref="B32:B33"/>
    <mergeCell ref="C32:C33"/>
    <mergeCell ref="D32:D33"/>
    <mergeCell ref="E36:E37"/>
    <mergeCell ref="F36:F37"/>
    <mergeCell ref="Y34:Y35"/>
    <mergeCell ref="Z34:Z35"/>
    <mergeCell ref="AA34:AA35"/>
    <mergeCell ref="AB34:AB35"/>
    <mergeCell ref="AI34:AI35"/>
    <mergeCell ref="AJ34:AJ35"/>
    <mergeCell ref="O34:O35"/>
    <mergeCell ref="P34:P35"/>
    <mergeCell ref="Q34:Q35"/>
    <mergeCell ref="R34:R35"/>
    <mergeCell ref="S34:S35"/>
    <mergeCell ref="X34:X35"/>
    <mergeCell ref="I34:I35"/>
    <mergeCell ref="J34:J35"/>
    <mergeCell ref="K34:K35"/>
    <mergeCell ref="L34:L35"/>
    <mergeCell ref="M34:M35"/>
    <mergeCell ref="N34:N35"/>
    <mergeCell ref="AI36:AI37"/>
    <mergeCell ref="AJ36:AJ37"/>
    <mergeCell ref="A38:A39"/>
    <mergeCell ref="B38:B39"/>
    <mergeCell ref="C38:C39"/>
    <mergeCell ref="D38:D39"/>
    <mergeCell ref="E38:E39"/>
    <mergeCell ref="F38:F39"/>
    <mergeCell ref="G38:G39"/>
    <mergeCell ref="H38:H39"/>
    <mergeCell ref="S36:S37"/>
    <mergeCell ref="X36:X37"/>
    <mergeCell ref="Y36:Y37"/>
    <mergeCell ref="Z36:Z37"/>
    <mergeCell ref="AA36:AA37"/>
    <mergeCell ref="AB36:AB37"/>
    <mergeCell ref="M36:M37"/>
    <mergeCell ref="N36:N37"/>
    <mergeCell ref="O36:O37"/>
    <mergeCell ref="P36:P37"/>
    <mergeCell ref="Q36:Q37"/>
    <mergeCell ref="R36:R37"/>
    <mergeCell ref="G36:G37"/>
    <mergeCell ref="H36:H37"/>
    <mergeCell ref="I36:I37"/>
    <mergeCell ref="J36:J37"/>
    <mergeCell ref="K36:K37"/>
    <mergeCell ref="L36:L37"/>
    <mergeCell ref="A36:A37"/>
    <mergeCell ref="B36:B37"/>
    <mergeCell ref="C36:C37"/>
    <mergeCell ref="D36:D37"/>
    <mergeCell ref="E40:E41"/>
    <mergeCell ref="F40:F41"/>
    <mergeCell ref="Y38:Y39"/>
    <mergeCell ref="Z38:Z39"/>
    <mergeCell ref="AA38:AA39"/>
    <mergeCell ref="AB38:AB39"/>
    <mergeCell ref="AI38:AI39"/>
    <mergeCell ref="AJ38:AJ39"/>
    <mergeCell ref="O38:O39"/>
    <mergeCell ref="P38:P39"/>
    <mergeCell ref="Q38:Q39"/>
    <mergeCell ref="R38:R39"/>
    <mergeCell ref="S38:S39"/>
    <mergeCell ref="X38:X39"/>
    <mergeCell ref="I38:I39"/>
    <mergeCell ref="J38:J39"/>
    <mergeCell ref="K38:K39"/>
    <mergeCell ref="L38:L39"/>
    <mergeCell ref="M38:M39"/>
    <mergeCell ref="N38:N39"/>
    <mergeCell ref="AI40:AI41"/>
    <mergeCell ref="AJ40:AJ41"/>
    <mergeCell ref="A42:A43"/>
    <mergeCell ref="B42:B43"/>
    <mergeCell ref="C42:C43"/>
    <mergeCell ref="D42:D43"/>
    <mergeCell ref="E42:E43"/>
    <mergeCell ref="F42:F43"/>
    <mergeCell ref="G42:G43"/>
    <mergeCell ref="H42:H43"/>
    <mergeCell ref="S40:S41"/>
    <mergeCell ref="X40:X41"/>
    <mergeCell ref="Y40:Y41"/>
    <mergeCell ref="Z40:Z41"/>
    <mergeCell ref="AA40:AA41"/>
    <mergeCell ref="AB40:AB41"/>
    <mergeCell ref="M40:M41"/>
    <mergeCell ref="N40:N41"/>
    <mergeCell ref="O40:O41"/>
    <mergeCell ref="P40:P41"/>
    <mergeCell ref="Q40:Q41"/>
    <mergeCell ref="R40:R41"/>
    <mergeCell ref="G40:G41"/>
    <mergeCell ref="H40:H41"/>
    <mergeCell ref="I40:I41"/>
    <mergeCell ref="J40:J41"/>
    <mergeCell ref="K40:K41"/>
    <mergeCell ref="L40:L41"/>
    <mergeCell ref="A40:A41"/>
    <mergeCell ref="B40:B41"/>
    <mergeCell ref="C40:C41"/>
    <mergeCell ref="D40:D41"/>
    <mergeCell ref="E44:E45"/>
    <mergeCell ref="F44:F45"/>
    <mergeCell ref="Y42:Y43"/>
    <mergeCell ref="Z42:Z43"/>
    <mergeCell ref="AA42:AA43"/>
    <mergeCell ref="AB42:AB43"/>
    <mergeCell ref="AI42:AI43"/>
    <mergeCell ref="AJ42:AJ43"/>
    <mergeCell ref="O42:O43"/>
    <mergeCell ref="P42:P43"/>
    <mergeCell ref="Q42:Q43"/>
    <mergeCell ref="R42:R43"/>
    <mergeCell ref="S42:S43"/>
    <mergeCell ref="X42:X43"/>
    <mergeCell ref="I42:I43"/>
    <mergeCell ref="J42:J43"/>
    <mergeCell ref="K42:K43"/>
    <mergeCell ref="L42:L43"/>
    <mergeCell ref="M42:M43"/>
    <mergeCell ref="N42:N43"/>
    <mergeCell ref="AI44:AI45"/>
    <mergeCell ref="AJ44:AJ45"/>
    <mergeCell ref="A46:A47"/>
    <mergeCell ref="B46:B47"/>
    <mergeCell ref="C46:C47"/>
    <mergeCell ref="D46:D47"/>
    <mergeCell ref="E46:E47"/>
    <mergeCell ref="F46:F47"/>
    <mergeCell ref="G46:G47"/>
    <mergeCell ref="H46:H47"/>
    <mergeCell ref="S44:S45"/>
    <mergeCell ref="X44:X45"/>
    <mergeCell ref="Y44:Y45"/>
    <mergeCell ref="Z44:Z45"/>
    <mergeCell ref="AA44:AA45"/>
    <mergeCell ref="AB44:AB45"/>
    <mergeCell ref="M44:M45"/>
    <mergeCell ref="N44:N45"/>
    <mergeCell ref="O44:O45"/>
    <mergeCell ref="P44:P45"/>
    <mergeCell ref="Q44:Q45"/>
    <mergeCell ref="R44:R45"/>
    <mergeCell ref="G44:G45"/>
    <mergeCell ref="H44:H45"/>
    <mergeCell ref="I44:I45"/>
    <mergeCell ref="J44:J45"/>
    <mergeCell ref="K44:K45"/>
    <mergeCell ref="L44:L45"/>
    <mergeCell ref="A44:A45"/>
    <mergeCell ref="B44:B45"/>
    <mergeCell ref="C44:C45"/>
    <mergeCell ref="D44:D45"/>
    <mergeCell ref="E48:E49"/>
    <mergeCell ref="F48:F49"/>
    <mergeCell ref="Y46:Y47"/>
    <mergeCell ref="Z46:Z47"/>
    <mergeCell ref="AA46:AA47"/>
    <mergeCell ref="AB46:AB47"/>
    <mergeCell ref="AI46:AI47"/>
    <mergeCell ref="AJ46:AJ47"/>
    <mergeCell ref="O46:O47"/>
    <mergeCell ref="P46:P47"/>
    <mergeCell ref="Q46:Q47"/>
    <mergeCell ref="R46:R47"/>
    <mergeCell ref="S46:S47"/>
    <mergeCell ref="X46:X47"/>
    <mergeCell ref="I46:I47"/>
    <mergeCell ref="J46:J47"/>
    <mergeCell ref="K46:K47"/>
    <mergeCell ref="L46:L47"/>
    <mergeCell ref="M46:M47"/>
    <mergeCell ref="N46:N47"/>
    <mergeCell ref="AI48:AI49"/>
    <mergeCell ref="AJ48:AJ49"/>
    <mergeCell ref="A50:A51"/>
    <mergeCell ref="B50:B51"/>
    <mergeCell ref="C50:C51"/>
    <mergeCell ref="D50:D51"/>
    <mergeCell ref="E50:E51"/>
    <mergeCell ref="F50:F51"/>
    <mergeCell ref="G50:G51"/>
    <mergeCell ref="H50:H51"/>
    <mergeCell ref="S48:S49"/>
    <mergeCell ref="X48:X49"/>
    <mergeCell ref="Y48:Y49"/>
    <mergeCell ref="Z48:Z49"/>
    <mergeCell ref="AA48:AA49"/>
    <mergeCell ref="AB48:AB49"/>
    <mergeCell ref="M48:M49"/>
    <mergeCell ref="N48:N49"/>
    <mergeCell ref="O48:O49"/>
    <mergeCell ref="P48:P49"/>
    <mergeCell ref="Q48:Q49"/>
    <mergeCell ref="R48:R49"/>
    <mergeCell ref="G48:G49"/>
    <mergeCell ref="H48:H49"/>
    <mergeCell ref="I48:I49"/>
    <mergeCell ref="J48:J49"/>
    <mergeCell ref="K48:K49"/>
    <mergeCell ref="L48:L49"/>
    <mergeCell ref="A48:A49"/>
    <mergeCell ref="B48:B49"/>
    <mergeCell ref="C48:C49"/>
    <mergeCell ref="D48:D49"/>
    <mergeCell ref="E52:E53"/>
    <mergeCell ref="F52:F53"/>
    <mergeCell ref="Y50:Y51"/>
    <mergeCell ref="Z50:Z51"/>
    <mergeCell ref="AA50:AA51"/>
    <mergeCell ref="AB50:AB51"/>
    <mergeCell ref="AI50:AI51"/>
    <mergeCell ref="AJ50:AJ51"/>
    <mergeCell ref="O50:O51"/>
    <mergeCell ref="P50:P51"/>
    <mergeCell ref="Q50:Q51"/>
    <mergeCell ref="R50:R51"/>
    <mergeCell ref="S50:S51"/>
    <mergeCell ref="X50:X51"/>
    <mergeCell ref="I50:I51"/>
    <mergeCell ref="J50:J51"/>
    <mergeCell ref="K50:K51"/>
    <mergeCell ref="L50:L51"/>
    <mergeCell ref="M50:M51"/>
    <mergeCell ref="N50:N51"/>
    <mergeCell ref="AI52:AI53"/>
    <mergeCell ref="AJ52:AJ53"/>
    <mergeCell ref="A54:A55"/>
    <mergeCell ref="B54:B55"/>
    <mergeCell ref="C54:C55"/>
    <mergeCell ref="D54:D55"/>
    <mergeCell ref="E54:E55"/>
    <mergeCell ref="F54:F55"/>
    <mergeCell ref="G54:G55"/>
    <mergeCell ref="H54:H55"/>
    <mergeCell ref="S52:S53"/>
    <mergeCell ref="X52:X53"/>
    <mergeCell ref="Y52:Y53"/>
    <mergeCell ref="Z52:Z53"/>
    <mergeCell ref="AA52:AA53"/>
    <mergeCell ref="AB52:AB53"/>
    <mergeCell ref="M52:M53"/>
    <mergeCell ref="N52:N53"/>
    <mergeCell ref="O52:O53"/>
    <mergeCell ref="P52:P53"/>
    <mergeCell ref="Q52:Q53"/>
    <mergeCell ref="R52:R53"/>
    <mergeCell ref="G52:G53"/>
    <mergeCell ref="H52:H53"/>
    <mergeCell ref="I52:I53"/>
    <mergeCell ref="J52:J53"/>
    <mergeCell ref="K52:K53"/>
    <mergeCell ref="L52:L53"/>
    <mergeCell ref="A52:A53"/>
    <mergeCell ref="B52:B53"/>
    <mergeCell ref="C52:C53"/>
    <mergeCell ref="D52:D53"/>
    <mergeCell ref="E56:E57"/>
    <mergeCell ref="F56:F57"/>
    <mergeCell ref="Y54:Y55"/>
    <mergeCell ref="Z54:Z55"/>
    <mergeCell ref="AA54:AA55"/>
    <mergeCell ref="AB54:AB55"/>
    <mergeCell ref="AI54:AI55"/>
    <mergeCell ref="AJ54:AJ55"/>
    <mergeCell ref="O54:O55"/>
    <mergeCell ref="P54:P55"/>
    <mergeCell ref="Q54:Q55"/>
    <mergeCell ref="R54:R55"/>
    <mergeCell ref="S54:S55"/>
    <mergeCell ref="X54:X55"/>
    <mergeCell ref="I54:I55"/>
    <mergeCell ref="J54:J55"/>
    <mergeCell ref="K54:K55"/>
    <mergeCell ref="L54:L55"/>
    <mergeCell ref="M54:M55"/>
    <mergeCell ref="N54:N55"/>
    <mergeCell ref="AI56:AI57"/>
    <mergeCell ref="AJ56:AJ57"/>
    <mergeCell ref="A58:A59"/>
    <mergeCell ref="B58:B59"/>
    <mergeCell ref="C58:C59"/>
    <mergeCell ref="D58:D59"/>
    <mergeCell ref="E58:E59"/>
    <mergeCell ref="F58:F59"/>
    <mergeCell ref="G58:G59"/>
    <mergeCell ref="H58:H59"/>
    <mergeCell ref="S56:S57"/>
    <mergeCell ref="X56:X57"/>
    <mergeCell ref="Y56:Y57"/>
    <mergeCell ref="Z56:Z57"/>
    <mergeCell ref="AA56:AA57"/>
    <mergeCell ref="AB56:AB57"/>
    <mergeCell ref="M56:M57"/>
    <mergeCell ref="N56:N57"/>
    <mergeCell ref="O56:O57"/>
    <mergeCell ref="P56:P57"/>
    <mergeCell ref="Q56:Q57"/>
    <mergeCell ref="R56:R57"/>
    <mergeCell ref="G56:G57"/>
    <mergeCell ref="H56:H57"/>
    <mergeCell ref="I56:I57"/>
    <mergeCell ref="J56:J57"/>
    <mergeCell ref="K56:K57"/>
    <mergeCell ref="L56:L57"/>
    <mergeCell ref="A56:A57"/>
    <mergeCell ref="B56:B57"/>
    <mergeCell ref="C56:C57"/>
    <mergeCell ref="D56:D57"/>
    <mergeCell ref="E60:E61"/>
    <mergeCell ref="F60:F61"/>
    <mergeCell ref="Y58:Y59"/>
    <mergeCell ref="Z58:Z59"/>
    <mergeCell ref="AA58:AA59"/>
    <mergeCell ref="AB58:AB59"/>
    <mergeCell ref="AI58:AI59"/>
    <mergeCell ref="AJ58:AJ59"/>
    <mergeCell ref="O58:O59"/>
    <mergeCell ref="P58:P59"/>
    <mergeCell ref="Q58:Q59"/>
    <mergeCell ref="R58:R59"/>
    <mergeCell ref="S58:S59"/>
    <mergeCell ref="X58:X59"/>
    <mergeCell ref="I58:I59"/>
    <mergeCell ref="J58:J59"/>
    <mergeCell ref="K58:K59"/>
    <mergeCell ref="L58:L59"/>
    <mergeCell ref="M58:M59"/>
    <mergeCell ref="N58:N59"/>
    <mergeCell ref="AI60:AI61"/>
    <mergeCell ref="AJ60:AJ61"/>
    <mergeCell ref="A62:A63"/>
    <mergeCell ref="B62:B63"/>
    <mergeCell ref="C62:C63"/>
    <mergeCell ref="D62:D63"/>
    <mergeCell ref="E62:E63"/>
    <mergeCell ref="F62:F63"/>
    <mergeCell ref="G62:G63"/>
    <mergeCell ref="H62:H63"/>
    <mergeCell ref="S60:S61"/>
    <mergeCell ref="X60:X61"/>
    <mergeCell ref="Y60:Y61"/>
    <mergeCell ref="Z60:Z61"/>
    <mergeCell ref="AA60:AA61"/>
    <mergeCell ref="AB60:AB61"/>
    <mergeCell ref="M60:M61"/>
    <mergeCell ref="N60:N61"/>
    <mergeCell ref="O60:O61"/>
    <mergeCell ref="P60:P61"/>
    <mergeCell ref="Q60:Q61"/>
    <mergeCell ref="R60:R61"/>
    <mergeCell ref="G60:G61"/>
    <mergeCell ref="H60:H61"/>
    <mergeCell ref="I60:I61"/>
    <mergeCell ref="J60:J61"/>
    <mergeCell ref="K60:K61"/>
    <mergeCell ref="L60:L61"/>
    <mergeCell ref="A60:A61"/>
    <mergeCell ref="B60:B61"/>
    <mergeCell ref="C60:C61"/>
    <mergeCell ref="D60:D61"/>
    <mergeCell ref="E64:E65"/>
    <mergeCell ref="F64:F65"/>
    <mergeCell ref="Y62:Y63"/>
    <mergeCell ref="Z62:Z63"/>
    <mergeCell ref="AA62:AA63"/>
    <mergeCell ref="AB62:AB63"/>
    <mergeCell ref="AI62:AI63"/>
    <mergeCell ref="AJ62:AJ63"/>
    <mergeCell ref="O62:O63"/>
    <mergeCell ref="P62:P63"/>
    <mergeCell ref="Q62:Q63"/>
    <mergeCell ref="R62:R63"/>
    <mergeCell ref="S62:S63"/>
    <mergeCell ref="X62:X63"/>
    <mergeCell ref="I62:I63"/>
    <mergeCell ref="J62:J63"/>
    <mergeCell ref="K62:K63"/>
    <mergeCell ref="L62:L63"/>
    <mergeCell ref="M62:M63"/>
    <mergeCell ref="N62:N63"/>
    <mergeCell ref="AI64:AI65"/>
    <mergeCell ref="AJ64:AJ65"/>
    <mergeCell ref="A66:A67"/>
    <mergeCell ref="B66:B67"/>
    <mergeCell ref="C66:C67"/>
    <mergeCell ref="D66:D67"/>
    <mergeCell ref="E66:E67"/>
    <mergeCell ref="F66:F67"/>
    <mergeCell ref="G66:G67"/>
    <mergeCell ref="H66:H67"/>
    <mergeCell ref="S64:S65"/>
    <mergeCell ref="X64:X65"/>
    <mergeCell ref="Y64:Y65"/>
    <mergeCell ref="Z64:Z65"/>
    <mergeCell ref="AA64:AA65"/>
    <mergeCell ref="AB64:AB65"/>
    <mergeCell ref="M64:M65"/>
    <mergeCell ref="N64:N65"/>
    <mergeCell ref="O64:O65"/>
    <mergeCell ref="P64:P65"/>
    <mergeCell ref="Q64:Q65"/>
    <mergeCell ref="R64:R65"/>
    <mergeCell ref="G64:G65"/>
    <mergeCell ref="H64:H65"/>
    <mergeCell ref="I64:I65"/>
    <mergeCell ref="J64:J65"/>
    <mergeCell ref="K64:K65"/>
    <mergeCell ref="L64:L65"/>
    <mergeCell ref="A64:A65"/>
    <mergeCell ref="B64:B65"/>
    <mergeCell ref="C64:C65"/>
    <mergeCell ref="D64:D65"/>
    <mergeCell ref="E68:E69"/>
    <mergeCell ref="F68:F69"/>
    <mergeCell ref="Y66:Y67"/>
    <mergeCell ref="Z66:Z67"/>
    <mergeCell ref="AA66:AA67"/>
    <mergeCell ref="AB66:AB67"/>
    <mergeCell ref="AI66:AI67"/>
    <mergeCell ref="AJ66:AJ67"/>
    <mergeCell ref="O66:O67"/>
    <mergeCell ref="P66:P67"/>
    <mergeCell ref="Q66:Q67"/>
    <mergeCell ref="R66:R67"/>
    <mergeCell ref="S66:S67"/>
    <mergeCell ref="X66:X67"/>
    <mergeCell ref="I66:I67"/>
    <mergeCell ref="J66:J67"/>
    <mergeCell ref="K66:K67"/>
    <mergeCell ref="L66:L67"/>
    <mergeCell ref="M66:M67"/>
    <mergeCell ref="N66:N67"/>
    <mergeCell ref="AI68:AI69"/>
    <mergeCell ref="AJ68:AJ69"/>
    <mergeCell ref="A70:A71"/>
    <mergeCell ref="B70:B71"/>
    <mergeCell ref="C70:C71"/>
    <mergeCell ref="D70:D71"/>
    <mergeCell ref="E70:E71"/>
    <mergeCell ref="F70:F71"/>
    <mergeCell ref="G70:G71"/>
    <mergeCell ref="H70:H71"/>
    <mergeCell ref="S68:S69"/>
    <mergeCell ref="X68:X69"/>
    <mergeCell ref="Y68:Y69"/>
    <mergeCell ref="Z68:Z69"/>
    <mergeCell ref="AA68:AA69"/>
    <mergeCell ref="AB68:AB69"/>
    <mergeCell ref="M68:M69"/>
    <mergeCell ref="N68:N69"/>
    <mergeCell ref="O68:O69"/>
    <mergeCell ref="P68:P69"/>
    <mergeCell ref="Q68:Q69"/>
    <mergeCell ref="R68:R69"/>
    <mergeCell ref="G68:G69"/>
    <mergeCell ref="H68:H69"/>
    <mergeCell ref="I68:I69"/>
    <mergeCell ref="J68:J69"/>
    <mergeCell ref="K68:K69"/>
    <mergeCell ref="L68:L69"/>
    <mergeCell ref="A68:A69"/>
    <mergeCell ref="B68:B69"/>
    <mergeCell ref="C68:C69"/>
    <mergeCell ref="D68:D69"/>
    <mergeCell ref="E72:E73"/>
    <mergeCell ref="F72:F73"/>
    <mergeCell ref="Y70:Y71"/>
    <mergeCell ref="Z70:Z71"/>
    <mergeCell ref="AA70:AA71"/>
    <mergeCell ref="AB70:AB71"/>
    <mergeCell ref="AI70:AI71"/>
    <mergeCell ref="AJ70:AJ71"/>
    <mergeCell ref="O70:O71"/>
    <mergeCell ref="P70:P71"/>
    <mergeCell ref="Q70:Q71"/>
    <mergeCell ref="R70:R71"/>
    <mergeCell ref="S70:S71"/>
    <mergeCell ref="X70:X71"/>
    <mergeCell ref="I70:I71"/>
    <mergeCell ref="J70:J71"/>
    <mergeCell ref="K70:K71"/>
    <mergeCell ref="L70:L71"/>
    <mergeCell ref="M70:M71"/>
    <mergeCell ref="N70:N71"/>
    <mergeCell ref="AI72:AI73"/>
    <mergeCell ref="AJ72:AJ73"/>
    <mergeCell ref="A74:A75"/>
    <mergeCell ref="B74:B75"/>
    <mergeCell ref="C74:C75"/>
    <mergeCell ref="D74:D75"/>
    <mergeCell ref="E74:E75"/>
    <mergeCell ref="F74:F75"/>
    <mergeCell ref="G74:G75"/>
    <mergeCell ref="H74:H75"/>
    <mergeCell ref="S72:S73"/>
    <mergeCell ref="X72:X73"/>
    <mergeCell ref="Y72:Y73"/>
    <mergeCell ref="Z72:Z73"/>
    <mergeCell ref="AA72:AA73"/>
    <mergeCell ref="AB72:AB73"/>
    <mergeCell ref="M72:M73"/>
    <mergeCell ref="N72:N73"/>
    <mergeCell ref="O72:O73"/>
    <mergeCell ref="P72:P73"/>
    <mergeCell ref="Q72:Q73"/>
    <mergeCell ref="R72:R73"/>
    <mergeCell ref="G72:G73"/>
    <mergeCell ref="H72:H73"/>
    <mergeCell ref="I72:I73"/>
    <mergeCell ref="J72:J73"/>
    <mergeCell ref="K72:K73"/>
    <mergeCell ref="L72:L73"/>
    <mergeCell ref="A72:A73"/>
    <mergeCell ref="B72:B73"/>
    <mergeCell ref="C72:C73"/>
    <mergeCell ref="D72:D73"/>
    <mergeCell ref="E76:E77"/>
    <mergeCell ref="F76:F77"/>
    <mergeCell ref="Y74:Y75"/>
    <mergeCell ref="Z74:Z75"/>
    <mergeCell ref="AA74:AA75"/>
    <mergeCell ref="AB74:AB75"/>
    <mergeCell ref="AI74:AI75"/>
    <mergeCell ref="AJ74:AJ75"/>
    <mergeCell ref="O74:O75"/>
    <mergeCell ref="P74:P75"/>
    <mergeCell ref="Q74:Q75"/>
    <mergeCell ref="R74:R75"/>
    <mergeCell ref="S74:S75"/>
    <mergeCell ref="X74:X75"/>
    <mergeCell ref="I74:I75"/>
    <mergeCell ref="J74:J75"/>
    <mergeCell ref="K74:K75"/>
    <mergeCell ref="L74:L75"/>
    <mergeCell ref="M74:M75"/>
    <mergeCell ref="N74:N75"/>
    <mergeCell ref="AI76:AI77"/>
    <mergeCell ref="AJ76:AJ77"/>
    <mergeCell ref="A78:A79"/>
    <mergeCell ref="B78:B79"/>
    <mergeCell ref="C78:C79"/>
    <mergeCell ref="D78:D79"/>
    <mergeCell ref="E78:E79"/>
    <mergeCell ref="F78:F79"/>
    <mergeCell ref="G78:G79"/>
    <mergeCell ref="H78:H79"/>
    <mergeCell ref="S76:S77"/>
    <mergeCell ref="X76:X77"/>
    <mergeCell ref="Y76:Y77"/>
    <mergeCell ref="Z76:Z77"/>
    <mergeCell ref="AA76:AA77"/>
    <mergeCell ref="AB76:AB77"/>
    <mergeCell ref="M76:M77"/>
    <mergeCell ref="N76:N77"/>
    <mergeCell ref="O76:O77"/>
    <mergeCell ref="P76:P77"/>
    <mergeCell ref="Q76:Q77"/>
    <mergeCell ref="R76:R77"/>
    <mergeCell ref="G76:G77"/>
    <mergeCell ref="H76:H77"/>
    <mergeCell ref="I76:I77"/>
    <mergeCell ref="J76:J77"/>
    <mergeCell ref="K76:K77"/>
    <mergeCell ref="L76:L77"/>
    <mergeCell ref="A76:A77"/>
    <mergeCell ref="B76:B77"/>
    <mergeCell ref="C76:C77"/>
    <mergeCell ref="D76:D77"/>
    <mergeCell ref="E80:E81"/>
    <mergeCell ref="F80:F81"/>
    <mergeCell ref="Y78:Y79"/>
    <mergeCell ref="Z78:Z79"/>
    <mergeCell ref="AA78:AA79"/>
    <mergeCell ref="AB78:AB79"/>
    <mergeCell ref="AI78:AI79"/>
    <mergeCell ref="AJ78:AJ79"/>
    <mergeCell ref="O78:O79"/>
    <mergeCell ref="P78:P79"/>
    <mergeCell ref="Q78:Q79"/>
    <mergeCell ref="R78:R79"/>
    <mergeCell ref="S78:S79"/>
    <mergeCell ref="X78:X79"/>
    <mergeCell ref="I78:I79"/>
    <mergeCell ref="J78:J79"/>
    <mergeCell ref="K78:K79"/>
    <mergeCell ref="L78:L79"/>
    <mergeCell ref="M78:M79"/>
    <mergeCell ref="N78:N79"/>
    <mergeCell ref="AI80:AI81"/>
    <mergeCell ref="AJ80:AJ81"/>
    <mergeCell ref="A82:A83"/>
    <mergeCell ref="B82:B83"/>
    <mergeCell ref="C82:C83"/>
    <mergeCell ref="D82:D83"/>
    <mergeCell ref="E82:E83"/>
    <mergeCell ref="F82:F83"/>
    <mergeCell ref="G82:G83"/>
    <mergeCell ref="H82:H83"/>
    <mergeCell ref="S80:S81"/>
    <mergeCell ref="X80:X81"/>
    <mergeCell ref="Y80:Y81"/>
    <mergeCell ref="Z80:Z81"/>
    <mergeCell ref="AA80:AA81"/>
    <mergeCell ref="AB80:AB81"/>
    <mergeCell ref="M80:M81"/>
    <mergeCell ref="N80:N81"/>
    <mergeCell ref="O80:O81"/>
    <mergeCell ref="P80:P81"/>
    <mergeCell ref="Q80:Q81"/>
    <mergeCell ref="R80:R81"/>
    <mergeCell ref="G80:G81"/>
    <mergeCell ref="H80:H81"/>
    <mergeCell ref="I80:I81"/>
    <mergeCell ref="J80:J81"/>
    <mergeCell ref="K80:K81"/>
    <mergeCell ref="L80:L81"/>
    <mergeCell ref="A80:A81"/>
    <mergeCell ref="B80:B81"/>
    <mergeCell ref="C80:C81"/>
    <mergeCell ref="D80:D81"/>
    <mergeCell ref="E84:E85"/>
    <mergeCell ref="F84:F85"/>
    <mergeCell ref="Y82:Y83"/>
    <mergeCell ref="Z82:Z83"/>
    <mergeCell ref="AA82:AA83"/>
    <mergeCell ref="AB82:AB83"/>
    <mergeCell ref="AI82:AI83"/>
    <mergeCell ref="AJ82:AJ83"/>
    <mergeCell ref="O82:O83"/>
    <mergeCell ref="P82:P83"/>
    <mergeCell ref="Q82:Q83"/>
    <mergeCell ref="R82:R83"/>
    <mergeCell ref="S82:S83"/>
    <mergeCell ref="X82:X83"/>
    <mergeCell ref="I82:I83"/>
    <mergeCell ref="J82:J83"/>
    <mergeCell ref="K82:K83"/>
    <mergeCell ref="L82:L83"/>
    <mergeCell ref="M82:M83"/>
    <mergeCell ref="N82:N83"/>
    <mergeCell ref="AI84:AI85"/>
    <mergeCell ref="AJ84:AJ85"/>
    <mergeCell ref="A86:A87"/>
    <mergeCell ref="B86:B87"/>
    <mergeCell ref="C86:C87"/>
    <mergeCell ref="D86:D87"/>
    <mergeCell ref="E86:E87"/>
    <mergeCell ref="F86:F87"/>
    <mergeCell ref="G86:G87"/>
    <mergeCell ref="H86:H87"/>
    <mergeCell ref="S84:S85"/>
    <mergeCell ref="X84:X85"/>
    <mergeCell ref="Y84:Y85"/>
    <mergeCell ref="Z84:Z85"/>
    <mergeCell ref="AA84:AA85"/>
    <mergeCell ref="AB84:AB85"/>
    <mergeCell ref="M84:M85"/>
    <mergeCell ref="N84:N85"/>
    <mergeCell ref="O84:O85"/>
    <mergeCell ref="P84:P85"/>
    <mergeCell ref="Q84:Q85"/>
    <mergeCell ref="R84:R85"/>
    <mergeCell ref="G84:G85"/>
    <mergeCell ref="H84:H85"/>
    <mergeCell ref="I84:I85"/>
    <mergeCell ref="J84:J85"/>
    <mergeCell ref="K84:K85"/>
    <mergeCell ref="L84:L85"/>
    <mergeCell ref="A84:A85"/>
    <mergeCell ref="B84:B85"/>
    <mergeCell ref="C84:C85"/>
    <mergeCell ref="D84:D85"/>
    <mergeCell ref="E88:E89"/>
    <mergeCell ref="F88:F89"/>
    <mergeCell ref="Y86:Y87"/>
    <mergeCell ref="Z86:Z87"/>
    <mergeCell ref="AA86:AA87"/>
    <mergeCell ref="AB86:AB87"/>
    <mergeCell ref="AI86:AI87"/>
    <mergeCell ref="AJ86:AJ87"/>
    <mergeCell ref="O86:O87"/>
    <mergeCell ref="P86:P87"/>
    <mergeCell ref="Q86:Q87"/>
    <mergeCell ref="R86:R87"/>
    <mergeCell ref="S86:S87"/>
    <mergeCell ref="X86:X87"/>
    <mergeCell ref="I86:I87"/>
    <mergeCell ref="J86:J87"/>
    <mergeCell ref="K86:K87"/>
    <mergeCell ref="L86:L87"/>
    <mergeCell ref="M86:M87"/>
    <mergeCell ref="N86:N87"/>
    <mergeCell ref="AI88:AI89"/>
    <mergeCell ref="AJ88:AJ89"/>
    <mergeCell ref="A90:A91"/>
    <mergeCell ref="B90:B91"/>
    <mergeCell ref="C90:C91"/>
    <mergeCell ref="D90:D91"/>
    <mergeCell ref="E90:E91"/>
    <mergeCell ref="F90:F91"/>
    <mergeCell ref="G90:G91"/>
    <mergeCell ref="H90:H91"/>
    <mergeCell ref="S88:S89"/>
    <mergeCell ref="X88:X89"/>
    <mergeCell ref="Y88:Y89"/>
    <mergeCell ref="Z88:Z89"/>
    <mergeCell ref="AA88:AA89"/>
    <mergeCell ref="AB88:AB89"/>
    <mergeCell ref="M88:M89"/>
    <mergeCell ref="N88:N89"/>
    <mergeCell ref="O88:O89"/>
    <mergeCell ref="P88:P89"/>
    <mergeCell ref="Q88:Q89"/>
    <mergeCell ref="R88:R89"/>
    <mergeCell ref="G88:G89"/>
    <mergeCell ref="H88:H89"/>
    <mergeCell ref="I88:I89"/>
    <mergeCell ref="J88:J89"/>
    <mergeCell ref="K88:K89"/>
    <mergeCell ref="L88:L89"/>
    <mergeCell ref="A88:A89"/>
    <mergeCell ref="B88:B89"/>
    <mergeCell ref="C88:C89"/>
    <mergeCell ref="D88:D89"/>
    <mergeCell ref="E92:E93"/>
    <mergeCell ref="F92:F93"/>
    <mergeCell ref="Y90:Y91"/>
    <mergeCell ref="Z90:Z91"/>
    <mergeCell ref="AA90:AA91"/>
    <mergeCell ref="AB90:AB91"/>
    <mergeCell ref="AI90:AI91"/>
    <mergeCell ref="AJ90:AJ91"/>
    <mergeCell ref="O90:O91"/>
    <mergeCell ref="P90:P91"/>
    <mergeCell ref="Q90:Q91"/>
    <mergeCell ref="R90:R91"/>
    <mergeCell ref="S90:S91"/>
    <mergeCell ref="X90:X91"/>
    <mergeCell ref="I90:I91"/>
    <mergeCell ref="J90:J91"/>
    <mergeCell ref="K90:K91"/>
    <mergeCell ref="L90:L91"/>
    <mergeCell ref="M90:M91"/>
    <mergeCell ref="N90:N91"/>
    <mergeCell ref="AI92:AI93"/>
    <mergeCell ref="AJ92:AJ93"/>
    <mergeCell ref="A94:A95"/>
    <mergeCell ref="B94:B95"/>
    <mergeCell ref="C94:C95"/>
    <mergeCell ref="D94:D95"/>
    <mergeCell ref="E94:E95"/>
    <mergeCell ref="F94:F95"/>
    <mergeCell ref="G94:G95"/>
    <mergeCell ref="H94:H95"/>
    <mergeCell ref="S92:S93"/>
    <mergeCell ref="X92:X93"/>
    <mergeCell ref="Y92:Y93"/>
    <mergeCell ref="Z92:Z93"/>
    <mergeCell ref="AA92:AA93"/>
    <mergeCell ref="AB92:AB93"/>
    <mergeCell ref="M92:M93"/>
    <mergeCell ref="N92:N93"/>
    <mergeCell ref="O92:O93"/>
    <mergeCell ref="P92:P93"/>
    <mergeCell ref="Q92:Q93"/>
    <mergeCell ref="R92:R93"/>
    <mergeCell ref="G92:G93"/>
    <mergeCell ref="H92:H93"/>
    <mergeCell ref="I92:I93"/>
    <mergeCell ref="J92:J93"/>
    <mergeCell ref="K92:K93"/>
    <mergeCell ref="L92:L93"/>
    <mergeCell ref="A92:A93"/>
    <mergeCell ref="B92:B93"/>
    <mergeCell ref="C92:C93"/>
    <mergeCell ref="D92:D93"/>
    <mergeCell ref="E96:E97"/>
    <mergeCell ref="F96:F97"/>
    <mergeCell ref="Y94:Y95"/>
    <mergeCell ref="Z94:Z95"/>
    <mergeCell ref="AA94:AA95"/>
    <mergeCell ref="AB94:AB95"/>
    <mergeCell ref="AI94:AI95"/>
    <mergeCell ref="AJ94:AJ95"/>
    <mergeCell ref="O94:O95"/>
    <mergeCell ref="P94:P95"/>
    <mergeCell ref="Q94:Q95"/>
    <mergeCell ref="R94:R95"/>
    <mergeCell ref="S94:S95"/>
    <mergeCell ref="X94:X95"/>
    <mergeCell ref="I94:I95"/>
    <mergeCell ref="J94:J95"/>
    <mergeCell ref="K94:K95"/>
    <mergeCell ref="L94:L95"/>
    <mergeCell ref="M94:M95"/>
    <mergeCell ref="N94:N95"/>
    <mergeCell ref="AI96:AI97"/>
    <mergeCell ref="AJ96:AJ97"/>
    <mergeCell ref="A98:A99"/>
    <mergeCell ref="B98:B99"/>
    <mergeCell ref="C98:C99"/>
    <mergeCell ref="D98:D99"/>
    <mergeCell ref="E98:E99"/>
    <mergeCell ref="F98:F99"/>
    <mergeCell ref="G98:G99"/>
    <mergeCell ref="H98:H99"/>
    <mergeCell ref="S96:S97"/>
    <mergeCell ref="X96:X97"/>
    <mergeCell ref="Y96:Y97"/>
    <mergeCell ref="Z96:Z97"/>
    <mergeCell ref="AA96:AA97"/>
    <mergeCell ref="AB96:AB97"/>
    <mergeCell ref="M96:M97"/>
    <mergeCell ref="N96:N97"/>
    <mergeCell ref="O96:O97"/>
    <mergeCell ref="P96:P97"/>
    <mergeCell ref="Q96:Q97"/>
    <mergeCell ref="R96:R97"/>
    <mergeCell ref="G96:G97"/>
    <mergeCell ref="H96:H97"/>
    <mergeCell ref="I96:I97"/>
    <mergeCell ref="J96:J97"/>
    <mergeCell ref="K96:K97"/>
    <mergeCell ref="L96:L97"/>
    <mergeCell ref="A96:A97"/>
    <mergeCell ref="B96:B97"/>
    <mergeCell ref="C96:C97"/>
    <mergeCell ref="D96:D97"/>
    <mergeCell ref="E100:E101"/>
    <mergeCell ref="F100:F101"/>
    <mergeCell ref="Y98:Y99"/>
    <mergeCell ref="Z98:Z99"/>
    <mergeCell ref="AA98:AA99"/>
    <mergeCell ref="AB98:AB99"/>
    <mergeCell ref="AI98:AI99"/>
    <mergeCell ref="AJ98:AJ99"/>
    <mergeCell ref="O98:O99"/>
    <mergeCell ref="P98:P99"/>
    <mergeCell ref="Q98:Q99"/>
    <mergeCell ref="R98:R99"/>
    <mergeCell ref="S98:S99"/>
    <mergeCell ref="X98:X99"/>
    <mergeCell ref="I98:I99"/>
    <mergeCell ref="J98:J99"/>
    <mergeCell ref="K98:K99"/>
    <mergeCell ref="L98:L99"/>
    <mergeCell ref="M98:M99"/>
    <mergeCell ref="N98:N99"/>
    <mergeCell ref="AI100:AI101"/>
    <mergeCell ref="AJ100:AJ101"/>
    <mergeCell ref="A102:A103"/>
    <mergeCell ref="B102:B103"/>
    <mergeCell ref="C102:C103"/>
    <mergeCell ref="D102:D103"/>
    <mergeCell ref="E102:E103"/>
    <mergeCell ref="F102:F103"/>
    <mergeCell ref="G102:G103"/>
    <mergeCell ref="H102:H103"/>
    <mergeCell ref="S100:S101"/>
    <mergeCell ref="X100:X101"/>
    <mergeCell ref="Y100:Y101"/>
    <mergeCell ref="Z100:Z101"/>
    <mergeCell ref="AA100:AA101"/>
    <mergeCell ref="AB100:AB101"/>
    <mergeCell ref="M100:M101"/>
    <mergeCell ref="N100:N101"/>
    <mergeCell ref="O100:O101"/>
    <mergeCell ref="P100:P101"/>
    <mergeCell ref="Q100:Q101"/>
    <mergeCell ref="R100:R101"/>
    <mergeCell ref="G100:G101"/>
    <mergeCell ref="H100:H101"/>
    <mergeCell ref="I100:I101"/>
    <mergeCell ref="J100:J101"/>
    <mergeCell ref="K100:K101"/>
    <mergeCell ref="L100:L101"/>
    <mergeCell ref="A100:A101"/>
    <mergeCell ref="B100:B101"/>
    <mergeCell ref="C100:C101"/>
    <mergeCell ref="D100:D101"/>
    <mergeCell ref="E104:E105"/>
    <mergeCell ref="F104:F105"/>
    <mergeCell ref="Y102:Y103"/>
    <mergeCell ref="Z102:Z103"/>
    <mergeCell ref="AA102:AA103"/>
    <mergeCell ref="AB102:AB103"/>
    <mergeCell ref="AI102:AI103"/>
    <mergeCell ref="AJ102:AJ103"/>
    <mergeCell ref="O102:O103"/>
    <mergeCell ref="P102:P103"/>
    <mergeCell ref="Q102:Q103"/>
    <mergeCell ref="R102:R103"/>
    <mergeCell ref="S102:S103"/>
    <mergeCell ref="X102:X103"/>
    <mergeCell ref="I102:I103"/>
    <mergeCell ref="J102:J103"/>
    <mergeCell ref="K102:K103"/>
    <mergeCell ref="L102:L103"/>
    <mergeCell ref="M102:M103"/>
    <mergeCell ref="N102:N103"/>
    <mergeCell ref="AI104:AI105"/>
    <mergeCell ref="AJ104:AJ105"/>
    <mergeCell ref="A106:A107"/>
    <mergeCell ref="B106:B107"/>
    <mergeCell ref="C106:C107"/>
    <mergeCell ref="D106:D107"/>
    <mergeCell ref="E106:E107"/>
    <mergeCell ref="F106:F107"/>
    <mergeCell ref="G106:G107"/>
    <mergeCell ref="H106:H107"/>
    <mergeCell ref="S104:S105"/>
    <mergeCell ref="X104:X105"/>
    <mergeCell ref="Y104:Y105"/>
    <mergeCell ref="Z104:Z105"/>
    <mergeCell ref="AA104:AA105"/>
    <mergeCell ref="AB104:AB105"/>
    <mergeCell ref="M104:M105"/>
    <mergeCell ref="N104:N105"/>
    <mergeCell ref="O104:O105"/>
    <mergeCell ref="P104:P105"/>
    <mergeCell ref="Q104:Q105"/>
    <mergeCell ref="R104:R105"/>
    <mergeCell ref="G104:G105"/>
    <mergeCell ref="H104:H105"/>
    <mergeCell ref="I104:I105"/>
    <mergeCell ref="J104:J105"/>
    <mergeCell ref="K104:K105"/>
    <mergeCell ref="L104:L105"/>
    <mergeCell ref="A104:A105"/>
    <mergeCell ref="B104:B105"/>
    <mergeCell ref="C104:C105"/>
    <mergeCell ref="D104:D105"/>
    <mergeCell ref="E108:E109"/>
    <mergeCell ref="F108:F109"/>
    <mergeCell ref="Y106:Y107"/>
    <mergeCell ref="Z106:Z107"/>
    <mergeCell ref="AA106:AA107"/>
    <mergeCell ref="AB106:AB107"/>
    <mergeCell ref="AI106:AI107"/>
    <mergeCell ref="AJ106:AJ107"/>
    <mergeCell ref="O106:O107"/>
    <mergeCell ref="P106:P107"/>
    <mergeCell ref="Q106:Q107"/>
    <mergeCell ref="R106:R107"/>
    <mergeCell ref="S106:S107"/>
    <mergeCell ref="X106:X107"/>
    <mergeCell ref="I106:I107"/>
    <mergeCell ref="J106:J107"/>
    <mergeCell ref="K106:K107"/>
    <mergeCell ref="L106:L107"/>
    <mergeCell ref="M106:M107"/>
    <mergeCell ref="N106:N107"/>
    <mergeCell ref="AI108:AI109"/>
    <mergeCell ref="AJ108:AJ109"/>
    <mergeCell ref="A110:A111"/>
    <mergeCell ref="B110:B111"/>
    <mergeCell ref="C110:C111"/>
    <mergeCell ref="D110:D111"/>
    <mergeCell ref="E110:E111"/>
    <mergeCell ref="F110:F111"/>
    <mergeCell ref="G110:G111"/>
    <mergeCell ref="H110:H111"/>
    <mergeCell ref="S108:S109"/>
    <mergeCell ref="X108:X109"/>
    <mergeCell ref="Y108:Y109"/>
    <mergeCell ref="Z108:Z109"/>
    <mergeCell ref="AA108:AA109"/>
    <mergeCell ref="AB108:AB109"/>
    <mergeCell ref="M108:M109"/>
    <mergeCell ref="N108:N109"/>
    <mergeCell ref="O108:O109"/>
    <mergeCell ref="P108:P109"/>
    <mergeCell ref="Q108:Q109"/>
    <mergeCell ref="R108:R109"/>
    <mergeCell ref="G108:G109"/>
    <mergeCell ref="H108:H109"/>
    <mergeCell ref="I108:I109"/>
    <mergeCell ref="J108:J109"/>
    <mergeCell ref="K108:K109"/>
    <mergeCell ref="L108:L109"/>
    <mergeCell ref="A108:A109"/>
    <mergeCell ref="B108:B109"/>
    <mergeCell ref="C108:C109"/>
    <mergeCell ref="D108:D109"/>
    <mergeCell ref="E112:E113"/>
    <mergeCell ref="F112:F113"/>
    <mergeCell ref="Y110:Y111"/>
    <mergeCell ref="Z110:Z111"/>
    <mergeCell ref="AA110:AA111"/>
    <mergeCell ref="AB110:AB111"/>
    <mergeCell ref="AI110:AI111"/>
    <mergeCell ref="AJ110:AJ111"/>
    <mergeCell ref="O110:O111"/>
    <mergeCell ref="P110:P111"/>
    <mergeCell ref="Q110:Q111"/>
    <mergeCell ref="R110:R111"/>
    <mergeCell ref="S110:S111"/>
    <mergeCell ref="X110:X111"/>
    <mergeCell ref="I110:I111"/>
    <mergeCell ref="J110:J111"/>
    <mergeCell ref="K110:K111"/>
    <mergeCell ref="L110:L111"/>
    <mergeCell ref="M110:M111"/>
    <mergeCell ref="N110:N111"/>
    <mergeCell ref="AI112:AI113"/>
    <mergeCell ref="AJ112:AJ113"/>
    <mergeCell ref="A114:A115"/>
    <mergeCell ref="B114:B115"/>
    <mergeCell ref="C114:C115"/>
    <mergeCell ref="D114:D115"/>
    <mergeCell ref="E114:E115"/>
    <mergeCell ref="F114:F115"/>
    <mergeCell ref="G114:G115"/>
    <mergeCell ref="H114:H115"/>
    <mergeCell ref="S112:S113"/>
    <mergeCell ref="X112:X113"/>
    <mergeCell ref="Y112:Y113"/>
    <mergeCell ref="Z112:Z113"/>
    <mergeCell ref="AA112:AA113"/>
    <mergeCell ref="AB112:AB113"/>
    <mergeCell ref="M112:M113"/>
    <mergeCell ref="N112:N113"/>
    <mergeCell ref="O112:O113"/>
    <mergeCell ref="P112:P113"/>
    <mergeCell ref="Q112:Q113"/>
    <mergeCell ref="R112:R113"/>
    <mergeCell ref="G112:G113"/>
    <mergeCell ref="H112:H113"/>
    <mergeCell ref="I112:I113"/>
    <mergeCell ref="J112:J113"/>
    <mergeCell ref="K112:K113"/>
    <mergeCell ref="L112:L113"/>
    <mergeCell ref="A112:A113"/>
    <mergeCell ref="B112:B113"/>
    <mergeCell ref="C112:C113"/>
    <mergeCell ref="D112:D113"/>
    <mergeCell ref="E116:E117"/>
    <mergeCell ref="F116:F117"/>
    <mergeCell ref="Y114:Y115"/>
    <mergeCell ref="Z114:Z115"/>
    <mergeCell ref="AA114:AA115"/>
    <mergeCell ref="AB114:AB115"/>
    <mergeCell ref="AI114:AI115"/>
    <mergeCell ref="AJ114:AJ115"/>
    <mergeCell ref="O114:O115"/>
    <mergeCell ref="P114:P115"/>
    <mergeCell ref="Q114:Q115"/>
    <mergeCell ref="R114:R115"/>
    <mergeCell ref="S114:S115"/>
    <mergeCell ref="X114:X115"/>
    <mergeCell ref="I114:I115"/>
    <mergeCell ref="J114:J115"/>
    <mergeCell ref="K114:K115"/>
    <mergeCell ref="L114:L115"/>
    <mergeCell ref="M114:M115"/>
    <mergeCell ref="N114:N115"/>
    <mergeCell ref="AI116:AI117"/>
    <mergeCell ref="AJ116:AJ117"/>
    <mergeCell ref="A118:A119"/>
    <mergeCell ref="B118:B119"/>
    <mergeCell ref="C118:C119"/>
    <mergeCell ref="D118:D119"/>
    <mergeCell ref="E118:E119"/>
    <mergeCell ref="F118:F119"/>
    <mergeCell ref="G118:G119"/>
    <mergeCell ref="H118:H119"/>
    <mergeCell ref="S116:S117"/>
    <mergeCell ref="X116:X117"/>
    <mergeCell ref="Y116:Y117"/>
    <mergeCell ref="Z116:Z117"/>
    <mergeCell ref="AA116:AA117"/>
    <mergeCell ref="AB116:AB117"/>
    <mergeCell ref="M116:M117"/>
    <mergeCell ref="N116:N117"/>
    <mergeCell ref="O116:O117"/>
    <mergeCell ref="P116:P117"/>
    <mergeCell ref="Q116:Q117"/>
    <mergeCell ref="R116:R117"/>
    <mergeCell ref="G116:G117"/>
    <mergeCell ref="H116:H117"/>
    <mergeCell ref="I116:I117"/>
    <mergeCell ref="J116:J117"/>
    <mergeCell ref="K116:K117"/>
    <mergeCell ref="L116:L117"/>
    <mergeCell ref="A116:A117"/>
    <mergeCell ref="B116:B117"/>
    <mergeCell ref="C116:C117"/>
    <mergeCell ref="D116:D117"/>
    <mergeCell ref="E120:E121"/>
    <mergeCell ref="F120:F121"/>
    <mergeCell ref="Y118:Y119"/>
    <mergeCell ref="Z118:Z119"/>
    <mergeCell ref="AA118:AA119"/>
    <mergeCell ref="AB118:AB119"/>
    <mergeCell ref="AI118:AI119"/>
    <mergeCell ref="AJ118:AJ119"/>
    <mergeCell ref="O118:O119"/>
    <mergeCell ref="P118:P119"/>
    <mergeCell ref="Q118:Q119"/>
    <mergeCell ref="R118:R119"/>
    <mergeCell ref="S118:S119"/>
    <mergeCell ref="X118:X119"/>
    <mergeCell ref="I118:I119"/>
    <mergeCell ref="J118:J119"/>
    <mergeCell ref="K118:K119"/>
    <mergeCell ref="L118:L119"/>
    <mergeCell ref="M118:M119"/>
    <mergeCell ref="N118:N119"/>
    <mergeCell ref="AI120:AI121"/>
    <mergeCell ref="AJ120:AJ121"/>
    <mergeCell ref="A122:A123"/>
    <mergeCell ref="B122:B123"/>
    <mergeCell ref="C122:C123"/>
    <mergeCell ref="D122:D123"/>
    <mergeCell ref="E122:E123"/>
    <mergeCell ref="F122:F123"/>
    <mergeCell ref="G122:G123"/>
    <mergeCell ref="H122:H123"/>
    <mergeCell ref="S120:S121"/>
    <mergeCell ref="X120:X121"/>
    <mergeCell ref="Y120:Y121"/>
    <mergeCell ref="Z120:Z121"/>
    <mergeCell ref="AA120:AA121"/>
    <mergeCell ref="AB120:AB121"/>
    <mergeCell ref="M120:M121"/>
    <mergeCell ref="N120:N121"/>
    <mergeCell ref="O120:O121"/>
    <mergeCell ref="P120:P121"/>
    <mergeCell ref="Q120:Q121"/>
    <mergeCell ref="R120:R121"/>
    <mergeCell ref="G120:G121"/>
    <mergeCell ref="H120:H121"/>
    <mergeCell ref="I120:I121"/>
    <mergeCell ref="J120:J121"/>
    <mergeCell ref="K120:K121"/>
    <mergeCell ref="L120:L121"/>
    <mergeCell ref="A120:A121"/>
    <mergeCell ref="B120:B121"/>
    <mergeCell ref="C120:C121"/>
    <mergeCell ref="D120:D121"/>
    <mergeCell ref="E124:E125"/>
    <mergeCell ref="F124:F125"/>
    <mergeCell ref="Y122:Y123"/>
    <mergeCell ref="Z122:Z123"/>
    <mergeCell ref="AA122:AA123"/>
    <mergeCell ref="AB122:AB123"/>
    <mergeCell ref="AI122:AI123"/>
    <mergeCell ref="AJ122:AJ123"/>
    <mergeCell ref="O122:O123"/>
    <mergeCell ref="P122:P123"/>
    <mergeCell ref="Q122:Q123"/>
    <mergeCell ref="R122:R123"/>
    <mergeCell ref="S122:S123"/>
    <mergeCell ref="X122:X123"/>
    <mergeCell ref="I122:I123"/>
    <mergeCell ref="J122:J123"/>
    <mergeCell ref="K122:K123"/>
    <mergeCell ref="L122:L123"/>
    <mergeCell ref="M122:M123"/>
    <mergeCell ref="N122:N123"/>
    <mergeCell ref="AI124:AI125"/>
    <mergeCell ref="AJ124:AJ125"/>
    <mergeCell ref="A126:A127"/>
    <mergeCell ref="B126:B127"/>
    <mergeCell ref="C126:C127"/>
    <mergeCell ref="D126:D127"/>
    <mergeCell ref="E126:E127"/>
    <mergeCell ref="F126:F127"/>
    <mergeCell ref="G126:G127"/>
    <mergeCell ref="H126:H127"/>
    <mergeCell ref="S124:S125"/>
    <mergeCell ref="X124:X125"/>
    <mergeCell ref="Y124:Y125"/>
    <mergeCell ref="Z124:Z125"/>
    <mergeCell ref="AA124:AA125"/>
    <mergeCell ref="AB124:AB125"/>
    <mergeCell ref="M124:M125"/>
    <mergeCell ref="N124:N125"/>
    <mergeCell ref="O124:O125"/>
    <mergeCell ref="P124:P125"/>
    <mergeCell ref="Q124:Q125"/>
    <mergeCell ref="R124:R125"/>
    <mergeCell ref="G124:G125"/>
    <mergeCell ref="H124:H125"/>
    <mergeCell ref="I124:I125"/>
    <mergeCell ref="J124:J125"/>
    <mergeCell ref="K124:K125"/>
    <mergeCell ref="L124:L125"/>
    <mergeCell ref="A124:A125"/>
    <mergeCell ref="B124:B125"/>
    <mergeCell ref="C124:C125"/>
    <mergeCell ref="D124:D125"/>
    <mergeCell ref="E128:E129"/>
    <mergeCell ref="F128:F129"/>
    <mergeCell ref="Y126:Y127"/>
    <mergeCell ref="Z126:Z127"/>
    <mergeCell ref="AA126:AA127"/>
    <mergeCell ref="AB126:AB127"/>
    <mergeCell ref="AI126:AI127"/>
    <mergeCell ref="AJ126:AJ127"/>
    <mergeCell ref="O126:O127"/>
    <mergeCell ref="P126:P127"/>
    <mergeCell ref="Q126:Q127"/>
    <mergeCell ref="R126:R127"/>
    <mergeCell ref="S126:S127"/>
    <mergeCell ref="X126:X127"/>
    <mergeCell ref="I126:I127"/>
    <mergeCell ref="J126:J127"/>
    <mergeCell ref="K126:K127"/>
    <mergeCell ref="L126:L127"/>
    <mergeCell ref="M126:M127"/>
    <mergeCell ref="N126:N127"/>
    <mergeCell ref="AI128:AI129"/>
    <mergeCell ref="AJ128:AJ129"/>
    <mergeCell ref="A130:A131"/>
    <mergeCell ref="B130:B131"/>
    <mergeCell ref="C130:C131"/>
    <mergeCell ref="D130:D131"/>
    <mergeCell ref="E130:E131"/>
    <mergeCell ref="F130:F131"/>
    <mergeCell ref="G130:G131"/>
    <mergeCell ref="H130:H131"/>
    <mergeCell ref="S128:S129"/>
    <mergeCell ref="X128:X129"/>
    <mergeCell ref="Y128:Y129"/>
    <mergeCell ref="Z128:Z129"/>
    <mergeCell ref="AA128:AA129"/>
    <mergeCell ref="AB128:AB129"/>
    <mergeCell ref="M128:M129"/>
    <mergeCell ref="N128:N129"/>
    <mergeCell ref="O128:O129"/>
    <mergeCell ref="P128:P129"/>
    <mergeCell ref="Q128:Q129"/>
    <mergeCell ref="R128:R129"/>
    <mergeCell ref="G128:G129"/>
    <mergeCell ref="H128:H129"/>
    <mergeCell ref="I128:I129"/>
    <mergeCell ref="J128:J129"/>
    <mergeCell ref="K128:K129"/>
    <mergeCell ref="L128:L129"/>
    <mergeCell ref="A128:A129"/>
    <mergeCell ref="B128:B129"/>
    <mergeCell ref="C128:C129"/>
    <mergeCell ref="D128:D129"/>
    <mergeCell ref="E132:E133"/>
    <mergeCell ref="F132:F133"/>
    <mergeCell ref="Y130:Y131"/>
    <mergeCell ref="Z130:Z131"/>
    <mergeCell ref="AA130:AA131"/>
    <mergeCell ref="AB130:AB131"/>
    <mergeCell ref="AI130:AI131"/>
    <mergeCell ref="AJ130:AJ131"/>
    <mergeCell ref="O130:O131"/>
    <mergeCell ref="P130:P131"/>
    <mergeCell ref="Q130:Q131"/>
    <mergeCell ref="R130:R131"/>
    <mergeCell ref="S130:S131"/>
    <mergeCell ref="X130:X131"/>
    <mergeCell ref="I130:I131"/>
    <mergeCell ref="J130:J131"/>
    <mergeCell ref="K130:K131"/>
    <mergeCell ref="L130:L131"/>
    <mergeCell ref="M130:M131"/>
    <mergeCell ref="N130:N131"/>
    <mergeCell ref="AI132:AI133"/>
    <mergeCell ref="AJ132:AJ133"/>
    <mergeCell ref="A134:A135"/>
    <mergeCell ref="B134:B135"/>
    <mergeCell ref="C134:C135"/>
    <mergeCell ref="D134:D135"/>
    <mergeCell ref="E134:E135"/>
    <mergeCell ref="F134:F135"/>
    <mergeCell ref="G134:G135"/>
    <mergeCell ref="H134:H135"/>
    <mergeCell ref="S132:S133"/>
    <mergeCell ref="X132:X133"/>
    <mergeCell ref="Y132:Y133"/>
    <mergeCell ref="Z132:Z133"/>
    <mergeCell ref="AA132:AA133"/>
    <mergeCell ref="AB132:AB133"/>
    <mergeCell ref="M132:M133"/>
    <mergeCell ref="N132:N133"/>
    <mergeCell ref="O132:O133"/>
    <mergeCell ref="P132:P133"/>
    <mergeCell ref="Q132:Q133"/>
    <mergeCell ref="R132:R133"/>
    <mergeCell ref="G132:G133"/>
    <mergeCell ref="H132:H133"/>
    <mergeCell ref="I132:I133"/>
    <mergeCell ref="J132:J133"/>
    <mergeCell ref="K132:K133"/>
    <mergeCell ref="L132:L133"/>
    <mergeCell ref="A132:A133"/>
    <mergeCell ref="B132:B133"/>
    <mergeCell ref="C132:C133"/>
    <mergeCell ref="D132:D133"/>
    <mergeCell ref="E136:E137"/>
    <mergeCell ref="F136:F137"/>
    <mergeCell ref="Y134:Y135"/>
    <mergeCell ref="Z134:Z135"/>
    <mergeCell ref="AA134:AA135"/>
    <mergeCell ref="AB134:AB135"/>
    <mergeCell ref="AI134:AI135"/>
    <mergeCell ref="AJ134:AJ135"/>
    <mergeCell ref="O134:O135"/>
    <mergeCell ref="P134:P135"/>
    <mergeCell ref="Q134:Q135"/>
    <mergeCell ref="R134:R135"/>
    <mergeCell ref="S134:S135"/>
    <mergeCell ref="X134:X135"/>
    <mergeCell ref="I134:I135"/>
    <mergeCell ref="J134:J135"/>
    <mergeCell ref="K134:K135"/>
    <mergeCell ref="L134:L135"/>
    <mergeCell ref="M134:M135"/>
    <mergeCell ref="N134:N135"/>
    <mergeCell ref="AI136:AI137"/>
    <mergeCell ref="AJ136:AJ137"/>
    <mergeCell ref="A138:A139"/>
    <mergeCell ref="B138:B139"/>
    <mergeCell ref="C138:C139"/>
    <mergeCell ref="D138:D139"/>
    <mergeCell ref="E138:E139"/>
    <mergeCell ref="F138:F139"/>
    <mergeCell ref="G138:G139"/>
    <mergeCell ref="H138:H139"/>
    <mergeCell ref="S136:S137"/>
    <mergeCell ref="X136:X137"/>
    <mergeCell ref="Y136:Y137"/>
    <mergeCell ref="Z136:Z137"/>
    <mergeCell ref="AA136:AA137"/>
    <mergeCell ref="AB136:AB137"/>
    <mergeCell ref="M136:M137"/>
    <mergeCell ref="N136:N137"/>
    <mergeCell ref="O136:O137"/>
    <mergeCell ref="P136:P137"/>
    <mergeCell ref="Q136:Q137"/>
    <mergeCell ref="R136:R137"/>
    <mergeCell ref="G136:G137"/>
    <mergeCell ref="H136:H137"/>
    <mergeCell ref="I136:I137"/>
    <mergeCell ref="J136:J137"/>
    <mergeCell ref="K136:K137"/>
    <mergeCell ref="L136:L137"/>
    <mergeCell ref="A136:A137"/>
    <mergeCell ref="B136:B137"/>
    <mergeCell ref="C136:C137"/>
    <mergeCell ref="D136:D137"/>
    <mergeCell ref="E140:E141"/>
    <mergeCell ref="F140:F141"/>
    <mergeCell ref="Y138:Y139"/>
    <mergeCell ref="Z138:Z139"/>
    <mergeCell ref="AA138:AA139"/>
    <mergeCell ref="AB138:AB139"/>
    <mergeCell ref="AI138:AI139"/>
    <mergeCell ref="AJ138:AJ139"/>
    <mergeCell ref="O138:O139"/>
    <mergeCell ref="P138:P139"/>
    <mergeCell ref="Q138:Q139"/>
    <mergeCell ref="R138:R139"/>
    <mergeCell ref="S138:S139"/>
    <mergeCell ref="X138:X139"/>
    <mergeCell ref="I138:I139"/>
    <mergeCell ref="J138:J139"/>
    <mergeCell ref="K138:K139"/>
    <mergeCell ref="L138:L139"/>
    <mergeCell ref="M138:M139"/>
    <mergeCell ref="N138:N139"/>
    <mergeCell ref="AI140:AI141"/>
    <mergeCell ref="AJ140:AJ141"/>
    <mergeCell ref="A142:A143"/>
    <mergeCell ref="B142:B143"/>
    <mergeCell ref="C142:C143"/>
    <mergeCell ref="D142:D143"/>
    <mergeCell ref="E142:E143"/>
    <mergeCell ref="F142:F143"/>
    <mergeCell ref="G142:G143"/>
    <mergeCell ref="H142:H143"/>
    <mergeCell ref="S140:S141"/>
    <mergeCell ref="X140:X141"/>
    <mergeCell ref="Y140:Y141"/>
    <mergeCell ref="Z140:Z141"/>
    <mergeCell ref="AA140:AA141"/>
    <mergeCell ref="AB140:AB141"/>
    <mergeCell ref="M140:M141"/>
    <mergeCell ref="N140:N141"/>
    <mergeCell ref="O140:O141"/>
    <mergeCell ref="P140:P141"/>
    <mergeCell ref="Q140:Q141"/>
    <mergeCell ref="R140:R141"/>
    <mergeCell ref="G140:G141"/>
    <mergeCell ref="H140:H141"/>
    <mergeCell ref="I140:I141"/>
    <mergeCell ref="J140:J141"/>
    <mergeCell ref="K140:K141"/>
    <mergeCell ref="L140:L141"/>
    <mergeCell ref="A140:A141"/>
    <mergeCell ref="B140:B141"/>
    <mergeCell ref="C140:C141"/>
    <mergeCell ref="D140:D141"/>
    <mergeCell ref="E144:E145"/>
    <mergeCell ref="F144:F145"/>
    <mergeCell ref="Y142:Y143"/>
    <mergeCell ref="Z142:Z143"/>
    <mergeCell ref="AA142:AA143"/>
    <mergeCell ref="AB142:AB143"/>
    <mergeCell ref="AI142:AI143"/>
    <mergeCell ref="AJ142:AJ143"/>
    <mergeCell ref="O142:O143"/>
    <mergeCell ref="P142:P143"/>
    <mergeCell ref="Q142:Q143"/>
    <mergeCell ref="R142:R143"/>
    <mergeCell ref="S142:S143"/>
    <mergeCell ref="X142:X143"/>
    <mergeCell ref="I142:I143"/>
    <mergeCell ref="J142:J143"/>
    <mergeCell ref="K142:K143"/>
    <mergeCell ref="L142:L143"/>
    <mergeCell ref="M142:M143"/>
    <mergeCell ref="N142:N143"/>
    <mergeCell ref="AI144:AI145"/>
    <mergeCell ref="AJ144:AJ145"/>
    <mergeCell ref="A146:A147"/>
    <mergeCell ref="B146:B147"/>
    <mergeCell ref="C146:C147"/>
    <mergeCell ref="D146:D147"/>
    <mergeCell ref="E146:E147"/>
    <mergeCell ref="F146:F147"/>
    <mergeCell ref="G146:G147"/>
    <mergeCell ref="H146:H147"/>
    <mergeCell ref="S144:S145"/>
    <mergeCell ref="X144:X145"/>
    <mergeCell ref="Y144:Y145"/>
    <mergeCell ref="Z144:Z145"/>
    <mergeCell ref="AA144:AA145"/>
    <mergeCell ref="AB144:AB145"/>
    <mergeCell ref="M144:M145"/>
    <mergeCell ref="N144:N145"/>
    <mergeCell ref="O144:O145"/>
    <mergeCell ref="P144:P145"/>
    <mergeCell ref="Q144:Q145"/>
    <mergeCell ref="R144:R145"/>
    <mergeCell ref="G144:G145"/>
    <mergeCell ref="H144:H145"/>
    <mergeCell ref="I144:I145"/>
    <mergeCell ref="J144:J145"/>
    <mergeCell ref="K144:K145"/>
    <mergeCell ref="L144:L145"/>
    <mergeCell ref="A144:A145"/>
    <mergeCell ref="B144:B145"/>
    <mergeCell ref="C144:C145"/>
    <mergeCell ref="D144:D145"/>
    <mergeCell ref="E148:E149"/>
    <mergeCell ref="F148:F149"/>
    <mergeCell ref="Y146:Y147"/>
    <mergeCell ref="Z146:Z147"/>
    <mergeCell ref="AA146:AA147"/>
    <mergeCell ref="AB146:AB147"/>
    <mergeCell ref="AI146:AI147"/>
    <mergeCell ref="AJ146:AJ147"/>
    <mergeCell ref="O146:O147"/>
    <mergeCell ref="P146:P147"/>
    <mergeCell ref="Q146:Q147"/>
    <mergeCell ref="R146:R147"/>
    <mergeCell ref="S146:S147"/>
    <mergeCell ref="X146:X147"/>
    <mergeCell ref="I146:I147"/>
    <mergeCell ref="J146:J147"/>
    <mergeCell ref="K146:K147"/>
    <mergeCell ref="L146:L147"/>
    <mergeCell ref="M146:M147"/>
    <mergeCell ref="N146:N147"/>
    <mergeCell ref="AI148:AI149"/>
    <mergeCell ref="AJ148:AJ149"/>
    <mergeCell ref="A150:A151"/>
    <mergeCell ref="B150:B151"/>
    <mergeCell ref="C150:C151"/>
    <mergeCell ref="D150:D151"/>
    <mergeCell ref="E150:E151"/>
    <mergeCell ref="F150:F151"/>
    <mergeCell ref="G150:G151"/>
    <mergeCell ref="H150:H151"/>
    <mergeCell ref="S148:S149"/>
    <mergeCell ref="X148:X149"/>
    <mergeCell ref="Y148:Y149"/>
    <mergeCell ref="Z148:Z149"/>
    <mergeCell ref="AA148:AA149"/>
    <mergeCell ref="AB148:AB149"/>
    <mergeCell ref="M148:M149"/>
    <mergeCell ref="N148:N149"/>
    <mergeCell ref="O148:O149"/>
    <mergeCell ref="P148:P149"/>
    <mergeCell ref="Q148:Q149"/>
    <mergeCell ref="R148:R149"/>
    <mergeCell ref="G148:G149"/>
    <mergeCell ref="H148:H149"/>
    <mergeCell ref="I148:I149"/>
    <mergeCell ref="J148:J149"/>
    <mergeCell ref="K148:K149"/>
    <mergeCell ref="L148:L149"/>
    <mergeCell ref="A148:A149"/>
    <mergeCell ref="B148:B149"/>
    <mergeCell ref="C148:C149"/>
    <mergeCell ref="D148:D149"/>
    <mergeCell ref="E152:E153"/>
    <mergeCell ref="F152:F153"/>
    <mergeCell ref="Y150:Y151"/>
    <mergeCell ref="Z150:Z151"/>
    <mergeCell ref="AA150:AA151"/>
    <mergeCell ref="AB150:AB151"/>
    <mergeCell ref="AI150:AI151"/>
    <mergeCell ref="AJ150:AJ151"/>
    <mergeCell ref="O150:O151"/>
    <mergeCell ref="P150:P151"/>
    <mergeCell ref="Q150:Q151"/>
    <mergeCell ref="R150:R151"/>
    <mergeCell ref="S150:S151"/>
    <mergeCell ref="X150:X151"/>
    <mergeCell ref="I150:I151"/>
    <mergeCell ref="J150:J151"/>
    <mergeCell ref="K150:K151"/>
    <mergeCell ref="L150:L151"/>
    <mergeCell ref="M150:M151"/>
    <mergeCell ref="N150:N151"/>
    <mergeCell ref="AI152:AI153"/>
    <mergeCell ref="AJ152:AJ153"/>
    <mergeCell ref="A154:A155"/>
    <mergeCell ref="B154:B155"/>
    <mergeCell ref="C154:C155"/>
    <mergeCell ref="D154:D155"/>
    <mergeCell ref="E154:E155"/>
    <mergeCell ref="F154:F155"/>
    <mergeCell ref="G154:G155"/>
    <mergeCell ref="H154:H155"/>
    <mergeCell ref="S152:S153"/>
    <mergeCell ref="X152:X153"/>
    <mergeCell ref="Y152:Y153"/>
    <mergeCell ref="Z152:Z153"/>
    <mergeCell ref="AA152:AA153"/>
    <mergeCell ref="AB152:AB153"/>
    <mergeCell ref="M152:M153"/>
    <mergeCell ref="N152:N153"/>
    <mergeCell ref="O152:O153"/>
    <mergeCell ref="P152:P153"/>
    <mergeCell ref="Q152:Q153"/>
    <mergeCell ref="R152:R153"/>
    <mergeCell ref="G152:G153"/>
    <mergeCell ref="H152:H153"/>
    <mergeCell ref="I152:I153"/>
    <mergeCell ref="J152:J153"/>
    <mergeCell ref="K152:K153"/>
    <mergeCell ref="L152:L153"/>
    <mergeCell ref="A152:A153"/>
    <mergeCell ref="B152:B153"/>
    <mergeCell ref="C152:C153"/>
    <mergeCell ref="D152:D153"/>
    <mergeCell ref="E156:E157"/>
    <mergeCell ref="F156:F157"/>
    <mergeCell ref="Y154:Y155"/>
    <mergeCell ref="Z154:Z155"/>
    <mergeCell ref="AA154:AA155"/>
    <mergeCell ref="AB154:AB155"/>
    <mergeCell ref="AI154:AI155"/>
    <mergeCell ref="AJ154:AJ155"/>
    <mergeCell ref="O154:O155"/>
    <mergeCell ref="P154:P155"/>
    <mergeCell ref="Q154:Q155"/>
    <mergeCell ref="R154:R155"/>
    <mergeCell ref="S154:S155"/>
    <mergeCell ref="X154:X155"/>
    <mergeCell ref="I154:I155"/>
    <mergeCell ref="J154:J155"/>
    <mergeCell ref="K154:K155"/>
    <mergeCell ref="L154:L155"/>
    <mergeCell ref="M154:M155"/>
    <mergeCell ref="N154:N155"/>
    <mergeCell ref="AI156:AI157"/>
    <mergeCell ref="AJ156:AJ157"/>
    <mergeCell ref="A158:A159"/>
    <mergeCell ref="B158:B159"/>
    <mergeCell ref="C158:C159"/>
    <mergeCell ref="D158:D159"/>
    <mergeCell ref="E158:E159"/>
    <mergeCell ref="F158:F159"/>
    <mergeCell ref="G158:G159"/>
    <mergeCell ref="H158:H159"/>
    <mergeCell ref="S156:S157"/>
    <mergeCell ref="X156:X157"/>
    <mergeCell ref="Y156:Y157"/>
    <mergeCell ref="Z156:Z157"/>
    <mergeCell ref="AA156:AA157"/>
    <mergeCell ref="AB156:AB157"/>
    <mergeCell ref="M156:M157"/>
    <mergeCell ref="N156:N157"/>
    <mergeCell ref="O156:O157"/>
    <mergeCell ref="P156:P157"/>
    <mergeCell ref="Q156:Q157"/>
    <mergeCell ref="R156:R157"/>
    <mergeCell ref="G156:G157"/>
    <mergeCell ref="H156:H157"/>
    <mergeCell ref="I156:I157"/>
    <mergeCell ref="J156:J157"/>
    <mergeCell ref="K156:K157"/>
    <mergeCell ref="L156:L157"/>
    <mergeCell ref="A156:A157"/>
    <mergeCell ref="B156:B157"/>
    <mergeCell ref="C156:C157"/>
    <mergeCell ref="D156:D157"/>
    <mergeCell ref="E160:E161"/>
    <mergeCell ref="F160:F161"/>
    <mergeCell ref="Y158:Y159"/>
    <mergeCell ref="Z158:Z159"/>
    <mergeCell ref="AA158:AA159"/>
    <mergeCell ref="AB158:AB159"/>
    <mergeCell ref="AI158:AI159"/>
    <mergeCell ref="AJ158:AJ159"/>
    <mergeCell ref="O158:O159"/>
    <mergeCell ref="P158:P159"/>
    <mergeCell ref="Q158:Q159"/>
    <mergeCell ref="R158:R159"/>
    <mergeCell ref="S158:S159"/>
    <mergeCell ref="X158:X159"/>
    <mergeCell ref="I158:I159"/>
    <mergeCell ref="J158:J159"/>
    <mergeCell ref="K158:K159"/>
    <mergeCell ref="L158:L159"/>
    <mergeCell ref="M158:M159"/>
    <mergeCell ref="N158:N159"/>
    <mergeCell ref="AI160:AI161"/>
    <mergeCell ref="AJ160:AJ161"/>
    <mergeCell ref="A162:A163"/>
    <mergeCell ref="B162:B163"/>
    <mergeCell ref="C162:C163"/>
    <mergeCell ref="D162:D163"/>
    <mergeCell ref="E162:E163"/>
    <mergeCell ref="F162:F163"/>
    <mergeCell ref="G162:G163"/>
    <mergeCell ref="H162:H163"/>
    <mergeCell ref="S160:S161"/>
    <mergeCell ref="X160:X161"/>
    <mergeCell ref="Y160:Y161"/>
    <mergeCell ref="Z160:Z161"/>
    <mergeCell ref="AA160:AA161"/>
    <mergeCell ref="AB160:AB161"/>
    <mergeCell ref="M160:M161"/>
    <mergeCell ref="N160:N161"/>
    <mergeCell ref="O160:O161"/>
    <mergeCell ref="P160:P161"/>
    <mergeCell ref="Q160:Q161"/>
    <mergeCell ref="R160:R161"/>
    <mergeCell ref="G160:G161"/>
    <mergeCell ref="H160:H161"/>
    <mergeCell ref="I160:I161"/>
    <mergeCell ref="J160:J161"/>
    <mergeCell ref="K160:K161"/>
    <mergeCell ref="L160:L161"/>
    <mergeCell ref="A160:A161"/>
    <mergeCell ref="B160:B161"/>
    <mergeCell ref="C160:C161"/>
    <mergeCell ref="D160:D161"/>
    <mergeCell ref="E164:E165"/>
    <mergeCell ref="F164:F165"/>
    <mergeCell ref="Y162:Y163"/>
    <mergeCell ref="Z162:Z163"/>
    <mergeCell ref="AA162:AA163"/>
    <mergeCell ref="AB162:AB163"/>
    <mergeCell ref="AI162:AI163"/>
    <mergeCell ref="AJ162:AJ163"/>
    <mergeCell ref="O162:O163"/>
    <mergeCell ref="P162:P163"/>
    <mergeCell ref="Q162:Q163"/>
    <mergeCell ref="R162:R163"/>
    <mergeCell ref="S162:S163"/>
    <mergeCell ref="X162:X163"/>
    <mergeCell ref="I162:I163"/>
    <mergeCell ref="J162:J163"/>
    <mergeCell ref="K162:K163"/>
    <mergeCell ref="L162:L163"/>
    <mergeCell ref="M162:M163"/>
    <mergeCell ref="N162:N163"/>
    <mergeCell ref="AI164:AI165"/>
    <mergeCell ref="AJ164:AJ165"/>
    <mergeCell ref="A166:A167"/>
    <mergeCell ref="B166:B167"/>
    <mergeCell ref="C166:C167"/>
    <mergeCell ref="D166:D167"/>
    <mergeCell ref="E166:E167"/>
    <mergeCell ref="F166:F167"/>
    <mergeCell ref="G166:G167"/>
    <mergeCell ref="H166:H167"/>
    <mergeCell ref="S164:S165"/>
    <mergeCell ref="X164:X165"/>
    <mergeCell ref="Y164:Y165"/>
    <mergeCell ref="Z164:Z165"/>
    <mergeCell ref="AA164:AA165"/>
    <mergeCell ref="AB164:AB165"/>
    <mergeCell ref="M164:M165"/>
    <mergeCell ref="N164:N165"/>
    <mergeCell ref="O164:O165"/>
    <mergeCell ref="P164:P165"/>
    <mergeCell ref="Q164:Q165"/>
    <mergeCell ref="R164:R165"/>
    <mergeCell ref="G164:G165"/>
    <mergeCell ref="H164:H165"/>
    <mergeCell ref="I164:I165"/>
    <mergeCell ref="J164:J165"/>
    <mergeCell ref="K164:K165"/>
    <mergeCell ref="L164:L165"/>
    <mergeCell ref="A164:A165"/>
    <mergeCell ref="B164:B165"/>
    <mergeCell ref="C164:C165"/>
    <mergeCell ref="D164:D165"/>
    <mergeCell ref="E168:E169"/>
    <mergeCell ref="F168:F169"/>
    <mergeCell ref="Y166:Y167"/>
    <mergeCell ref="Z166:Z167"/>
    <mergeCell ref="AA166:AA167"/>
    <mergeCell ref="AB166:AB167"/>
    <mergeCell ref="AI166:AI167"/>
    <mergeCell ref="AJ166:AJ167"/>
    <mergeCell ref="O166:O167"/>
    <mergeCell ref="P166:P167"/>
    <mergeCell ref="Q166:Q167"/>
    <mergeCell ref="R166:R167"/>
    <mergeCell ref="S166:S167"/>
    <mergeCell ref="X166:X167"/>
    <mergeCell ref="I166:I167"/>
    <mergeCell ref="J166:J167"/>
    <mergeCell ref="K166:K167"/>
    <mergeCell ref="L166:L167"/>
    <mergeCell ref="M166:M167"/>
    <mergeCell ref="N166:N167"/>
    <mergeCell ref="AI168:AI169"/>
    <mergeCell ref="AJ168:AJ169"/>
    <mergeCell ref="A170:A171"/>
    <mergeCell ref="B170:B171"/>
    <mergeCell ref="C170:C171"/>
    <mergeCell ref="D170:D171"/>
    <mergeCell ref="E170:E171"/>
    <mergeCell ref="F170:F171"/>
    <mergeCell ref="G170:G171"/>
    <mergeCell ref="H170:H171"/>
    <mergeCell ref="S168:S169"/>
    <mergeCell ref="X168:X169"/>
    <mergeCell ref="Y168:Y169"/>
    <mergeCell ref="Z168:Z169"/>
    <mergeCell ref="AA168:AA169"/>
    <mergeCell ref="AB168:AB169"/>
    <mergeCell ref="M168:M169"/>
    <mergeCell ref="N168:N169"/>
    <mergeCell ref="O168:O169"/>
    <mergeCell ref="P168:P169"/>
    <mergeCell ref="Q168:Q169"/>
    <mergeCell ref="R168:R169"/>
    <mergeCell ref="G168:G169"/>
    <mergeCell ref="H168:H169"/>
    <mergeCell ref="I168:I169"/>
    <mergeCell ref="J168:J169"/>
    <mergeCell ref="K168:K169"/>
    <mergeCell ref="L168:L169"/>
    <mergeCell ref="A168:A169"/>
    <mergeCell ref="B168:B169"/>
    <mergeCell ref="C168:C169"/>
    <mergeCell ref="D168:D169"/>
    <mergeCell ref="E172:E173"/>
    <mergeCell ref="F172:F173"/>
    <mergeCell ref="Y170:Y171"/>
    <mergeCell ref="Z170:Z171"/>
    <mergeCell ref="AA170:AA171"/>
    <mergeCell ref="AB170:AB171"/>
    <mergeCell ref="AI170:AI171"/>
    <mergeCell ref="AJ170:AJ171"/>
    <mergeCell ref="O170:O171"/>
    <mergeCell ref="P170:P171"/>
    <mergeCell ref="Q170:Q171"/>
    <mergeCell ref="R170:R171"/>
    <mergeCell ref="S170:S171"/>
    <mergeCell ref="X170:X171"/>
    <mergeCell ref="I170:I171"/>
    <mergeCell ref="J170:J171"/>
    <mergeCell ref="K170:K171"/>
    <mergeCell ref="L170:L171"/>
    <mergeCell ref="M170:M171"/>
    <mergeCell ref="N170:N171"/>
    <mergeCell ref="AI172:AI173"/>
    <mergeCell ref="AJ172:AJ173"/>
    <mergeCell ref="A174:A175"/>
    <mergeCell ref="B174:B175"/>
    <mergeCell ref="C174:C175"/>
    <mergeCell ref="D174:D175"/>
    <mergeCell ref="E174:E175"/>
    <mergeCell ref="F174:F175"/>
    <mergeCell ref="G174:G175"/>
    <mergeCell ref="H174:H175"/>
    <mergeCell ref="S172:S173"/>
    <mergeCell ref="X172:X173"/>
    <mergeCell ref="Y172:Y173"/>
    <mergeCell ref="Z172:Z173"/>
    <mergeCell ref="AA172:AA173"/>
    <mergeCell ref="AB172:AB173"/>
    <mergeCell ref="M172:M173"/>
    <mergeCell ref="N172:N173"/>
    <mergeCell ref="O172:O173"/>
    <mergeCell ref="P172:P173"/>
    <mergeCell ref="Q172:Q173"/>
    <mergeCell ref="R172:R173"/>
    <mergeCell ref="G172:G173"/>
    <mergeCell ref="H172:H173"/>
    <mergeCell ref="I172:I173"/>
    <mergeCell ref="J172:J173"/>
    <mergeCell ref="K172:K173"/>
    <mergeCell ref="L172:L173"/>
    <mergeCell ref="A172:A173"/>
    <mergeCell ref="B172:B173"/>
    <mergeCell ref="C172:C173"/>
    <mergeCell ref="D172:D173"/>
    <mergeCell ref="E176:E177"/>
    <mergeCell ref="F176:F177"/>
    <mergeCell ref="Y174:Y175"/>
    <mergeCell ref="Z174:Z175"/>
    <mergeCell ref="AA174:AA175"/>
    <mergeCell ref="AB174:AB175"/>
    <mergeCell ref="AI174:AI175"/>
    <mergeCell ref="AJ174:AJ175"/>
    <mergeCell ref="O174:O175"/>
    <mergeCell ref="P174:P175"/>
    <mergeCell ref="Q174:Q175"/>
    <mergeCell ref="R174:R175"/>
    <mergeCell ref="S174:S175"/>
    <mergeCell ref="X174:X175"/>
    <mergeCell ref="I174:I175"/>
    <mergeCell ref="J174:J175"/>
    <mergeCell ref="K174:K175"/>
    <mergeCell ref="L174:L175"/>
    <mergeCell ref="M174:M175"/>
    <mergeCell ref="N174:N175"/>
    <mergeCell ref="AI176:AI177"/>
    <mergeCell ref="AJ176:AJ177"/>
    <mergeCell ref="A178:A179"/>
    <mergeCell ref="B178:B179"/>
    <mergeCell ref="C178:C179"/>
    <mergeCell ref="D178:D179"/>
    <mergeCell ref="E178:E179"/>
    <mergeCell ref="F178:F179"/>
    <mergeCell ref="G178:G179"/>
    <mergeCell ref="H178:H179"/>
    <mergeCell ref="S176:S177"/>
    <mergeCell ref="X176:X177"/>
    <mergeCell ref="Y176:Y177"/>
    <mergeCell ref="Z176:Z177"/>
    <mergeCell ref="AA176:AA177"/>
    <mergeCell ref="AB176:AB177"/>
    <mergeCell ref="M176:M177"/>
    <mergeCell ref="N176:N177"/>
    <mergeCell ref="O176:O177"/>
    <mergeCell ref="P176:P177"/>
    <mergeCell ref="Q176:Q177"/>
    <mergeCell ref="R176:R177"/>
    <mergeCell ref="G176:G177"/>
    <mergeCell ref="H176:H177"/>
    <mergeCell ref="I176:I177"/>
    <mergeCell ref="J176:J177"/>
    <mergeCell ref="K176:K177"/>
    <mergeCell ref="L176:L177"/>
    <mergeCell ref="A176:A177"/>
    <mergeCell ref="B176:B177"/>
    <mergeCell ref="C176:C177"/>
    <mergeCell ref="D176:D177"/>
    <mergeCell ref="E180:E181"/>
    <mergeCell ref="F180:F181"/>
    <mergeCell ref="Y178:Y179"/>
    <mergeCell ref="Z178:Z179"/>
    <mergeCell ref="AA178:AA179"/>
    <mergeCell ref="AB178:AB179"/>
    <mergeCell ref="AI178:AI179"/>
    <mergeCell ref="AJ178:AJ179"/>
    <mergeCell ref="O178:O179"/>
    <mergeCell ref="P178:P179"/>
    <mergeCell ref="Q178:Q179"/>
    <mergeCell ref="R178:R179"/>
    <mergeCell ref="S178:S179"/>
    <mergeCell ref="X178:X179"/>
    <mergeCell ref="I178:I179"/>
    <mergeCell ref="J178:J179"/>
    <mergeCell ref="K178:K179"/>
    <mergeCell ref="L178:L179"/>
    <mergeCell ref="M178:M179"/>
    <mergeCell ref="N178:N179"/>
    <mergeCell ref="AI180:AI181"/>
    <mergeCell ref="AJ180:AJ181"/>
    <mergeCell ref="A182:A183"/>
    <mergeCell ref="B182:B183"/>
    <mergeCell ref="C182:C183"/>
    <mergeCell ref="D182:D183"/>
    <mergeCell ref="E182:E183"/>
    <mergeCell ref="F182:F183"/>
    <mergeCell ref="G182:G183"/>
    <mergeCell ref="H182:H183"/>
    <mergeCell ref="S180:S181"/>
    <mergeCell ref="X180:X181"/>
    <mergeCell ref="Y180:Y181"/>
    <mergeCell ref="Z180:Z181"/>
    <mergeCell ref="AA180:AA181"/>
    <mergeCell ref="AB180:AB181"/>
    <mergeCell ref="M180:M181"/>
    <mergeCell ref="N180:N181"/>
    <mergeCell ref="O180:O181"/>
    <mergeCell ref="P180:P181"/>
    <mergeCell ref="Q180:Q181"/>
    <mergeCell ref="R180:R181"/>
    <mergeCell ref="G180:G181"/>
    <mergeCell ref="H180:H181"/>
    <mergeCell ref="I180:I181"/>
    <mergeCell ref="J180:J181"/>
    <mergeCell ref="K180:K181"/>
    <mergeCell ref="L180:L181"/>
    <mergeCell ref="A180:A181"/>
    <mergeCell ref="B180:B181"/>
    <mergeCell ref="C180:C181"/>
    <mergeCell ref="D180:D181"/>
    <mergeCell ref="E184:E185"/>
    <mergeCell ref="F184:F185"/>
    <mergeCell ref="Y182:Y183"/>
    <mergeCell ref="Z182:Z183"/>
    <mergeCell ref="AA182:AA183"/>
    <mergeCell ref="AB182:AB183"/>
    <mergeCell ref="AI182:AI183"/>
    <mergeCell ref="AJ182:AJ183"/>
    <mergeCell ref="O182:O183"/>
    <mergeCell ref="P182:P183"/>
    <mergeCell ref="Q182:Q183"/>
    <mergeCell ref="R182:R183"/>
    <mergeCell ref="S182:S183"/>
    <mergeCell ref="X182:X183"/>
    <mergeCell ref="I182:I183"/>
    <mergeCell ref="J182:J183"/>
    <mergeCell ref="K182:K183"/>
    <mergeCell ref="L182:L183"/>
    <mergeCell ref="M182:M183"/>
    <mergeCell ref="N182:N183"/>
    <mergeCell ref="AI184:AI185"/>
    <mergeCell ref="AJ184:AJ185"/>
    <mergeCell ref="A186:A187"/>
    <mergeCell ref="B186:B187"/>
    <mergeCell ref="C186:C187"/>
    <mergeCell ref="D186:D187"/>
    <mergeCell ref="E186:E187"/>
    <mergeCell ref="F186:F187"/>
    <mergeCell ref="G186:G187"/>
    <mergeCell ref="H186:H187"/>
    <mergeCell ref="S184:S185"/>
    <mergeCell ref="X184:X185"/>
    <mergeCell ref="Y184:Y185"/>
    <mergeCell ref="Z184:Z185"/>
    <mergeCell ref="AA184:AA185"/>
    <mergeCell ref="AB184:AB185"/>
    <mergeCell ref="M184:M185"/>
    <mergeCell ref="N184:N185"/>
    <mergeCell ref="O184:O185"/>
    <mergeCell ref="P184:P185"/>
    <mergeCell ref="Q184:Q185"/>
    <mergeCell ref="R184:R185"/>
    <mergeCell ref="G184:G185"/>
    <mergeCell ref="H184:H185"/>
    <mergeCell ref="I184:I185"/>
    <mergeCell ref="J184:J185"/>
    <mergeCell ref="K184:K185"/>
    <mergeCell ref="L184:L185"/>
    <mergeCell ref="A184:A185"/>
    <mergeCell ref="B184:B185"/>
    <mergeCell ref="C184:C185"/>
    <mergeCell ref="D184:D185"/>
    <mergeCell ref="E188:E189"/>
    <mergeCell ref="F188:F189"/>
    <mergeCell ref="Y186:Y187"/>
    <mergeCell ref="Z186:Z187"/>
    <mergeCell ref="AA186:AA187"/>
    <mergeCell ref="AB186:AB187"/>
    <mergeCell ref="AI186:AI187"/>
    <mergeCell ref="AJ186:AJ187"/>
    <mergeCell ref="O186:O187"/>
    <mergeCell ref="P186:P187"/>
    <mergeCell ref="Q186:Q187"/>
    <mergeCell ref="R186:R187"/>
    <mergeCell ref="S186:S187"/>
    <mergeCell ref="X186:X187"/>
    <mergeCell ref="I186:I187"/>
    <mergeCell ref="J186:J187"/>
    <mergeCell ref="K186:K187"/>
    <mergeCell ref="L186:L187"/>
    <mergeCell ref="M186:M187"/>
    <mergeCell ref="N186:N187"/>
    <mergeCell ref="AI188:AI189"/>
    <mergeCell ref="AJ188:AJ189"/>
    <mergeCell ref="A190:A191"/>
    <mergeCell ref="B190:B191"/>
    <mergeCell ref="C190:C191"/>
    <mergeCell ref="D190:D191"/>
    <mergeCell ref="E190:E191"/>
    <mergeCell ref="F190:F191"/>
    <mergeCell ref="G190:G191"/>
    <mergeCell ref="H190:H191"/>
    <mergeCell ref="S188:S189"/>
    <mergeCell ref="X188:X189"/>
    <mergeCell ref="Y188:Y189"/>
    <mergeCell ref="Z188:Z189"/>
    <mergeCell ref="AA188:AA189"/>
    <mergeCell ref="AB188:AB189"/>
    <mergeCell ref="M188:M189"/>
    <mergeCell ref="N188:N189"/>
    <mergeCell ref="O188:O189"/>
    <mergeCell ref="P188:P189"/>
    <mergeCell ref="Q188:Q189"/>
    <mergeCell ref="R188:R189"/>
    <mergeCell ref="G188:G189"/>
    <mergeCell ref="H188:H189"/>
    <mergeCell ref="I188:I189"/>
    <mergeCell ref="J188:J189"/>
    <mergeCell ref="K188:K189"/>
    <mergeCell ref="L188:L189"/>
    <mergeCell ref="A188:A189"/>
    <mergeCell ref="B188:B189"/>
    <mergeCell ref="C188:C189"/>
    <mergeCell ref="D188:D189"/>
    <mergeCell ref="E192:E193"/>
    <mergeCell ref="F192:F193"/>
    <mergeCell ref="Y190:Y191"/>
    <mergeCell ref="Z190:Z191"/>
    <mergeCell ref="AA190:AA191"/>
    <mergeCell ref="AB190:AB191"/>
    <mergeCell ref="AI190:AI191"/>
    <mergeCell ref="AJ190:AJ191"/>
    <mergeCell ref="O190:O191"/>
    <mergeCell ref="P190:P191"/>
    <mergeCell ref="Q190:Q191"/>
    <mergeCell ref="R190:R191"/>
    <mergeCell ref="S190:S191"/>
    <mergeCell ref="X190:X191"/>
    <mergeCell ref="I190:I191"/>
    <mergeCell ref="J190:J191"/>
    <mergeCell ref="K190:K191"/>
    <mergeCell ref="L190:L191"/>
    <mergeCell ref="M190:M191"/>
    <mergeCell ref="N190:N191"/>
    <mergeCell ref="AI192:AI193"/>
    <mergeCell ref="AJ192:AJ193"/>
    <mergeCell ref="A194:A195"/>
    <mergeCell ref="B194:B195"/>
    <mergeCell ref="C194:C195"/>
    <mergeCell ref="D194:D195"/>
    <mergeCell ref="E194:E195"/>
    <mergeCell ref="F194:F195"/>
    <mergeCell ref="G194:G195"/>
    <mergeCell ref="H194:H195"/>
    <mergeCell ref="S192:S193"/>
    <mergeCell ref="X192:X193"/>
    <mergeCell ref="Y192:Y193"/>
    <mergeCell ref="Z192:Z193"/>
    <mergeCell ref="AA192:AA193"/>
    <mergeCell ref="AB192:AB193"/>
    <mergeCell ref="M192:M193"/>
    <mergeCell ref="N192:N193"/>
    <mergeCell ref="O192:O193"/>
    <mergeCell ref="P192:P193"/>
    <mergeCell ref="Q192:Q193"/>
    <mergeCell ref="R192:R193"/>
    <mergeCell ref="G192:G193"/>
    <mergeCell ref="H192:H193"/>
    <mergeCell ref="I192:I193"/>
    <mergeCell ref="J192:J193"/>
    <mergeCell ref="K192:K193"/>
    <mergeCell ref="L192:L193"/>
    <mergeCell ref="A192:A193"/>
    <mergeCell ref="B192:B193"/>
    <mergeCell ref="C192:C193"/>
    <mergeCell ref="D192:D193"/>
    <mergeCell ref="E196:E197"/>
    <mergeCell ref="F196:F197"/>
    <mergeCell ref="Y194:Y195"/>
    <mergeCell ref="Z194:Z195"/>
    <mergeCell ref="AA194:AA195"/>
    <mergeCell ref="AB194:AB195"/>
    <mergeCell ref="AI194:AI195"/>
    <mergeCell ref="AJ194:AJ195"/>
    <mergeCell ref="O194:O195"/>
    <mergeCell ref="P194:P195"/>
    <mergeCell ref="Q194:Q195"/>
    <mergeCell ref="R194:R195"/>
    <mergeCell ref="S194:S195"/>
    <mergeCell ref="X194:X195"/>
    <mergeCell ref="I194:I195"/>
    <mergeCell ref="J194:J195"/>
    <mergeCell ref="K194:K195"/>
    <mergeCell ref="L194:L195"/>
    <mergeCell ref="M194:M195"/>
    <mergeCell ref="N194:N195"/>
    <mergeCell ref="AI196:AI197"/>
    <mergeCell ref="AJ196:AJ197"/>
    <mergeCell ref="A198:A199"/>
    <mergeCell ref="B198:B199"/>
    <mergeCell ref="C198:C199"/>
    <mergeCell ref="D198:D199"/>
    <mergeCell ref="E198:E199"/>
    <mergeCell ref="F198:F199"/>
    <mergeCell ref="G198:G199"/>
    <mergeCell ref="H198:H199"/>
    <mergeCell ref="S196:S197"/>
    <mergeCell ref="X196:X197"/>
    <mergeCell ref="Y196:Y197"/>
    <mergeCell ref="Z196:Z197"/>
    <mergeCell ref="AA196:AA197"/>
    <mergeCell ref="AB196:AB197"/>
    <mergeCell ref="M196:M197"/>
    <mergeCell ref="N196:N197"/>
    <mergeCell ref="O196:O197"/>
    <mergeCell ref="P196:P197"/>
    <mergeCell ref="Q196:Q197"/>
    <mergeCell ref="R196:R197"/>
    <mergeCell ref="G196:G197"/>
    <mergeCell ref="H196:H197"/>
    <mergeCell ref="I196:I197"/>
    <mergeCell ref="J196:J197"/>
    <mergeCell ref="K196:K197"/>
    <mergeCell ref="L196:L197"/>
    <mergeCell ref="A196:A197"/>
    <mergeCell ref="B196:B197"/>
    <mergeCell ref="C196:C197"/>
    <mergeCell ref="D196:D197"/>
    <mergeCell ref="E200:E201"/>
    <mergeCell ref="F200:F201"/>
    <mergeCell ref="Y198:Y199"/>
    <mergeCell ref="Z198:Z199"/>
    <mergeCell ref="AA198:AA199"/>
    <mergeCell ref="AB198:AB199"/>
    <mergeCell ref="AI198:AI199"/>
    <mergeCell ref="AJ198:AJ199"/>
    <mergeCell ref="O198:O199"/>
    <mergeCell ref="P198:P199"/>
    <mergeCell ref="Q198:Q199"/>
    <mergeCell ref="R198:R199"/>
    <mergeCell ref="S198:S199"/>
    <mergeCell ref="X198:X199"/>
    <mergeCell ref="I198:I199"/>
    <mergeCell ref="J198:J199"/>
    <mergeCell ref="K198:K199"/>
    <mergeCell ref="L198:L199"/>
    <mergeCell ref="M198:M199"/>
    <mergeCell ref="N198:N199"/>
    <mergeCell ref="AI200:AI201"/>
    <mergeCell ref="AJ200:AJ201"/>
    <mergeCell ref="A202:A203"/>
    <mergeCell ref="B202:B203"/>
    <mergeCell ref="C202:C203"/>
    <mergeCell ref="D202:D203"/>
    <mergeCell ref="E202:E203"/>
    <mergeCell ref="F202:F203"/>
    <mergeCell ref="G202:G203"/>
    <mergeCell ref="H202:H203"/>
    <mergeCell ref="S200:S201"/>
    <mergeCell ref="X200:X201"/>
    <mergeCell ref="Y200:Y201"/>
    <mergeCell ref="Z200:Z201"/>
    <mergeCell ref="AA200:AA201"/>
    <mergeCell ref="AB200:AB201"/>
    <mergeCell ref="M200:M201"/>
    <mergeCell ref="N200:N201"/>
    <mergeCell ref="O200:O201"/>
    <mergeCell ref="P200:P201"/>
    <mergeCell ref="Q200:Q201"/>
    <mergeCell ref="R200:R201"/>
    <mergeCell ref="G200:G201"/>
    <mergeCell ref="H200:H201"/>
    <mergeCell ref="I200:I201"/>
    <mergeCell ref="J200:J201"/>
    <mergeCell ref="K200:K201"/>
    <mergeCell ref="L200:L201"/>
    <mergeCell ref="A200:A201"/>
    <mergeCell ref="B200:B201"/>
    <mergeCell ref="C200:C201"/>
    <mergeCell ref="D200:D201"/>
    <mergeCell ref="E204:E205"/>
    <mergeCell ref="F204:F205"/>
    <mergeCell ref="Y202:Y203"/>
    <mergeCell ref="Z202:Z203"/>
    <mergeCell ref="AA202:AA203"/>
    <mergeCell ref="AB202:AB203"/>
    <mergeCell ref="AI202:AI203"/>
    <mergeCell ref="AJ202:AJ203"/>
    <mergeCell ref="O202:O203"/>
    <mergeCell ref="P202:P203"/>
    <mergeCell ref="Q202:Q203"/>
    <mergeCell ref="R202:R203"/>
    <mergeCell ref="S202:S203"/>
    <mergeCell ref="X202:X203"/>
    <mergeCell ref="I202:I203"/>
    <mergeCell ref="J202:J203"/>
    <mergeCell ref="K202:K203"/>
    <mergeCell ref="L202:L203"/>
    <mergeCell ref="M202:M203"/>
    <mergeCell ref="N202:N203"/>
    <mergeCell ref="AI204:AI205"/>
    <mergeCell ref="AJ204:AJ205"/>
    <mergeCell ref="A206:A207"/>
    <mergeCell ref="B206:B207"/>
    <mergeCell ref="C206:C207"/>
    <mergeCell ref="D206:D207"/>
    <mergeCell ref="E206:E207"/>
    <mergeCell ref="F206:F207"/>
    <mergeCell ref="G206:G207"/>
    <mergeCell ref="H206:H207"/>
    <mergeCell ref="S204:S205"/>
    <mergeCell ref="X204:X205"/>
    <mergeCell ref="Y204:Y205"/>
    <mergeCell ref="Z204:Z205"/>
    <mergeCell ref="AA204:AA205"/>
    <mergeCell ref="AB204:AB205"/>
    <mergeCell ref="M204:M205"/>
    <mergeCell ref="N204:N205"/>
    <mergeCell ref="O204:O205"/>
    <mergeCell ref="P204:P205"/>
    <mergeCell ref="Q204:Q205"/>
    <mergeCell ref="R204:R205"/>
    <mergeCell ref="G204:G205"/>
    <mergeCell ref="H204:H205"/>
    <mergeCell ref="I204:I205"/>
    <mergeCell ref="J204:J205"/>
    <mergeCell ref="K204:K205"/>
    <mergeCell ref="L204:L205"/>
    <mergeCell ref="A204:A205"/>
    <mergeCell ref="B204:B205"/>
    <mergeCell ref="C204:C205"/>
    <mergeCell ref="D204:D205"/>
    <mergeCell ref="E208:E209"/>
    <mergeCell ref="F208:F209"/>
    <mergeCell ref="Y206:Y207"/>
    <mergeCell ref="Z206:Z207"/>
    <mergeCell ref="AA206:AA207"/>
    <mergeCell ref="AB206:AB207"/>
    <mergeCell ref="AI206:AI207"/>
    <mergeCell ref="AJ206:AJ207"/>
    <mergeCell ref="O206:O207"/>
    <mergeCell ref="P206:P207"/>
    <mergeCell ref="Q206:Q207"/>
    <mergeCell ref="R206:R207"/>
    <mergeCell ref="S206:S207"/>
    <mergeCell ref="X206:X207"/>
    <mergeCell ref="I206:I207"/>
    <mergeCell ref="J206:J207"/>
    <mergeCell ref="K206:K207"/>
    <mergeCell ref="L206:L207"/>
    <mergeCell ref="M206:M207"/>
    <mergeCell ref="N206:N207"/>
    <mergeCell ref="AI208:AI209"/>
    <mergeCell ref="AJ208:AJ209"/>
    <mergeCell ref="A210:A211"/>
    <mergeCell ref="B210:B211"/>
    <mergeCell ref="C210:C211"/>
    <mergeCell ref="D210:D211"/>
    <mergeCell ref="E210:E211"/>
    <mergeCell ref="F210:F211"/>
    <mergeCell ref="G210:G211"/>
    <mergeCell ref="H210:H211"/>
    <mergeCell ref="S208:S209"/>
    <mergeCell ref="X208:X209"/>
    <mergeCell ref="Y208:Y209"/>
    <mergeCell ref="Z208:Z209"/>
    <mergeCell ref="AA208:AA209"/>
    <mergeCell ref="AB208:AB209"/>
    <mergeCell ref="M208:M209"/>
    <mergeCell ref="N208:N209"/>
    <mergeCell ref="O208:O209"/>
    <mergeCell ref="P208:P209"/>
    <mergeCell ref="Q208:Q209"/>
    <mergeCell ref="R208:R209"/>
    <mergeCell ref="G208:G209"/>
    <mergeCell ref="H208:H209"/>
    <mergeCell ref="I208:I209"/>
    <mergeCell ref="J208:J209"/>
    <mergeCell ref="K208:K209"/>
    <mergeCell ref="L208:L209"/>
    <mergeCell ref="A208:A209"/>
    <mergeCell ref="B208:B209"/>
    <mergeCell ref="C208:C209"/>
    <mergeCell ref="D208:D209"/>
    <mergeCell ref="E212:E213"/>
    <mergeCell ref="F212:F213"/>
    <mergeCell ref="Y210:Y211"/>
    <mergeCell ref="Z210:Z211"/>
    <mergeCell ref="AA210:AA211"/>
    <mergeCell ref="AB210:AB211"/>
    <mergeCell ref="AI210:AI211"/>
    <mergeCell ref="AJ210:AJ211"/>
    <mergeCell ref="O210:O211"/>
    <mergeCell ref="P210:P211"/>
    <mergeCell ref="Q210:Q211"/>
    <mergeCell ref="R210:R211"/>
    <mergeCell ref="S210:S211"/>
    <mergeCell ref="X210:X211"/>
    <mergeCell ref="I210:I211"/>
    <mergeCell ref="J210:J211"/>
    <mergeCell ref="K210:K211"/>
    <mergeCell ref="L210:L211"/>
    <mergeCell ref="M210:M211"/>
    <mergeCell ref="N210:N211"/>
    <mergeCell ref="AI212:AI213"/>
    <mergeCell ref="AJ212:AJ213"/>
    <mergeCell ref="A214:A215"/>
    <mergeCell ref="B214:B215"/>
    <mergeCell ref="C214:C215"/>
    <mergeCell ref="D214:D215"/>
    <mergeCell ref="E214:E215"/>
    <mergeCell ref="F214:F215"/>
    <mergeCell ref="G214:G215"/>
    <mergeCell ref="H214:H215"/>
    <mergeCell ref="S212:S213"/>
    <mergeCell ref="X212:X213"/>
    <mergeCell ref="Y212:Y213"/>
    <mergeCell ref="Z212:Z213"/>
    <mergeCell ref="AA212:AA213"/>
    <mergeCell ref="AB212:AB213"/>
    <mergeCell ref="M212:M213"/>
    <mergeCell ref="N212:N213"/>
    <mergeCell ref="O212:O213"/>
    <mergeCell ref="P212:P213"/>
    <mergeCell ref="Q212:Q213"/>
    <mergeCell ref="R212:R213"/>
    <mergeCell ref="G212:G213"/>
    <mergeCell ref="H212:H213"/>
    <mergeCell ref="I212:I213"/>
    <mergeCell ref="J212:J213"/>
    <mergeCell ref="K212:K213"/>
    <mergeCell ref="L212:L213"/>
    <mergeCell ref="A212:A213"/>
    <mergeCell ref="B212:B213"/>
    <mergeCell ref="C212:C213"/>
    <mergeCell ref="D212:D213"/>
    <mergeCell ref="E216:E217"/>
    <mergeCell ref="F216:F217"/>
    <mergeCell ref="Y214:Y215"/>
    <mergeCell ref="Z214:Z215"/>
    <mergeCell ref="AA214:AA215"/>
    <mergeCell ref="AB214:AB215"/>
    <mergeCell ref="AI214:AI215"/>
    <mergeCell ref="AJ214:AJ215"/>
    <mergeCell ref="O214:O215"/>
    <mergeCell ref="P214:P215"/>
    <mergeCell ref="Q214:Q215"/>
    <mergeCell ref="R214:R215"/>
    <mergeCell ref="S214:S215"/>
    <mergeCell ref="X214:X215"/>
    <mergeCell ref="I214:I215"/>
    <mergeCell ref="J214:J215"/>
    <mergeCell ref="K214:K215"/>
    <mergeCell ref="L214:L215"/>
    <mergeCell ref="M214:M215"/>
    <mergeCell ref="N214:N215"/>
    <mergeCell ref="AI216:AI217"/>
    <mergeCell ref="AJ216:AJ217"/>
    <mergeCell ref="A218:A219"/>
    <mergeCell ref="B218:B219"/>
    <mergeCell ref="C218:C219"/>
    <mergeCell ref="D218:D219"/>
    <mergeCell ref="E218:E219"/>
    <mergeCell ref="F218:F219"/>
    <mergeCell ref="G218:G219"/>
    <mergeCell ref="H218:H219"/>
    <mergeCell ref="S216:S217"/>
    <mergeCell ref="X216:X217"/>
    <mergeCell ref="Y216:Y217"/>
    <mergeCell ref="Z216:Z217"/>
    <mergeCell ref="AA216:AA217"/>
    <mergeCell ref="AB216:AB217"/>
    <mergeCell ref="M216:M217"/>
    <mergeCell ref="N216:N217"/>
    <mergeCell ref="O216:O217"/>
    <mergeCell ref="P216:P217"/>
    <mergeCell ref="Q216:Q217"/>
    <mergeCell ref="R216:R217"/>
    <mergeCell ref="G216:G217"/>
    <mergeCell ref="H216:H217"/>
    <mergeCell ref="I216:I217"/>
    <mergeCell ref="J216:J217"/>
    <mergeCell ref="K216:K217"/>
    <mergeCell ref="L216:L217"/>
    <mergeCell ref="A216:A217"/>
    <mergeCell ref="B216:B217"/>
    <mergeCell ref="C216:C217"/>
    <mergeCell ref="D216:D217"/>
    <mergeCell ref="E220:E221"/>
    <mergeCell ref="F220:F221"/>
    <mergeCell ref="Y218:Y219"/>
    <mergeCell ref="Z218:Z219"/>
    <mergeCell ref="AA218:AA219"/>
    <mergeCell ref="AB218:AB219"/>
    <mergeCell ref="AI218:AI219"/>
    <mergeCell ref="AJ218:AJ219"/>
    <mergeCell ref="O218:O219"/>
    <mergeCell ref="P218:P219"/>
    <mergeCell ref="Q218:Q219"/>
    <mergeCell ref="R218:R219"/>
    <mergeCell ref="S218:S219"/>
    <mergeCell ref="X218:X219"/>
    <mergeCell ref="I218:I219"/>
    <mergeCell ref="J218:J219"/>
    <mergeCell ref="K218:K219"/>
    <mergeCell ref="L218:L219"/>
    <mergeCell ref="M218:M219"/>
    <mergeCell ref="N218:N219"/>
    <mergeCell ref="AI220:AI221"/>
    <mergeCell ref="AJ220:AJ221"/>
    <mergeCell ref="A222:A223"/>
    <mergeCell ref="B222:B223"/>
    <mergeCell ref="C222:C223"/>
    <mergeCell ref="D222:D223"/>
    <mergeCell ref="E222:E223"/>
    <mergeCell ref="F222:F223"/>
    <mergeCell ref="G222:G223"/>
    <mergeCell ref="H222:H223"/>
    <mergeCell ref="S220:S221"/>
    <mergeCell ref="X220:X221"/>
    <mergeCell ref="Y220:Y221"/>
    <mergeCell ref="Z220:Z221"/>
    <mergeCell ref="AA220:AA221"/>
    <mergeCell ref="AB220:AB221"/>
    <mergeCell ref="M220:M221"/>
    <mergeCell ref="N220:N221"/>
    <mergeCell ref="O220:O221"/>
    <mergeCell ref="P220:P221"/>
    <mergeCell ref="Q220:Q221"/>
    <mergeCell ref="R220:R221"/>
    <mergeCell ref="G220:G221"/>
    <mergeCell ref="H220:H221"/>
    <mergeCell ref="I220:I221"/>
    <mergeCell ref="J220:J221"/>
    <mergeCell ref="K220:K221"/>
    <mergeCell ref="L220:L221"/>
    <mergeCell ref="A220:A221"/>
    <mergeCell ref="B220:B221"/>
    <mergeCell ref="C220:C221"/>
    <mergeCell ref="D220:D221"/>
    <mergeCell ref="E224:E225"/>
    <mergeCell ref="F224:F225"/>
    <mergeCell ref="Y222:Y223"/>
    <mergeCell ref="Z222:Z223"/>
    <mergeCell ref="AA222:AA223"/>
    <mergeCell ref="AB222:AB223"/>
    <mergeCell ref="AI222:AI223"/>
    <mergeCell ref="AJ222:AJ223"/>
    <mergeCell ref="O222:O223"/>
    <mergeCell ref="P222:P223"/>
    <mergeCell ref="Q222:Q223"/>
    <mergeCell ref="R222:R223"/>
    <mergeCell ref="S222:S223"/>
    <mergeCell ref="X222:X223"/>
    <mergeCell ref="I222:I223"/>
    <mergeCell ref="J222:J223"/>
    <mergeCell ref="K222:K223"/>
    <mergeCell ref="L222:L223"/>
    <mergeCell ref="M222:M223"/>
    <mergeCell ref="N222:N223"/>
    <mergeCell ref="AI224:AI225"/>
    <mergeCell ref="AJ224:AJ225"/>
    <mergeCell ref="A226:A227"/>
    <mergeCell ref="B226:B227"/>
    <mergeCell ref="C226:C227"/>
    <mergeCell ref="D226:D227"/>
    <mergeCell ref="E226:E227"/>
    <mergeCell ref="F226:F227"/>
    <mergeCell ref="G226:G227"/>
    <mergeCell ref="H226:H227"/>
    <mergeCell ref="S224:S225"/>
    <mergeCell ref="X224:X225"/>
    <mergeCell ref="Y224:Y225"/>
    <mergeCell ref="Z224:Z225"/>
    <mergeCell ref="AA224:AA225"/>
    <mergeCell ref="AB224:AB225"/>
    <mergeCell ref="M224:M225"/>
    <mergeCell ref="N224:N225"/>
    <mergeCell ref="O224:O225"/>
    <mergeCell ref="P224:P225"/>
    <mergeCell ref="Q224:Q225"/>
    <mergeCell ref="R224:R225"/>
    <mergeCell ref="G224:G225"/>
    <mergeCell ref="H224:H225"/>
    <mergeCell ref="I224:I225"/>
    <mergeCell ref="J224:J225"/>
    <mergeCell ref="K224:K225"/>
    <mergeCell ref="L224:L225"/>
    <mergeCell ref="A224:A225"/>
    <mergeCell ref="B224:B225"/>
    <mergeCell ref="C224:C225"/>
    <mergeCell ref="D224:D225"/>
    <mergeCell ref="E228:E229"/>
    <mergeCell ref="F228:F229"/>
    <mergeCell ref="Y226:Y227"/>
    <mergeCell ref="Z226:Z227"/>
    <mergeCell ref="AA226:AA227"/>
    <mergeCell ref="AB226:AB227"/>
    <mergeCell ref="AI226:AI227"/>
    <mergeCell ref="AJ226:AJ227"/>
    <mergeCell ref="O226:O227"/>
    <mergeCell ref="P226:P227"/>
    <mergeCell ref="Q226:Q227"/>
    <mergeCell ref="R226:R227"/>
    <mergeCell ref="S226:S227"/>
    <mergeCell ref="X226:X227"/>
    <mergeCell ref="I226:I227"/>
    <mergeCell ref="J226:J227"/>
    <mergeCell ref="K226:K227"/>
    <mergeCell ref="L226:L227"/>
    <mergeCell ref="M226:M227"/>
    <mergeCell ref="N226:N227"/>
    <mergeCell ref="AI228:AI229"/>
    <mergeCell ref="AJ228:AJ229"/>
    <mergeCell ref="A230:A231"/>
    <mergeCell ref="B230:B231"/>
    <mergeCell ref="C230:C231"/>
    <mergeCell ref="D230:D231"/>
    <mergeCell ref="E230:E231"/>
    <mergeCell ref="F230:F231"/>
    <mergeCell ref="G230:G231"/>
    <mergeCell ref="H230:H231"/>
    <mergeCell ref="S228:S229"/>
    <mergeCell ref="X228:X229"/>
    <mergeCell ref="Y228:Y229"/>
    <mergeCell ref="Z228:Z229"/>
    <mergeCell ref="AA228:AA229"/>
    <mergeCell ref="AB228:AB229"/>
    <mergeCell ref="M228:M229"/>
    <mergeCell ref="N228:N229"/>
    <mergeCell ref="O228:O229"/>
    <mergeCell ref="P228:P229"/>
    <mergeCell ref="Q228:Q229"/>
    <mergeCell ref="R228:R229"/>
    <mergeCell ref="G228:G229"/>
    <mergeCell ref="H228:H229"/>
    <mergeCell ref="I228:I229"/>
    <mergeCell ref="J228:J229"/>
    <mergeCell ref="K228:K229"/>
    <mergeCell ref="L228:L229"/>
    <mergeCell ref="A228:A229"/>
    <mergeCell ref="B228:B229"/>
    <mergeCell ref="C228:C229"/>
    <mergeCell ref="D228:D229"/>
    <mergeCell ref="E232:E233"/>
    <mergeCell ref="F232:F233"/>
    <mergeCell ref="Y230:Y231"/>
    <mergeCell ref="Z230:Z231"/>
    <mergeCell ref="AA230:AA231"/>
    <mergeCell ref="AB230:AB231"/>
    <mergeCell ref="AI230:AI231"/>
    <mergeCell ref="AJ230:AJ231"/>
    <mergeCell ref="O230:O231"/>
    <mergeCell ref="P230:P231"/>
    <mergeCell ref="Q230:Q231"/>
    <mergeCell ref="R230:R231"/>
    <mergeCell ref="S230:S231"/>
    <mergeCell ref="X230:X231"/>
    <mergeCell ref="I230:I231"/>
    <mergeCell ref="J230:J231"/>
    <mergeCell ref="K230:K231"/>
    <mergeCell ref="L230:L231"/>
    <mergeCell ref="M230:M231"/>
    <mergeCell ref="N230:N231"/>
    <mergeCell ref="AI232:AI233"/>
    <mergeCell ref="AJ232:AJ233"/>
    <mergeCell ref="A234:A235"/>
    <mergeCell ref="B234:B235"/>
    <mergeCell ref="C234:C235"/>
    <mergeCell ref="D234:D235"/>
    <mergeCell ref="E234:E235"/>
    <mergeCell ref="F234:F235"/>
    <mergeCell ref="G234:G235"/>
    <mergeCell ref="H234:H235"/>
    <mergeCell ref="S232:S233"/>
    <mergeCell ref="X232:X233"/>
    <mergeCell ref="Y232:Y233"/>
    <mergeCell ref="Z232:Z233"/>
    <mergeCell ref="AA232:AA233"/>
    <mergeCell ref="AB232:AB233"/>
    <mergeCell ref="M232:M233"/>
    <mergeCell ref="N232:N233"/>
    <mergeCell ref="O232:O233"/>
    <mergeCell ref="P232:P233"/>
    <mergeCell ref="Q232:Q233"/>
    <mergeCell ref="R232:R233"/>
    <mergeCell ref="G232:G233"/>
    <mergeCell ref="H232:H233"/>
    <mergeCell ref="I232:I233"/>
    <mergeCell ref="J232:J233"/>
    <mergeCell ref="K232:K233"/>
    <mergeCell ref="L232:L233"/>
    <mergeCell ref="A232:A233"/>
    <mergeCell ref="B232:B233"/>
    <mergeCell ref="C232:C233"/>
    <mergeCell ref="D232:D233"/>
    <mergeCell ref="E236:E237"/>
    <mergeCell ref="F236:F237"/>
    <mergeCell ref="Y234:Y235"/>
    <mergeCell ref="Z234:Z235"/>
    <mergeCell ref="AA234:AA235"/>
    <mergeCell ref="AB234:AB235"/>
    <mergeCell ref="AI234:AI235"/>
    <mergeCell ref="AJ234:AJ235"/>
    <mergeCell ref="O234:O235"/>
    <mergeCell ref="P234:P235"/>
    <mergeCell ref="Q234:Q235"/>
    <mergeCell ref="R234:R235"/>
    <mergeCell ref="S234:S235"/>
    <mergeCell ref="X234:X235"/>
    <mergeCell ref="I234:I235"/>
    <mergeCell ref="J234:J235"/>
    <mergeCell ref="K234:K235"/>
    <mergeCell ref="L234:L235"/>
    <mergeCell ref="M234:M235"/>
    <mergeCell ref="N234:N235"/>
    <mergeCell ref="AI236:AI237"/>
    <mergeCell ref="AJ236:AJ237"/>
    <mergeCell ref="A238:A239"/>
    <mergeCell ref="B238:B239"/>
    <mergeCell ref="C238:C239"/>
    <mergeCell ref="D238:D239"/>
    <mergeCell ref="E238:E239"/>
    <mergeCell ref="F238:F239"/>
    <mergeCell ref="G238:G239"/>
    <mergeCell ref="H238:H239"/>
    <mergeCell ref="S236:S237"/>
    <mergeCell ref="X236:X237"/>
    <mergeCell ref="Y236:Y237"/>
    <mergeCell ref="Z236:Z237"/>
    <mergeCell ref="AA236:AA237"/>
    <mergeCell ref="AB236:AB237"/>
    <mergeCell ref="M236:M237"/>
    <mergeCell ref="N236:N237"/>
    <mergeCell ref="O236:O237"/>
    <mergeCell ref="P236:P237"/>
    <mergeCell ref="Q236:Q237"/>
    <mergeCell ref="R236:R237"/>
    <mergeCell ref="G236:G237"/>
    <mergeCell ref="H236:H237"/>
    <mergeCell ref="I236:I237"/>
    <mergeCell ref="J236:J237"/>
    <mergeCell ref="K236:K237"/>
    <mergeCell ref="L236:L237"/>
    <mergeCell ref="A236:A237"/>
    <mergeCell ref="B236:B237"/>
    <mergeCell ref="C236:C237"/>
    <mergeCell ref="D236:D237"/>
    <mergeCell ref="E240:E241"/>
    <mergeCell ref="F240:F241"/>
    <mergeCell ref="Y238:Y239"/>
    <mergeCell ref="Z238:Z239"/>
    <mergeCell ref="AA238:AA239"/>
    <mergeCell ref="AB238:AB239"/>
    <mergeCell ref="AI238:AI239"/>
    <mergeCell ref="AJ238:AJ239"/>
    <mergeCell ref="O238:O239"/>
    <mergeCell ref="P238:P239"/>
    <mergeCell ref="Q238:Q239"/>
    <mergeCell ref="R238:R239"/>
    <mergeCell ref="S238:S239"/>
    <mergeCell ref="X238:X239"/>
    <mergeCell ref="I238:I239"/>
    <mergeCell ref="J238:J239"/>
    <mergeCell ref="K238:K239"/>
    <mergeCell ref="L238:L239"/>
    <mergeCell ref="M238:M239"/>
    <mergeCell ref="N238:N239"/>
    <mergeCell ref="AI240:AI241"/>
    <mergeCell ref="AJ240:AJ241"/>
    <mergeCell ref="A242:A243"/>
    <mergeCell ref="B242:B243"/>
    <mergeCell ref="C242:C243"/>
    <mergeCell ref="D242:D243"/>
    <mergeCell ref="E242:E243"/>
    <mergeCell ref="F242:F243"/>
    <mergeCell ref="G242:G243"/>
    <mergeCell ref="H242:H243"/>
    <mergeCell ref="S240:S241"/>
    <mergeCell ref="X240:X241"/>
    <mergeCell ref="Y240:Y241"/>
    <mergeCell ref="Z240:Z241"/>
    <mergeCell ref="AA240:AA241"/>
    <mergeCell ref="AB240:AB241"/>
    <mergeCell ref="M240:M241"/>
    <mergeCell ref="N240:N241"/>
    <mergeCell ref="O240:O241"/>
    <mergeCell ref="P240:P241"/>
    <mergeCell ref="Q240:Q241"/>
    <mergeCell ref="R240:R241"/>
    <mergeCell ref="G240:G241"/>
    <mergeCell ref="H240:H241"/>
    <mergeCell ref="I240:I241"/>
    <mergeCell ref="J240:J241"/>
    <mergeCell ref="K240:K241"/>
    <mergeCell ref="L240:L241"/>
    <mergeCell ref="A240:A241"/>
    <mergeCell ref="B240:B241"/>
    <mergeCell ref="C240:C241"/>
    <mergeCell ref="D240:D241"/>
    <mergeCell ref="E244:E245"/>
    <mergeCell ref="F244:F245"/>
    <mergeCell ref="Y242:Y243"/>
    <mergeCell ref="Z242:Z243"/>
    <mergeCell ref="AA242:AA243"/>
    <mergeCell ref="AB242:AB243"/>
    <mergeCell ref="AI242:AI243"/>
    <mergeCell ref="AJ242:AJ243"/>
    <mergeCell ref="O242:O243"/>
    <mergeCell ref="P242:P243"/>
    <mergeCell ref="Q242:Q243"/>
    <mergeCell ref="R242:R243"/>
    <mergeCell ref="S242:S243"/>
    <mergeCell ref="X242:X243"/>
    <mergeCell ref="I242:I243"/>
    <mergeCell ref="J242:J243"/>
    <mergeCell ref="K242:K243"/>
    <mergeCell ref="L242:L243"/>
    <mergeCell ref="M242:M243"/>
    <mergeCell ref="N242:N243"/>
    <mergeCell ref="AI244:AI245"/>
    <mergeCell ref="AJ244:AJ245"/>
    <mergeCell ref="A246:A247"/>
    <mergeCell ref="B246:B247"/>
    <mergeCell ref="C246:C247"/>
    <mergeCell ref="D246:D247"/>
    <mergeCell ref="E246:E247"/>
    <mergeCell ref="F246:F247"/>
    <mergeCell ref="G246:G247"/>
    <mergeCell ref="H246:H247"/>
    <mergeCell ref="S244:S245"/>
    <mergeCell ref="X244:X245"/>
    <mergeCell ref="Y244:Y245"/>
    <mergeCell ref="Z244:Z245"/>
    <mergeCell ref="AA244:AA245"/>
    <mergeCell ref="AB244:AB245"/>
    <mergeCell ref="M244:M245"/>
    <mergeCell ref="N244:N245"/>
    <mergeCell ref="O244:O245"/>
    <mergeCell ref="P244:P245"/>
    <mergeCell ref="Q244:Q245"/>
    <mergeCell ref="R244:R245"/>
    <mergeCell ref="G244:G245"/>
    <mergeCell ref="H244:H245"/>
    <mergeCell ref="I244:I245"/>
    <mergeCell ref="J244:J245"/>
    <mergeCell ref="K244:K245"/>
    <mergeCell ref="L244:L245"/>
    <mergeCell ref="A244:A245"/>
    <mergeCell ref="B244:B245"/>
    <mergeCell ref="C244:C245"/>
    <mergeCell ref="D244:D245"/>
    <mergeCell ref="E248:E249"/>
    <mergeCell ref="F248:F249"/>
    <mergeCell ref="Y246:Y247"/>
    <mergeCell ref="Z246:Z247"/>
    <mergeCell ref="AA246:AA247"/>
    <mergeCell ref="AB246:AB247"/>
    <mergeCell ref="AI246:AI247"/>
    <mergeCell ref="AJ246:AJ247"/>
    <mergeCell ref="O246:O247"/>
    <mergeCell ref="P246:P247"/>
    <mergeCell ref="Q246:Q247"/>
    <mergeCell ref="R246:R247"/>
    <mergeCell ref="S246:S247"/>
    <mergeCell ref="X246:X247"/>
    <mergeCell ref="I246:I247"/>
    <mergeCell ref="J246:J247"/>
    <mergeCell ref="K246:K247"/>
    <mergeCell ref="L246:L247"/>
    <mergeCell ref="M246:M247"/>
    <mergeCell ref="N246:N247"/>
    <mergeCell ref="AI248:AI249"/>
    <mergeCell ref="AJ248:AJ249"/>
    <mergeCell ref="A250:A251"/>
    <mergeCell ref="B250:B251"/>
    <mergeCell ref="C250:C251"/>
    <mergeCell ref="D250:D251"/>
    <mergeCell ref="E250:E251"/>
    <mergeCell ref="F250:F251"/>
    <mergeCell ref="G250:G251"/>
    <mergeCell ref="H250:H251"/>
    <mergeCell ref="S248:S249"/>
    <mergeCell ref="X248:X249"/>
    <mergeCell ref="Y248:Y249"/>
    <mergeCell ref="Z248:Z249"/>
    <mergeCell ref="AA248:AA249"/>
    <mergeCell ref="AB248:AB249"/>
    <mergeCell ref="M248:M249"/>
    <mergeCell ref="N248:N249"/>
    <mergeCell ref="O248:O249"/>
    <mergeCell ref="P248:P249"/>
    <mergeCell ref="Q248:Q249"/>
    <mergeCell ref="R248:R249"/>
    <mergeCell ref="G248:G249"/>
    <mergeCell ref="H248:H249"/>
    <mergeCell ref="I248:I249"/>
    <mergeCell ref="J248:J249"/>
    <mergeCell ref="K248:K249"/>
    <mergeCell ref="L248:L249"/>
    <mergeCell ref="A248:A249"/>
    <mergeCell ref="B248:B249"/>
    <mergeCell ref="C248:C249"/>
    <mergeCell ref="D248:D249"/>
    <mergeCell ref="E252:E253"/>
    <mergeCell ref="F252:F253"/>
    <mergeCell ref="Y250:Y251"/>
    <mergeCell ref="Z250:Z251"/>
    <mergeCell ref="AA250:AA251"/>
    <mergeCell ref="AB250:AB251"/>
    <mergeCell ref="AI250:AI251"/>
    <mergeCell ref="AJ250:AJ251"/>
    <mergeCell ref="O250:O251"/>
    <mergeCell ref="P250:P251"/>
    <mergeCell ref="Q250:Q251"/>
    <mergeCell ref="R250:R251"/>
    <mergeCell ref="S250:S251"/>
    <mergeCell ref="X250:X251"/>
    <mergeCell ref="I250:I251"/>
    <mergeCell ref="J250:J251"/>
    <mergeCell ref="K250:K251"/>
    <mergeCell ref="L250:L251"/>
    <mergeCell ref="M250:M251"/>
    <mergeCell ref="N250:N251"/>
    <mergeCell ref="AI252:AI253"/>
    <mergeCell ref="AJ252:AJ253"/>
    <mergeCell ref="A254:A255"/>
    <mergeCell ref="B254:B255"/>
    <mergeCell ref="C254:C255"/>
    <mergeCell ref="D254:D255"/>
    <mergeCell ref="E254:E255"/>
    <mergeCell ref="F254:F255"/>
    <mergeCell ref="G254:G255"/>
    <mergeCell ref="H254:H255"/>
    <mergeCell ref="S252:S253"/>
    <mergeCell ref="X252:X253"/>
    <mergeCell ref="Y252:Y253"/>
    <mergeCell ref="Z252:Z253"/>
    <mergeCell ref="AA252:AA253"/>
    <mergeCell ref="AB252:AB253"/>
    <mergeCell ref="M252:M253"/>
    <mergeCell ref="N252:N253"/>
    <mergeCell ref="O252:O253"/>
    <mergeCell ref="P252:P253"/>
    <mergeCell ref="Q252:Q253"/>
    <mergeCell ref="R252:R253"/>
    <mergeCell ref="G252:G253"/>
    <mergeCell ref="H252:H253"/>
    <mergeCell ref="I252:I253"/>
    <mergeCell ref="J252:J253"/>
    <mergeCell ref="K252:K253"/>
    <mergeCell ref="L252:L253"/>
    <mergeCell ref="A252:A253"/>
    <mergeCell ref="B252:B253"/>
    <mergeCell ref="C252:C253"/>
    <mergeCell ref="D252:D253"/>
    <mergeCell ref="E256:E257"/>
    <mergeCell ref="F256:F257"/>
    <mergeCell ref="Y254:Y255"/>
    <mergeCell ref="Z254:Z255"/>
    <mergeCell ref="AA254:AA255"/>
    <mergeCell ref="AB254:AB255"/>
    <mergeCell ref="AI254:AI255"/>
    <mergeCell ref="AJ254:AJ255"/>
    <mergeCell ref="O254:O255"/>
    <mergeCell ref="P254:P255"/>
    <mergeCell ref="Q254:Q255"/>
    <mergeCell ref="R254:R255"/>
    <mergeCell ref="S254:S255"/>
    <mergeCell ref="X254:X255"/>
    <mergeCell ref="I254:I255"/>
    <mergeCell ref="J254:J255"/>
    <mergeCell ref="K254:K255"/>
    <mergeCell ref="L254:L255"/>
    <mergeCell ref="M254:M255"/>
    <mergeCell ref="N254:N255"/>
    <mergeCell ref="AI256:AI257"/>
    <mergeCell ref="AJ256:AJ257"/>
    <mergeCell ref="A258:A259"/>
    <mergeCell ref="B258:B259"/>
    <mergeCell ref="C258:C259"/>
    <mergeCell ref="D258:D259"/>
    <mergeCell ref="E258:E259"/>
    <mergeCell ref="F258:F259"/>
    <mergeCell ref="G258:G259"/>
    <mergeCell ref="H258:H259"/>
    <mergeCell ref="S256:S257"/>
    <mergeCell ref="X256:X257"/>
    <mergeCell ref="Y256:Y257"/>
    <mergeCell ref="Z256:Z257"/>
    <mergeCell ref="AA256:AA257"/>
    <mergeCell ref="AB256:AB257"/>
    <mergeCell ref="M256:M257"/>
    <mergeCell ref="N256:N257"/>
    <mergeCell ref="O256:O257"/>
    <mergeCell ref="P256:P257"/>
    <mergeCell ref="Q256:Q257"/>
    <mergeCell ref="R256:R257"/>
    <mergeCell ref="G256:G257"/>
    <mergeCell ref="H256:H257"/>
    <mergeCell ref="I256:I257"/>
    <mergeCell ref="J256:J257"/>
    <mergeCell ref="K256:K257"/>
    <mergeCell ref="L256:L257"/>
    <mergeCell ref="A256:A257"/>
    <mergeCell ref="B256:B257"/>
    <mergeCell ref="C256:C257"/>
    <mergeCell ref="D256:D257"/>
    <mergeCell ref="E260:E261"/>
    <mergeCell ref="F260:F261"/>
    <mergeCell ref="Y258:Y259"/>
    <mergeCell ref="Z258:Z259"/>
    <mergeCell ref="AA258:AA259"/>
    <mergeCell ref="AB258:AB259"/>
    <mergeCell ref="AI258:AI259"/>
    <mergeCell ref="AJ258:AJ259"/>
    <mergeCell ref="O258:O259"/>
    <mergeCell ref="P258:P259"/>
    <mergeCell ref="Q258:Q259"/>
    <mergeCell ref="R258:R259"/>
    <mergeCell ref="S258:S259"/>
    <mergeCell ref="X258:X259"/>
    <mergeCell ref="I258:I259"/>
    <mergeCell ref="J258:J259"/>
    <mergeCell ref="K258:K259"/>
    <mergeCell ref="L258:L259"/>
    <mergeCell ref="M258:M259"/>
    <mergeCell ref="N258:N259"/>
    <mergeCell ref="AI260:AI261"/>
    <mergeCell ref="AJ260:AJ261"/>
    <mergeCell ref="A262:A263"/>
    <mergeCell ref="B262:B263"/>
    <mergeCell ref="C262:C263"/>
    <mergeCell ref="D262:D263"/>
    <mergeCell ref="E262:E263"/>
    <mergeCell ref="F262:F263"/>
    <mergeCell ref="G262:G263"/>
    <mergeCell ref="H262:H263"/>
    <mergeCell ref="S260:S261"/>
    <mergeCell ref="X260:X261"/>
    <mergeCell ref="Y260:Y261"/>
    <mergeCell ref="Z260:Z261"/>
    <mergeCell ref="AA260:AA261"/>
    <mergeCell ref="AB260:AB261"/>
    <mergeCell ref="M260:M261"/>
    <mergeCell ref="N260:N261"/>
    <mergeCell ref="O260:O261"/>
    <mergeCell ref="P260:P261"/>
    <mergeCell ref="Q260:Q261"/>
    <mergeCell ref="R260:R261"/>
    <mergeCell ref="G260:G261"/>
    <mergeCell ref="H260:H261"/>
    <mergeCell ref="I260:I261"/>
    <mergeCell ref="J260:J261"/>
    <mergeCell ref="K260:K261"/>
    <mergeCell ref="L260:L261"/>
    <mergeCell ref="A260:A261"/>
    <mergeCell ref="B260:B261"/>
    <mergeCell ref="C260:C261"/>
    <mergeCell ref="D260:D261"/>
    <mergeCell ref="E264:E265"/>
    <mergeCell ref="F264:F265"/>
    <mergeCell ref="Y262:Y263"/>
    <mergeCell ref="Z262:Z263"/>
    <mergeCell ref="AA262:AA263"/>
    <mergeCell ref="AB262:AB263"/>
    <mergeCell ref="AI262:AI263"/>
    <mergeCell ref="AJ262:AJ263"/>
    <mergeCell ref="O262:O263"/>
    <mergeCell ref="P262:P263"/>
    <mergeCell ref="Q262:Q263"/>
    <mergeCell ref="R262:R263"/>
    <mergeCell ref="S262:S263"/>
    <mergeCell ref="X262:X263"/>
    <mergeCell ref="I262:I263"/>
    <mergeCell ref="J262:J263"/>
    <mergeCell ref="K262:K263"/>
    <mergeCell ref="L262:L263"/>
    <mergeCell ref="M262:M263"/>
    <mergeCell ref="N262:N263"/>
    <mergeCell ref="AI264:AI265"/>
    <mergeCell ref="AJ264:AJ265"/>
    <mergeCell ref="A266:A267"/>
    <mergeCell ref="B266:B267"/>
    <mergeCell ref="C266:C267"/>
    <mergeCell ref="D266:D267"/>
    <mergeCell ref="E266:E267"/>
    <mergeCell ref="F266:F267"/>
    <mergeCell ref="G266:G267"/>
    <mergeCell ref="H266:H267"/>
    <mergeCell ref="S264:S265"/>
    <mergeCell ref="X264:X265"/>
    <mergeCell ref="Y264:Y265"/>
    <mergeCell ref="Z264:Z265"/>
    <mergeCell ref="AA264:AA265"/>
    <mergeCell ref="AB264:AB265"/>
    <mergeCell ref="M264:M265"/>
    <mergeCell ref="N264:N265"/>
    <mergeCell ref="O264:O265"/>
    <mergeCell ref="P264:P265"/>
    <mergeCell ref="Q264:Q265"/>
    <mergeCell ref="R264:R265"/>
    <mergeCell ref="G264:G265"/>
    <mergeCell ref="H264:H265"/>
    <mergeCell ref="I264:I265"/>
    <mergeCell ref="J264:J265"/>
    <mergeCell ref="K264:K265"/>
    <mergeCell ref="L264:L265"/>
    <mergeCell ref="A264:A265"/>
    <mergeCell ref="B264:B265"/>
    <mergeCell ref="C264:C265"/>
    <mergeCell ref="D264:D265"/>
    <mergeCell ref="E268:E269"/>
    <mergeCell ref="F268:F269"/>
    <mergeCell ref="Y266:Y267"/>
    <mergeCell ref="Z266:Z267"/>
    <mergeCell ref="AA266:AA267"/>
    <mergeCell ref="AB266:AB267"/>
    <mergeCell ref="AI266:AI267"/>
    <mergeCell ref="AJ266:AJ267"/>
    <mergeCell ref="O266:O267"/>
    <mergeCell ref="P266:P267"/>
    <mergeCell ref="Q266:Q267"/>
    <mergeCell ref="R266:R267"/>
    <mergeCell ref="S266:S267"/>
    <mergeCell ref="X266:X267"/>
    <mergeCell ref="I266:I267"/>
    <mergeCell ref="J266:J267"/>
    <mergeCell ref="K266:K267"/>
    <mergeCell ref="L266:L267"/>
    <mergeCell ref="M266:M267"/>
    <mergeCell ref="N266:N267"/>
    <mergeCell ref="AI268:AI269"/>
    <mergeCell ref="AJ268:AJ269"/>
    <mergeCell ref="A270:A271"/>
    <mergeCell ref="B270:B271"/>
    <mergeCell ref="C270:C271"/>
    <mergeCell ref="D270:D271"/>
    <mergeCell ref="E270:E271"/>
    <mergeCell ref="F270:F271"/>
    <mergeCell ref="G270:G271"/>
    <mergeCell ref="H270:H271"/>
    <mergeCell ref="S268:S269"/>
    <mergeCell ref="X268:X269"/>
    <mergeCell ref="Y268:Y269"/>
    <mergeCell ref="Z268:Z269"/>
    <mergeCell ref="AA268:AA269"/>
    <mergeCell ref="AB268:AB269"/>
    <mergeCell ref="M268:M269"/>
    <mergeCell ref="N268:N269"/>
    <mergeCell ref="O268:O269"/>
    <mergeCell ref="P268:P269"/>
    <mergeCell ref="Q268:Q269"/>
    <mergeCell ref="R268:R269"/>
    <mergeCell ref="G268:G269"/>
    <mergeCell ref="H268:H269"/>
    <mergeCell ref="I268:I269"/>
    <mergeCell ref="J268:J269"/>
    <mergeCell ref="K268:K269"/>
    <mergeCell ref="L268:L269"/>
    <mergeCell ref="A268:A269"/>
    <mergeCell ref="B268:B269"/>
    <mergeCell ref="C268:C269"/>
    <mergeCell ref="D268:D269"/>
    <mergeCell ref="E272:E273"/>
    <mergeCell ref="F272:F273"/>
    <mergeCell ref="Y270:Y271"/>
    <mergeCell ref="Z270:Z271"/>
    <mergeCell ref="AA270:AA271"/>
    <mergeCell ref="AB270:AB271"/>
    <mergeCell ref="AI270:AI271"/>
    <mergeCell ref="AJ270:AJ271"/>
    <mergeCell ref="O270:O271"/>
    <mergeCell ref="P270:P271"/>
    <mergeCell ref="Q270:Q271"/>
    <mergeCell ref="R270:R271"/>
    <mergeCell ref="S270:S271"/>
    <mergeCell ref="X270:X271"/>
    <mergeCell ref="I270:I271"/>
    <mergeCell ref="J270:J271"/>
    <mergeCell ref="K270:K271"/>
    <mergeCell ref="L270:L271"/>
    <mergeCell ref="M270:M271"/>
    <mergeCell ref="N270:N271"/>
    <mergeCell ref="AI272:AI273"/>
    <mergeCell ref="AJ272:AJ273"/>
    <mergeCell ref="A274:A275"/>
    <mergeCell ref="B274:B275"/>
    <mergeCell ref="C274:C275"/>
    <mergeCell ref="D274:D275"/>
    <mergeCell ref="E274:E275"/>
    <mergeCell ref="F274:F275"/>
    <mergeCell ref="G274:G275"/>
    <mergeCell ref="H274:H275"/>
    <mergeCell ref="S272:S273"/>
    <mergeCell ref="X272:X273"/>
    <mergeCell ref="Y272:Y273"/>
    <mergeCell ref="Z272:Z273"/>
    <mergeCell ref="AA272:AA273"/>
    <mergeCell ref="AB272:AB273"/>
    <mergeCell ref="M272:M273"/>
    <mergeCell ref="N272:N273"/>
    <mergeCell ref="O272:O273"/>
    <mergeCell ref="P272:P273"/>
    <mergeCell ref="Q272:Q273"/>
    <mergeCell ref="R272:R273"/>
    <mergeCell ref="G272:G273"/>
    <mergeCell ref="H272:H273"/>
    <mergeCell ref="I272:I273"/>
    <mergeCell ref="J272:J273"/>
    <mergeCell ref="K272:K273"/>
    <mergeCell ref="L272:L273"/>
    <mergeCell ref="A272:A273"/>
    <mergeCell ref="B272:B273"/>
    <mergeCell ref="C272:C273"/>
    <mergeCell ref="D272:D273"/>
    <mergeCell ref="E276:E277"/>
    <mergeCell ref="F276:F277"/>
    <mergeCell ref="Y274:Y275"/>
    <mergeCell ref="Z274:Z275"/>
    <mergeCell ref="AA274:AA275"/>
    <mergeCell ref="AB274:AB275"/>
    <mergeCell ref="AI274:AI275"/>
    <mergeCell ref="AJ274:AJ275"/>
    <mergeCell ref="O274:O275"/>
    <mergeCell ref="P274:P275"/>
    <mergeCell ref="Q274:Q275"/>
    <mergeCell ref="R274:R275"/>
    <mergeCell ref="S274:S275"/>
    <mergeCell ref="X274:X275"/>
    <mergeCell ref="I274:I275"/>
    <mergeCell ref="J274:J275"/>
    <mergeCell ref="K274:K275"/>
    <mergeCell ref="L274:L275"/>
    <mergeCell ref="M274:M275"/>
    <mergeCell ref="N274:N275"/>
    <mergeCell ref="AI276:AI277"/>
    <mergeCell ref="AJ276:AJ277"/>
    <mergeCell ref="A278:A279"/>
    <mergeCell ref="B278:B279"/>
    <mergeCell ref="C278:C279"/>
    <mergeCell ref="D278:D279"/>
    <mergeCell ref="E278:E279"/>
    <mergeCell ref="F278:F279"/>
    <mergeCell ref="G278:G279"/>
    <mergeCell ref="H278:H279"/>
    <mergeCell ref="S276:S277"/>
    <mergeCell ref="X276:X277"/>
    <mergeCell ref="Y276:Y277"/>
    <mergeCell ref="Z276:Z277"/>
    <mergeCell ref="AA276:AA277"/>
    <mergeCell ref="AB276:AB277"/>
    <mergeCell ref="M276:M277"/>
    <mergeCell ref="N276:N277"/>
    <mergeCell ref="O276:O277"/>
    <mergeCell ref="P276:P277"/>
    <mergeCell ref="Q276:Q277"/>
    <mergeCell ref="R276:R277"/>
    <mergeCell ref="G276:G277"/>
    <mergeCell ref="H276:H277"/>
    <mergeCell ref="I276:I277"/>
    <mergeCell ref="J276:J277"/>
    <mergeCell ref="K276:K277"/>
    <mergeCell ref="L276:L277"/>
    <mergeCell ref="A276:A277"/>
    <mergeCell ref="B276:B277"/>
    <mergeCell ref="C276:C277"/>
    <mergeCell ref="D276:D277"/>
    <mergeCell ref="E280:E281"/>
    <mergeCell ref="F280:F281"/>
    <mergeCell ref="Y278:Y279"/>
    <mergeCell ref="Z278:Z279"/>
    <mergeCell ref="AA278:AA279"/>
    <mergeCell ref="AB278:AB279"/>
    <mergeCell ref="AI278:AI279"/>
    <mergeCell ref="AJ278:AJ279"/>
    <mergeCell ref="O278:O279"/>
    <mergeCell ref="P278:P279"/>
    <mergeCell ref="Q278:Q279"/>
    <mergeCell ref="R278:R279"/>
    <mergeCell ref="S278:S279"/>
    <mergeCell ref="X278:X279"/>
    <mergeCell ref="I278:I279"/>
    <mergeCell ref="J278:J279"/>
    <mergeCell ref="K278:K279"/>
    <mergeCell ref="L278:L279"/>
    <mergeCell ref="M278:M279"/>
    <mergeCell ref="N278:N279"/>
    <mergeCell ref="AI280:AI281"/>
    <mergeCell ref="AJ280:AJ281"/>
    <mergeCell ref="A282:A283"/>
    <mergeCell ref="B282:B283"/>
    <mergeCell ref="C282:C283"/>
    <mergeCell ref="D282:D283"/>
    <mergeCell ref="E282:E283"/>
    <mergeCell ref="F282:F283"/>
    <mergeCell ref="G282:G283"/>
    <mergeCell ref="H282:H283"/>
    <mergeCell ref="S280:S281"/>
    <mergeCell ref="X280:X281"/>
    <mergeCell ref="Y280:Y281"/>
    <mergeCell ref="Z280:Z281"/>
    <mergeCell ref="AA280:AA281"/>
    <mergeCell ref="AB280:AB281"/>
    <mergeCell ref="M280:M281"/>
    <mergeCell ref="N280:N281"/>
    <mergeCell ref="O280:O281"/>
    <mergeCell ref="P280:P281"/>
    <mergeCell ref="Q280:Q281"/>
    <mergeCell ref="R280:R281"/>
    <mergeCell ref="G280:G281"/>
    <mergeCell ref="H280:H281"/>
    <mergeCell ref="I280:I281"/>
    <mergeCell ref="J280:J281"/>
    <mergeCell ref="K280:K281"/>
    <mergeCell ref="L280:L281"/>
    <mergeCell ref="A280:A281"/>
    <mergeCell ref="B280:B281"/>
    <mergeCell ref="C280:C281"/>
    <mergeCell ref="D280:D281"/>
    <mergeCell ref="E284:E285"/>
    <mergeCell ref="F284:F285"/>
    <mergeCell ref="Y282:Y283"/>
    <mergeCell ref="Z282:Z283"/>
    <mergeCell ref="AA282:AA283"/>
    <mergeCell ref="AB282:AB283"/>
    <mergeCell ref="AI282:AI283"/>
    <mergeCell ref="AJ282:AJ283"/>
    <mergeCell ref="O282:O283"/>
    <mergeCell ref="P282:P283"/>
    <mergeCell ref="Q282:Q283"/>
    <mergeCell ref="R282:R283"/>
    <mergeCell ref="S282:S283"/>
    <mergeCell ref="X282:X283"/>
    <mergeCell ref="I282:I283"/>
    <mergeCell ref="J282:J283"/>
    <mergeCell ref="K282:K283"/>
    <mergeCell ref="L282:L283"/>
    <mergeCell ref="M282:M283"/>
    <mergeCell ref="N282:N283"/>
    <mergeCell ref="AI284:AI285"/>
    <mergeCell ref="AJ284:AJ285"/>
    <mergeCell ref="A286:A287"/>
    <mergeCell ref="B286:B287"/>
    <mergeCell ref="C286:C287"/>
    <mergeCell ref="D286:D287"/>
    <mergeCell ref="E286:E287"/>
    <mergeCell ref="F286:F287"/>
    <mergeCell ref="G286:G287"/>
    <mergeCell ref="H286:H287"/>
    <mergeCell ref="S284:S285"/>
    <mergeCell ref="X284:X285"/>
    <mergeCell ref="Y284:Y285"/>
    <mergeCell ref="Z284:Z285"/>
    <mergeCell ref="AA284:AA285"/>
    <mergeCell ref="AB284:AB285"/>
    <mergeCell ref="M284:M285"/>
    <mergeCell ref="N284:N285"/>
    <mergeCell ref="O284:O285"/>
    <mergeCell ref="P284:P285"/>
    <mergeCell ref="Q284:Q285"/>
    <mergeCell ref="R284:R285"/>
    <mergeCell ref="G284:G285"/>
    <mergeCell ref="H284:H285"/>
    <mergeCell ref="I284:I285"/>
    <mergeCell ref="J284:J285"/>
    <mergeCell ref="K284:K285"/>
    <mergeCell ref="L284:L285"/>
    <mergeCell ref="A284:A285"/>
    <mergeCell ref="B284:B285"/>
    <mergeCell ref="C284:C285"/>
    <mergeCell ref="D284:D285"/>
    <mergeCell ref="E288:E289"/>
    <mergeCell ref="F288:F289"/>
    <mergeCell ref="Y286:Y287"/>
    <mergeCell ref="Z286:Z287"/>
    <mergeCell ref="AA286:AA287"/>
    <mergeCell ref="AB286:AB287"/>
    <mergeCell ref="AI286:AI287"/>
    <mergeCell ref="AJ286:AJ287"/>
    <mergeCell ref="O286:O287"/>
    <mergeCell ref="P286:P287"/>
    <mergeCell ref="Q286:Q287"/>
    <mergeCell ref="R286:R287"/>
    <mergeCell ref="S286:S287"/>
    <mergeCell ref="X286:X287"/>
    <mergeCell ref="I286:I287"/>
    <mergeCell ref="J286:J287"/>
    <mergeCell ref="K286:K287"/>
    <mergeCell ref="L286:L287"/>
    <mergeCell ref="M286:M287"/>
    <mergeCell ref="N286:N287"/>
    <mergeCell ref="AI288:AI289"/>
    <mergeCell ref="AJ288:AJ289"/>
    <mergeCell ref="A290:A291"/>
    <mergeCell ref="B290:B291"/>
    <mergeCell ref="C290:C291"/>
    <mergeCell ref="D290:D291"/>
    <mergeCell ref="E290:E291"/>
    <mergeCell ref="F290:F291"/>
    <mergeCell ref="G290:G291"/>
    <mergeCell ref="H290:H291"/>
    <mergeCell ref="S288:S289"/>
    <mergeCell ref="X288:X289"/>
    <mergeCell ref="Y288:Y289"/>
    <mergeCell ref="Z288:Z289"/>
    <mergeCell ref="AA288:AA289"/>
    <mergeCell ref="AB288:AB289"/>
    <mergeCell ref="M288:M289"/>
    <mergeCell ref="N288:N289"/>
    <mergeCell ref="O288:O289"/>
    <mergeCell ref="P288:P289"/>
    <mergeCell ref="Q288:Q289"/>
    <mergeCell ref="R288:R289"/>
    <mergeCell ref="G288:G289"/>
    <mergeCell ref="H288:H289"/>
    <mergeCell ref="I288:I289"/>
    <mergeCell ref="J288:J289"/>
    <mergeCell ref="K288:K289"/>
    <mergeCell ref="L288:L289"/>
    <mergeCell ref="A288:A289"/>
    <mergeCell ref="B288:B289"/>
    <mergeCell ref="C288:C289"/>
    <mergeCell ref="D288:D289"/>
    <mergeCell ref="E292:E293"/>
    <mergeCell ref="F292:F293"/>
    <mergeCell ref="Y290:Y291"/>
    <mergeCell ref="Z290:Z291"/>
    <mergeCell ref="AA290:AA291"/>
    <mergeCell ref="AB290:AB291"/>
    <mergeCell ref="AI290:AI291"/>
    <mergeCell ref="AJ290:AJ291"/>
    <mergeCell ref="O290:O291"/>
    <mergeCell ref="P290:P291"/>
    <mergeCell ref="Q290:Q291"/>
    <mergeCell ref="R290:R291"/>
    <mergeCell ref="S290:S291"/>
    <mergeCell ref="X290:X291"/>
    <mergeCell ref="I290:I291"/>
    <mergeCell ref="J290:J291"/>
    <mergeCell ref="K290:K291"/>
    <mergeCell ref="L290:L291"/>
    <mergeCell ref="M290:M291"/>
    <mergeCell ref="N290:N291"/>
    <mergeCell ref="AI292:AI293"/>
    <mergeCell ref="AJ292:AJ293"/>
    <mergeCell ref="A294:A295"/>
    <mergeCell ref="B294:B295"/>
    <mergeCell ref="C294:C295"/>
    <mergeCell ref="D294:D295"/>
    <mergeCell ref="E294:E295"/>
    <mergeCell ref="F294:F295"/>
    <mergeCell ref="G294:G295"/>
    <mergeCell ref="H294:H295"/>
    <mergeCell ref="S292:S293"/>
    <mergeCell ref="X292:X293"/>
    <mergeCell ref="Y292:Y293"/>
    <mergeCell ref="Z292:Z293"/>
    <mergeCell ref="AA292:AA293"/>
    <mergeCell ref="AB292:AB293"/>
    <mergeCell ref="M292:M293"/>
    <mergeCell ref="N292:N293"/>
    <mergeCell ref="O292:O293"/>
    <mergeCell ref="P292:P293"/>
    <mergeCell ref="Q292:Q293"/>
    <mergeCell ref="R292:R293"/>
    <mergeCell ref="G292:G293"/>
    <mergeCell ref="H292:H293"/>
    <mergeCell ref="I292:I293"/>
    <mergeCell ref="J292:J293"/>
    <mergeCell ref="K292:K293"/>
    <mergeCell ref="L292:L293"/>
    <mergeCell ref="A292:A293"/>
    <mergeCell ref="B292:B293"/>
    <mergeCell ref="C292:C293"/>
    <mergeCell ref="D292:D293"/>
    <mergeCell ref="E296:E297"/>
    <mergeCell ref="F296:F297"/>
    <mergeCell ref="Y294:Y295"/>
    <mergeCell ref="Z294:Z295"/>
    <mergeCell ref="AA294:AA295"/>
    <mergeCell ref="AB294:AB295"/>
    <mergeCell ref="AI294:AI295"/>
    <mergeCell ref="AJ294:AJ295"/>
    <mergeCell ref="O294:O295"/>
    <mergeCell ref="P294:P295"/>
    <mergeCell ref="Q294:Q295"/>
    <mergeCell ref="R294:R295"/>
    <mergeCell ref="S294:S295"/>
    <mergeCell ref="X294:X295"/>
    <mergeCell ref="I294:I295"/>
    <mergeCell ref="J294:J295"/>
    <mergeCell ref="K294:K295"/>
    <mergeCell ref="L294:L295"/>
    <mergeCell ref="M294:M295"/>
    <mergeCell ref="N294:N295"/>
    <mergeCell ref="AI296:AI297"/>
    <mergeCell ref="AJ296:AJ297"/>
    <mergeCell ref="A298:A299"/>
    <mergeCell ref="B298:B299"/>
    <mergeCell ref="C298:C299"/>
    <mergeCell ref="D298:D299"/>
    <mergeCell ref="E298:E299"/>
    <mergeCell ref="F298:F299"/>
    <mergeCell ref="G298:G299"/>
    <mergeCell ref="H298:H299"/>
    <mergeCell ref="S296:S297"/>
    <mergeCell ref="X296:X297"/>
    <mergeCell ref="Y296:Y297"/>
    <mergeCell ref="Z296:Z297"/>
    <mergeCell ref="AA296:AA297"/>
    <mergeCell ref="AB296:AB297"/>
    <mergeCell ref="M296:M297"/>
    <mergeCell ref="N296:N297"/>
    <mergeCell ref="O296:O297"/>
    <mergeCell ref="P296:P297"/>
    <mergeCell ref="Q296:Q297"/>
    <mergeCell ref="R296:R297"/>
    <mergeCell ref="G296:G297"/>
    <mergeCell ref="H296:H297"/>
    <mergeCell ref="I296:I297"/>
    <mergeCell ref="J296:J297"/>
    <mergeCell ref="K296:K297"/>
    <mergeCell ref="L296:L297"/>
    <mergeCell ref="A296:A297"/>
    <mergeCell ref="B296:B297"/>
    <mergeCell ref="C296:C297"/>
    <mergeCell ref="D296:D297"/>
    <mergeCell ref="E300:E301"/>
    <mergeCell ref="F300:F301"/>
    <mergeCell ref="Y298:Y299"/>
    <mergeCell ref="Z298:Z299"/>
    <mergeCell ref="AA298:AA299"/>
    <mergeCell ref="AB298:AB299"/>
    <mergeCell ref="AI298:AI299"/>
    <mergeCell ref="AJ298:AJ299"/>
    <mergeCell ref="O298:O299"/>
    <mergeCell ref="P298:P299"/>
    <mergeCell ref="Q298:Q299"/>
    <mergeCell ref="R298:R299"/>
    <mergeCell ref="S298:S299"/>
    <mergeCell ref="X298:X299"/>
    <mergeCell ref="I298:I299"/>
    <mergeCell ref="J298:J299"/>
    <mergeCell ref="K298:K299"/>
    <mergeCell ref="L298:L299"/>
    <mergeCell ref="M298:M299"/>
    <mergeCell ref="N298:N299"/>
    <mergeCell ref="AI300:AI301"/>
    <mergeCell ref="AJ300:AJ301"/>
    <mergeCell ref="A302:A303"/>
    <mergeCell ref="B302:B303"/>
    <mergeCell ref="C302:C303"/>
    <mergeCell ref="D302:D303"/>
    <mergeCell ref="E302:E303"/>
    <mergeCell ref="F302:F303"/>
    <mergeCell ref="G302:G303"/>
    <mergeCell ref="H302:H303"/>
    <mergeCell ref="S300:S301"/>
    <mergeCell ref="X300:X301"/>
    <mergeCell ref="Y300:Y301"/>
    <mergeCell ref="Z300:Z301"/>
    <mergeCell ref="AA300:AA301"/>
    <mergeCell ref="AB300:AB301"/>
    <mergeCell ref="M300:M301"/>
    <mergeCell ref="N300:N301"/>
    <mergeCell ref="O300:O301"/>
    <mergeCell ref="P300:P301"/>
    <mergeCell ref="Q300:Q301"/>
    <mergeCell ref="R300:R301"/>
    <mergeCell ref="G300:G301"/>
    <mergeCell ref="H300:H301"/>
    <mergeCell ref="I300:I301"/>
    <mergeCell ref="J300:J301"/>
    <mergeCell ref="K300:K301"/>
    <mergeCell ref="L300:L301"/>
    <mergeCell ref="A300:A301"/>
    <mergeCell ref="B300:B301"/>
    <mergeCell ref="C300:C301"/>
    <mergeCell ref="D300:D301"/>
    <mergeCell ref="E304:E305"/>
    <mergeCell ref="F304:F305"/>
    <mergeCell ref="Y302:Y303"/>
    <mergeCell ref="Z302:Z303"/>
    <mergeCell ref="AA302:AA303"/>
    <mergeCell ref="AB302:AB303"/>
    <mergeCell ref="AI302:AI303"/>
    <mergeCell ref="AJ302:AJ303"/>
    <mergeCell ref="O302:O303"/>
    <mergeCell ref="P302:P303"/>
    <mergeCell ref="Q302:Q303"/>
    <mergeCell ref="R302:R303"/>
    <mergeCell ref="S302:S303"/>
    <mergeCell ref="X302:X303"/>
    <mergeCell ref="I302:I303"/>
    <mergeCell ref="J302:J303"/>
    <mergeCell ref="K302:K303"/>
    <mergeCell ref="L302:L303"/>
    <mergeCell ref="M302:M303"/>
    <mergeCell ref="N302:N303"/>
    <mergeCell ref="AI304:AI305"/>
    <mergeCell ref="AJ304:AJ305"/>
    <mergeCell ref="A306:A307"/>
    <mergeCell ref="B306:B307"/>
    <mergeCell ref="C306:C307"/>
    <mergeCell ref="D306:D307"/>
    <mergeCell ref="E306:E307"/>
    <mergeCell ref="F306:F307"/>
    <mergeCell ref="G306:G307"/>
    <mergeCell ref="H306:H307"/>
    <mergeCell ref="S304:S305"/>
    <mergeCell ref="X304:X305"/>
    <mergeCell ref="Y304:Y305"/>
    <mergeCell ref="Z304:Z305"/>
    <mergeCell ref="AA304:AA305"/>
    <mergeCell ref="AB304:AB305"/>
    <mergeCell ref="M304:M305"/>
    <mergeCell ref="N304:N305"/>
    <mergeCell ref="O304:O305"/>
    <mergeCell ref="P304:P305"/>
    <mergeCell ref="Q304:Q305"/>
    <mergeCell ref="R304:R305"/>
    <mergeCell ref="G304:G305"/>
    <mergeCell ref="H304:H305"/>
    <mergeCell ref="I304:I305"/>
    <mergeCell ref="J304:J305"/>
    <mergeCell ref="K304:K305"/>
    <mergeCell ref="L304:L305"/>
    <mergeCell ref="A304:A305"/>
    <mergeCell ref="B304:B305"/>
    <mergeCell ref="C304:C305"/>
    <mergeCell ref="D304:D305"/>
    <mergeCell ref="E308:E309"/>
    <mergeCell ref="F308:F309"/>
    <mergeCell ref="Y306:Y307"/>
    <mergeCell ref="Z306:Z307"/>
    <mergeCell ref="AA306:AA307"/>
    <mergeCell ref="AB306:AB307"/>
    <mergeCell ref="AI306:AI307"/>
    <mergeCell ref="AJ306:AJ307"/>
    <mergeCell ref="O306:O307"/>
    <mergeCell ref="P306:P307"/>
    <mergeCell ref="Q306:Q307"/>
    <mergeCell ref="R306:R307"/>
    <mergeCell ref="S306:S307"/>
    <mergeCell ref="X306:X307"/>
    <mergeCell ref="I306:I307"/>
    <mergeCell ref="J306:J307"/>
    <mergeCell ref="K306:K307"/>
    <mergeCell ref="L306:L307"/>
    <mergeCell ref="M306:M307"/>
    <mergeCell ref="N306:N307"/>
    <mergeCell ref="AI308:AI309"/>
    <mergeCell ref="AJ308:AJ309"/>
    <mergeCell ref="A310:A311"/>
    <mergeCell ref="B310:B311"/>
    <mergeCell ref="C310:C311"/>
    <mergeCell ref="D310:D311"/>
    <mergeCell ref="E310:E311"/>
    <mergeCell ref="F310:F311"/>
    <mergeCell ref="G310:G311"/>
    <mergeCell ref="H310:H311"/>
    <mergeCell ref="S308:S309"/>
    <mergeCell ref="X308:X309"/>
    <mergeCell ref="Y308:Y309"/>
    <mergeCell ref="Z308:Z309"/>
    <mergeCell ref="AA308:AA309"/>
    <mergeCell ref="AB308:AB309"/>
    <mergeCell ref="M308:M309"/>
    <mergeCell ref="N308:N309"/>
    <mergeCell ref="O308:O309"/>
    <mergeCell ref="P308:P309"/>
    <mergeCell ref="Q308:Q309"/>
    <mergeCell ref="R308:R309"/>
    <mergeCell ref="G308:G309"/>
    <mergeCell ref="H308:H309"/>
    <mergeCell ref="I308:I309"/>
    <mergeCell ref="J308:J309"/>
    <mergeCell ref="K308:K309"/>
    <mergeCell ref="L308:L309"/>
    <mergeCell ref="A308:A309"/>
    <mergeCell ref="B308:B309"/>
    <mergeCell ref="C308:C309"/>
    <mergeCell ref="D308:D309"/>
    <mergeCell ref="E312:E313"/>
    <mergeCell ref="F312:F313"/>
    <mergeCell ref="Y310:Y311"/>
    <mergeCell ref="Z310:Z311"/>
    <mergeCell ref="AA310:AA311"/>
    <mergeCell ref="AB310:AB311"/>
    <mergeCell ref="AI310:AI311"/>
    <mergeCell ref="AJ310:AJ311"/>
    <mergeCell ref="O310:O311"/>
    <mergeCell ref="P310:P311"/>
    <mergeCell ref="Q310:Q311"/>
    <mergeCell ref="R310:R311"/>
    <mergeCell ref="S310:S311"/>
    <mergeCell ref="X310:X311"/>
    <mergeCell ref="I310:I311"/>
    <mergeCell ref="J310:J311"/>
    <mergeCell ref="K310:K311"/>
    <mergeCell ref="L310:L311"/>
    <mergeCell ref="M310:M311"/>
    <mergeCell ref="N310:N311"/>
    <mergeCell ref="AI312:AI313"/>
    <mergeCell ref="AJ312:AJ313"/>
    <mergeCell ref="A314:A315"/>
    <mergeCell ref="B314:B315"/>
    <mergeCell ref="C314:C315"/>
    <mergeCell ref="D314:D315"/>
    <mergeCell ref="E314:E315"/>
    <mergeCell ref="F314:F315"/>
    <mergeCell ref="G314:G315"/>
    <mergeCell ref="H314:H315"/>
    <mergeCell ref="S312:S313"/>
    <mergeCell ref="X312:X313"/>
    <mergeCell ref="Y312:Y313"/>
    <mergeCell ref="Z312:Z313"/>
    <mergeCell ref="AA312:AA313"/>
    <mergeCell ref="AB312:AB313"/>
    <mergeCell ref="M312:M313"/>
    <mergeCell ref="N312:N313"/>
    <mergeCell ref="O312:O313"/>
    <mergeCell ref="P312:P313"/>
    <mergeCell ref="Q312:Q313"/>
    <mergeCell ref="R312:R313"/>
    <mergeCell ref="G312:G313"/>
    <mergeCell ref="H312:H313"/>
    <mergeCell ref="I312:I313"/>
    <mergeCell ref="J312:J313"/>
    <mergeCell ref="K312:K313"/>
    <mergeCell ref="L312:L313"/>
    <mergeCell ref="A312:A313"/>
    <mergeCell ref="B312:B313"/>
    <mergeCell ref="C312:C313"/>
    <mergeCell ref="D312:D313"/>
    <mergeCell ref="E316:E317"/>
    <mergeCell ref="F316:F317"/>
    <mergeCell ref="Y314:Y315"/>
    <mergeCell ref="Z314:Z315"/>
    <mergeCell ref="AA314:AA315"/>
    <mergeCell ref="AB314:AB315"/>
    <mergeCell ref="AI314:AI315"/>
    <mergeCell ref="AJ314:AJ315"/>
    <mergeCell ref="O314:O315"/>
    <mergeCell ref="P314:P315"/>
    <mergeCell ref="Q314:Q315"/>
    <mergeCell ref="R314:R315"/>
    <mergeCell ref="S314:S315"/>
    <mergeCell ref="X314:X315"/>
    <mergeCell ref="I314:I315"/>
    <mergeCell ref="J314:J315"/>
    <mergeCell ref="K314:K315"/>
    <mergeCell ref="L314:L315"/>
    <mergeCell ref="M314:M315"/>
    <mergeCell ref="N314:N315"/>
    <mergeCell ref="AI316:AI317"/>
    <mergeCell ref="AJ316:AJ317"/>
    <mergeCell ref="A318:A319"/>
    <mergeCell ref="B318:B319"/>
    <mergeCell ref="C318:C319"/>
    <mergeCell ref="D318:D319"/>
    <mergeCell ref="E318:E319"/>
    <mergeCell ref="F318:F319"/>
    <mergeCell ref="G318:G319"/>
    <mergeCell ref="H318:H319"/>
    <mergeCell ref="S316:S317"/>
    <mergeCell ref="X316:X317"/>
    <mergeCell ref="Y316:Y317"/>
    <mergeCell ref="Z316:Z317"/>
    <mergeCell ref="AA316:AA317"/>
    <mergeCell ref="AB316:AB317"/>
    <mergeCell ref="M316:M317"/>
    <mergeCell ref="N316:N317"/>
    <mergeCell ref="O316:O317"/>
    <mergeCell ref="P316:P317"/>
    <mergeCell ref="Q316:Q317"/>
    <mergeCell ref="R316:R317"/>
    <mergeCell ref="G316:G317"/>
    <mergeCell ref="H316:H317"/>
    <mergeCell ref="I316:I317"/>
    <mergeCell ref="J316:J317"/>
    <mergeCell ref="K316:K317"/>
    <mergeCell ref="L316:L317"/>
    <mergeCell ref="A316:A317"/>
    <mergeCell ref="B316:B317"/>
    <mergeCell ref="C316:C317"/>
    <mergeCell ref="D316:D317"/>
    <mergeCell ref="E320:E321"/>
    <mergeCell ref="F320:F321"/>
    <mergeCell ref="Y318:Y319"/>
    <mergeCell ref="Z318:Z319"/>
    <mergeCell ref="AA318:AA319"/>
    <mergeCell ref="AB318:AB319"/>
    <mergeCell ref="AI318:AI319"/>
    <mergeCell ref="AJ318:AJ319"/>
    <mergeCell ref="O318:O319"/>
    <mergeCell ref="P318:P319"/>
    <mergeCell ref="Q318:Q319"/>
    <mergeCell ref="R318:R319"/>
    <mergeCell ref="S318:S319"/>
    <mergeCell ref="X318:X319"/>
    <mergeCell ref="I318:I319"/>
    <mergeCell ref="J318:J319"/>
    <mergeCell ref="K318:K319"/>
    <mergeCell ref="L318:L319"/>
    <mergeCell ref="M318:M319"/>
    <mergeCell ref="N318:N319"/>
    <mergeCell ref="AI320:AI321"/>
    <mergeCell ref="AJ320:AJ321"/>
    <mergeCell ref="A322:A323"/>
    <mergeCell ref="B322:B323"/>
    <mergeCell ref="C322:C323"/>
    <mergeCell ref="D322:D323"/>
    <mergeCell ref="E322:E323"/>
    <mergeCell ref="F322:F323"/>
    <mergeCell ref="G322:G323"/>
    <mergeCell ref="H322:H323"/>
    <mergeCell ref="S320:S321"/>
    <mergeCell ref="X320:X321"/>
    <mergeCell ref="Y320:Y321"/>
    <mergeCell ref="Z320:Z321"/>
    <mergeCell ref="AA320:AA321"/>
    <mergeCell ref="AB320:AB321"/>
    <mergeCell ref="M320:M321"/>
    <mergeCell ref="N320:N321"/>
    <mergeCell ref="O320:O321"/>
    <mergeCell ref="P320:P321"/>
    <mergeCell ref="Q320:Q321"/>
    <mergeCell ref="R320:R321"/>
    <mergeCell ref="G320:G321"/>
    <mergeCell ref="H320:H321"/>
    <mergeCell ref="I320:I321"/>
    <mergeCell ref="J320:J321"/>
    <mergeCell ref="K320:K321"/>
    <mergeCell ref="L320:L321"/>
    <mergeCell ref="A320:A321"/>
    <mergeCell ref="B320:B321"/>
    <mergeCell ref="C320:C321"/>
    <mergeCell ref="D320:D321"/>
    <mergeCell ref="E324:E325"/>
    <mergeCell ref="F324:F325"/>
    <mergeCell ref="Y322:Y323"/>
    <mergeCell ref="Z322:Z323"/>
    <mergeCell ref="AA322:AA323"/>
    <mergeCell ref="AB322:AB323"/>
    <mergeCell ref="AI322:AI323"/>
    <mergeCell ref="AJ322:AJ323"/>
    <mergeCell ref="O322:O323"/>
    <mergeCell ref="P322:P323"/>
    <mergeCell ref="Q322:Q323"/>
    <mergeCell ref="R322:R323"/>
    <mergeCell ref="S322:S323"/>
    <mergeCell ref="X322:X323"/>
    <mergeCell ref="I322:I323"/>
    <mergeCell ref="J322:J323"/>
    <mergeCell ref="K322:K323"/>
    <mergeCell ref="L322:L323"/>
    <mergeCell ref="M322:M323"/>
    <mergeCell ref="N322:N323"/>
    <mergeCell ref="AI324:AI325"/>
    <mergeCell ref="AJ324:AJ325"/>
    <mergeCell ref="A326:A327"/>
    <mergeCell ref="B326:B327"/>
    <mergeCell ref="C326:C327"/>
    <mergeCell ref="D326:D327"/>
    <mergeCell ref="E326:E327"/>
    <mergeCell ref="F326:F327"/>
    <mergeCell ref="G326:G327"/>
    <mergeCell ref="H326:H327"/>
    <mergeCell ref="S324:S325"/>
    <mergeCell ref="X324:X325"/>
    <mergeCell ref="Y324:Y325"/>
    <mergeCell ref="Z324:Z325"/>
    <mergeCell ref="AA324:AA325"/>
    <mergeCell ref="AB324:AB325"/>
    <mergeCell ref="M324:M325"/>
    <mergeCell ref="N324:N325"/>
    <mergeCell ref="O324:O325"/>
    <mergeCell ref="P324:P325"/>
    <mergeCell ref="Q324:Q325"/>
    <mergeCell ref="R324:R325"/>
    <mergeCell ref="G324:G325"/>
    <mergeCell ref="H324:H325"/>
    <mergeCell ref="I324:I325"/>
    <mergeCell ref="J324:J325"/>
    <mergeCell ref="K324:K325"/>
    <mergeCell ref="L324:L325"/>
    <mergeCell ref="A324:A325"/>
    <mergeCell ref="B324:B325"/>
    <mergeCell ref="C324:C325"/>
    <mergeCell ref="D324:D325"/>
    <mergeCell ref="E328:E329"/>
    <mergeCell ref="F328:F329"/>
    <mergeCell ref="Y326:Y327"/>
    <mergeCell ref="Z326:Z327"/>
    <mergeCell ref="AA326:AA327"/>
    <mergeCell ref="AB326:AB327"/>
    <mergeCell ref="AI326:AI327"/>
    <mergeCell ref="AJ326:AJ327"/>
    <mergeCell ref="O326:O327"/>
    <mergeCell ref="P326:P327"/>
    <mergeCell ref="Q326:Q327"/>
    <mergeCell ref="R326:R327"/>
    <mergeCell ref="S326:S327"/>
    <mergeCell ref="X326:X327"/>
    <mergeCell ref="I326:I327"/>
    <mergeCell ref="J326:J327"/>
    <mergeCell ref="K326:K327"/>
    <mergeCell ref="L326:L327"/>
    <mergeCell ref="M326:M327"/>
    <mergeCell ref="N326:N327"/>
    <mergeCell ref="AI328:AI329"/>
    <mergeCell ref="AJ328:AJ329"/>
    <mergeCell ref="A330:A331"/>
    <mergeCell ref="B330:B331"/>
    <mergeCell ref="C330:C331"/>
    <mergeCell ref="D330:D331"/>
    <mergeCell ref="E330:E331"/>
    <mergeCell ref="F330:F331"/>
    <mergeCell ref="G330:G331"/>
    <mergeCell ref="H330:H331"/>
    <mergeCell ref="S328:S329"/>
    <mergeCell ref="X328:X329"/>
    <mergeCell ref="Y328:Y329"/>
    <mergeCell ref="Z328:Z329"/>
    <mergeCell ref="AA328:AA329"/>
    <mergeCell ref="AB328:AB329"/>
    <mergeCell ref="M328:M329"/>
    <mergeCell ref="N328:N329"/>
    <mergeCell ref="O328:O329"/>
    <mergeCell ref="P328:P329"/>
    <mergeCell ref="Q328:Q329"/>
    <mergeCell ref="R328:R329"/>
    <mergeCell ref="G328:G329"/>
    <mergeCell ref="H328:H329"/>
    <mergeCell ref="I328:I329"/>
    <mergeCell ref="J328:J329"/>
    <mergeCell ref="K328:K329"/>
    <mergeCell ref="L328:L329"/>
    <mergeCell ref="A328:A329"/>
    <mergeCell ref="B328:B329"/>
    <mergeCell ref="C328:C329"/>
    <mergeCell ref="D328:D329"/>
    <mergeCell ref="E332:E333"/>
    <mergeCell ref="F332:F333"/>
    <mergeCell ref="Y330:Y331"/>
    <mergeCell ref="Z330:Z331"/>
    <mergeCell ref="AA330:AA331"/>
    <mergeCell ref="AB330:AB331"/>
    <mergeCell ref="AI330:AI331"/>
    <mergeCell ref="AJ330:AJ331"/>
    <mergeCell ref="O330:O331"/>
    <mergeCell ref="P330:P331"/>
    <mergeCell ref="Q330:Q331"/>
    <mergeCell ref="R330:R331"/>
    <mergeCell ref="S330:S331"/>
    <mergeCell ref="X330:X331"/>
    <mergeCell ref="I330:I331"/>
    <mergeCell ref="J330:J331"/>
    <mergeCell ref="K330:K331"/>
    <mergeCell ref="L330:L331"/>
    <mergeCell ref="M330:M331"/>
    <mergeCell ref="N330:N331"/>
    <mergeCell ref="AI332:AI333"/>
    <mergeCell ref="AJ332:AJ333"/>
    <mergeCell ref="A334:A335"/>
    <mergeCell ref="B334:B335"/>
    <mergeCell ref="C334:C335"/>
    <mergeCell ref="D334:D335"/>
    <mergeCell ref="E334:E335"/>
    <mergeCell ref="F334:F335"/>
    <mergeCell ref="G334:G335"/>
    <mergeCell ref="H334:H335"/>
    <mergeCell ref="S332:S333"/>
    <mergeCell ref="X332:X333"/>
    <mergeCell ref="Y332:Y333"/>
    <mergeCell ref="Z332:Z333"/>
    <mergeCell ref="AA332:AA333"/>
    <mergeCell ref="AB332:AB333"/>
    <mergeCell ref="M332:M333"/>
    <mergeCell ref="N332:N333"/>
    <mergeCell ref="O332:O333"/>
    <mergeCell ref="P332:P333"/>
    <mergeCell ref="Q332:Q333"/>
    <mergeCell ref="R332:R333"/>
    <mergeCell ref="G332:G333"/>
    <mergeCell ref="H332:H333"/>
    <mergeCell ref="I332:I333"/>
    <mergeCell ref="J332:J333"/>
    <mergeCell ref="K332:K333"/>
    <mergeCell ref="L332:L333"/>
    <mergeCell ref="A332:A333"/>
    <mergeCell ref="B332:B333"/>
    <mergeCell ref="C332:C333"/>
    <mergeCell ref="D332:D333"/>
    <mergeCell ref="E336:E337"/>
    <mergeCell ref="F336:F337"/>
    <mergeCell ref="Y334:Y335"/>
    <mergeCell ref="Z334:Z335"/>
    <mergeCell ref="AA334:AA335"/>
    <mergeCell ref="AB334:AB335"/>
    <mergeCell ref="AI334:AI335"/>
    <mergeCell ref="AJ334:AJ335"/>
    <mergeCell ref="O334:O335"/>
    <mergeCell ref="P334:P335"/>
    <mergeCell ref="Q334:Q335"/>
    <mergeCell ref="R334:R335"/>
    <mergeCell ref="S334:S335"/>
    <mergeCell ref="X334:X335"/>
    <mergeCell ref="I334:I335"/>
    <mergeCell ref="J334:J335"/>
    <mergeCell ref="K334:K335"/>
    <mergeCell ref="L334:L335"/>
    <mergeCell ref="M334:M335"/>
    <mergeCell ref="N334:N335"/>
    <mergeCell ref="AI336:AI337"/>
    <mergeCell ref="AJ336:AJ337"/>
    <mergeCell ref="A338:A339"/>
    <mergeCell ref="B338:B339"/>
    <mergeCell ref="C338:C339"/>
    <mergeCell ref="D338:D339"/>
    <mergeCell ref="E338:E339"/>
    <mergeCell ref="F338:F339"/>
    <mergeCell ref="G338:G339"/>
    <mergeCell ref="H338:H339"/>
    <mergeCell ref="S336:S337"/>
    <mergeCell ref="X336:X337"/>
    <mergeCell ref="Y336:Y337"/>
    <mergeCell ref="Z336:Z337"/>
    <mergeCell ref="AA336:AA337"/>
    <mergeCell ref="AB336:AB337"/>
    <mergeCell ref="M336:M337"/>
    <mergeCell ref="N336:N337"/>
    <mergeCell ref="O336:O337"/>
    <mergeCell ref="P336:P337"/>
    <mergeCell ref="Q336:Q337"/>
    <mergeCell ref="R336:R337"/>
    <mergeCell ref="G336:G337"/>
    <mergeCell ref="H336:H337"/>
    <mergeCell ref="I336:I337"/>
    <mergeCell ref="J336:J337"/>
    <mergeCell ref="K336:K337"/>
    <mergeCell ref="L336:L337"/>
    <mergeCell ref="A336:A337"/>
    <mergeCell ref="B336:B337"/>
    <mergeCell ref="C336:C337"/>
    <mergeCell ref="D336:D337"/>
    <mergeCell ref="E340:E341"/>
    <mergeCell ref="F340:F341"/>
    <mergeCell ref="Y338:Y339"/>
    <mergeCell ref="Z338:Z339"/>
    <mergeCell ref="AA338:AA339"/>
    <mergeCell ref="AB338:AB339"/>
    <mergeCell ref="AI338:AI339"/>
    <mergeCell ref="AJ338:AJ339"/>
    <mergeCell ref="O338:O339"/>
    <mergeCell ref="P338:P339"/>
    <mergeCell ref="Q338:Q339"/>
    <mergeCell ref="R338:R339"/>
    <mergeCell ref="S338:S339"/>
    <mergeCell ref="X338:X339"/>
    <mergeCell ref="I338:I339"/>
    <mergeCell ref="J338:J339"/>
    <mergeCell ref="K338:K339"/>
    <mergeCell ref="L338:L339"/>
    <mergeCell ref="M338:M339"/>
    <mergeCell ref="N338:N339"/>
    <mergeCell ref="AI340:AI341"/>
    <mergeCell ref="AJ340:AJ341"/>
    <mergeCell ref="A342:A343"/>
    <mergeCell ref="B342:B343"/>
    <mergeCell ref="C342:C343"/>
    <mergeCell ref="D342:D343"/>
    <mergeCell ref="E342:E343"/>
    <mergeCell ref="F342:F343"/>
    <mergeCell ref="G342:G343"/>
    <mergeCell ref="H342:H343"/>
    <mergeCell ref="S340:S341"/>
    <mergeCell ref="X340:X341"/>
    <mergeCell ref="Y340:Y341"/>
    <mergeCell ref="Z340:Z341"/>
    <mergeCell ref="AA340:AA341"/>
    <mergeCell ref="AB340:AB341"/>
    <mergeCell ref="M340:M341"/>
    <mergeCell ref="N340:N341"/>
    <mergeCell ref="O340:O341"/>
    <mergeCell ref="P340:P341"/>
    <mergeCell ref="Q340:Q341"/>
    <mergeCell ref="R340:R341"/>
    <mergeCell ref="G340:G341"/>
    <mergeCell ref="H340:H341"/>
    <mergeCell ref="I340:I341"/>
    <mergeCell ref="J340:J341"/>
    <mergeCell ref="K340:K341"/>
    <mergeCell ref="L340:L341"/>
    <mergeCell ref="A340:A341"/>
    <mergeCell ref="B340:B341"/>
    <mergeCell ref="C340:C341"/>
    <mergeCell ref="D340:D341"/>
    <mergeCell ref="E344:E345"/>
    <mergeCell ref="F344:F345"/>
    <mergeCell ref="Y342:Y343"/>
    <mergeCell ref="Z342:Z343"/>
    <mergeCell ref="AA342:AA343"/>
    <mergeCell ref="AB342:AB343"/>
    <mergeCell ref="AI342:AI343"/>
    <mergeCell ref="AJ342:AJ343"/>
    <mergeCell ref="O342:O343"/>
    <mergeCell ref="P342:P343"/>
    <mergeCell ref="Q342:Q343"/>
    <mergeCell ref="R342:R343"/>
    <mergeCell ref="S342:S343"/>
    <mergeCell ref="X342:X343"/>
    <mergeCell ref="I342:I343"/>
    <mergeCell ref="J342:J343"/>
    <mergeCell ref="K342:K343"/>
    <mergeCell ref="L342:L343"/>
    <mergeCell ref="M342:M343"/>
    <mergeCell ref="N342:N343"/>
    <mergeCell ref="AI344:AI345"/>
    <mergeCell ref="AJ344:AJ345"/>
    <mergeCell ref="A346:A347"/>
    <mergeCell ref="B346:B347"/>
    <mergeCell ref="C346:C347"/>
    <mergeCell ref="D346:D347"/>
    <mergeCell ref="E346:E347"/>
    <mergeCell ref="F346:F347"/>
    <mergeCell ref="G346:G347"/>
    <mergeCell ref="H346:H347"/>
    <mergeCell ref="S344:S345"/>
    <mergeCell ref="X344:X345"/>
    <mergeCell ref="Y344:Y345"/>
    <mergeCell ref="Z344:Z345"/>
    <mergeCell ref="AA344:AA345"/>
    <mergeCell ref="AB344:AB345"/>
    <mergeCell ref="M344:M345"/>
    <mergeCell ref="N344:N345"/>
    <mergeCell ref="O344:O345"/>
    <mergeCell ref="P344:P345"/>
    <mergeCell ref="Q344:Q345"/>
    <mergeCell ref="R344:R345"/>
    <mergeCell ref="G344:G345"/>
    <mergeCell ref="H344:H345"/>
    <mergeCell ref="I344:I345"/>
    <mergeCell ref="J344:J345"/>
    <mergeCell ref="K344:K345"/>
    <mergeCell ref="L344:L345"/>
    <mergeCell ref="A344:A345"/>
    <mergeCell ref="B344:B345"/>
    <mergeCell ref="C344:C345"/>
    <mergeCell ref="D344:D345"/>
    <mergeCell ref="E348:E349"/>
    <mergeCell ref="F348:F349"/>
    <mergeCell ref="Y346:Y347"/>
    <mergeCell ref="Z346:Z347"/>
    <mergeCell ref="AA346:AA347"/>
    <mergeCell ref="AB346:AB347"/>
    <mergeCell ref="AI346:AI347"/>
    <mergeCell ref="AJ346:AJ347"/>
    <mergeCell ref="O346:O347"/>
    <mergeCell ref="P346:P347"/>
    <mergeCell ref="Q346:Q347"/>
    <mergeCell ref="R346:R347"/>
    <mergeCell ref="S346:S347"/>
    <mergeCell ref="X346:X347"/>
    <mergeCell ref="I346:I347"/>
    <mergeCell ref="J346:J347"/>
    <mergeCell ref="K346:K347"/>
    <mergeCell ref="L346:L347"/>
    <mergeCell ref="M346:M347"/>
    <mergeCell ref="N346:N347"/>
    <mergeCell ref="AI348:AI349"/>
    <mergeCell ref="AJ348:AJ349"/>
    <mergeCell ref="A350:A351"/>
    <mergeCell ref="B350:B351"/>
    <mergeCell ref="C350:C351"/>
    <mergeCell ref="D350:D351"/>
    <mergeCell ref="E350:E351"/>
    <mergeCell ref="F350:F351"/>
    <mergeCell ref="G350:G351"/>
    <mergeCell ref="H350:H351"/>
    <mergeCell ref="S348:S349"/>
    <mergeCell ref="X348:X349"/>
    <mergeCell ref="Y348:Y349"/>
    <mergeCell ref="Z348:Z349"/>
    <mergeCell ref="AA348:AA349"/>
    <mergeCell ref="AB348:AB349"/>
    <mergeCell ref="M348:M349"/>
    <mergeCell ref="N348:N349"/>
    <mergeCell ref="O348:O349"/>
    <mergeCell ref="P348:P349"/>
    <mergeCell ref="Q348:Q349"/>
    <mergeCell ref="R348:R349"/>
    <mergeCell ref="G348:G349"/>
    <mergeCell ref="H348:H349"/>
    <mergeCell ref="I348:I349"/>
    <mergeCell ref="J348:J349"/>
    <mergeCell ref="K348:K349"/>
    <mergeCell ref="L348:L349"/>
    <mergeCell ref="A348:A349"/>
    <mergeCell ref="B348:B349"/>
    <mergeCell ref="C348:C349"/>
    <mergeCell ref="D348:D349"/>
    <mergeCell ref="E352:E353"/>
    <mergeCell ref="F352:F353"/>
    <mergeCell ref="Y350:Y351"/>
    <mergeCell ref="Z350:Z351"/>
    <mergeCell ref="AA350:AA351"/>
    <mergeCell ref="AB350:AB351"/>
    <mergeCell ref="AI350:AI351"/>
    <mergeCell ref="AJ350:AJ351"/>
    <mergeCell ref="O350:O351"/>
    <mergeCell ref="P350:P351"/>
    <mergeCell ref="Q350:Q351"/>
    <mergeCell ref="R350:R351"/>
    <mergeCell ref="S350:S351"/>
    <mergeCell ref="X350:X351"/>
    <mergeCell ref="I350:I351"/>
    <mergeCell ref="J350:J351"/>
    <mergeCell ref="K350:K351"/>
    <mergeCell ref="L350:L351"/>
    <mergeCell ref="M350:M351"/>
    <mergeCell ref="N350:N351"/>
    <mergeCell ref="AI352:AI353"/>
    <mergeCell ref="AJ352:AJ353"/>
    <mergeCell ref="A354:A355"/>
    <mergeCell ref="B354:B355"/>
    <mergeCell ref="C354:C355"/>
    <mergeCell ref="D354:D355"/>
    <mergeCell ref="E354:E355"/>
    <mergeCell ref="F354:F355"/>
    <mergeCell ref="G354:G355"/>
    <mergeCell ref="H354:H355"/>
    <mergeCell ref="S352:S353"/>
    <mergeCell ref="X352:X353"/>
    <mergeCell ref="Y352:Y353"/>
    <mergeCell ref="Z352:Z353"/>
    <mergeCell ref="AA352:AA353"/>
    <mergeCell ref="AB352:AB353"/>
    <mergeCell ref="M352:M353"/>
    <mergeCell ref="N352:N353"/>
    <mergeCell ref="O352:O353"/>
    <mergeCell ref="P352:P353"/>
    <mergeCell ref="Q352:Q353"/>
    <mergeCell ref="R352:R353"/>
    <mergeCell ref="G352:G353"/>
    <mergeCell ref="H352:H353"/>
    <mergeCell ref="I352:I353"/>
    <mergeCell ref="J352:J353"/>
    <mergeCell ref="K352:K353"/>
    <mergeCell ref="L352:L353"/>
    <mergeCell ref="A352:A353"/>
    <mergeCell ref="B352:B353"/>
    <mergeCell ref="C352:C353"/>
    <mergeCell ref="D352:D353"/>
    <mergeCell ref="E356:E357"/>
    <mergeCell ref="F356:F357"/>
    <mergeCell ref="Y354:Y355"/>
    <mergeCell ref="Z354:Z355"/>
    <mergeCell ref="AA354:AA355"/>
    <mergeCell ref="AB354:AB355"/>
    <mergeCell ref="AI354:AI355"/>
    <mergeCell ref="AJ354:AJ355"/>
    <mergeCell ref="O354:O355"/>
    <mergeCell ref="P354:P355"/>
    <mergeCell ref="Q354:Q355"/>
    <mergeCell ref="R354:R355"/>
    <mergeCell ref="S354:S355"/>
    <mergeCell ref="X354:X355"/>
    <mergeCell ref="I354:I355"/>
    <mergeCell ref="J354:J355"/>
    <mergeCell ref="K354:K355"/>
    <mergeCell ref="L354:L355"/>
    <mergeCell ref="M354:M355"/>
    <mergeCell ref="N354:N355"/>
    <mergeCell ref="AI356:AI357"/>
    <mergeCell ref="AJ356:AJ357"/>
    <mergeCell ref="A358:A359"/>
    <mergeCell ref="B358:B359"/>
    <mergeCell ref="C358:C359"/>
    <mergeCell ref="D358:D359"/>
    <mergeCell ref="E358:E359"/>
    <mergeCell ref="F358:F359"/>
    <mergeCell ref="G358:G359"/>
    <mergeCell ref="H358:H359"/>
    <mergeCell ref="S356:S357"/>
    <mergeCell ref="X356:X357"/>
    <mergeCell ref="Y356:Y357"/>
    <mergeCell ref="Z356:Z357"/>
    <mergeCell ref="AA356:AA357"/>
    <mergeCell ref="AB356:AB357"/>
    <mergeCell ref="M356:M357"/>
    <mergeCell ref="N356:N357"/>
    <mergeCell ref="O356:O357"/>
    <mergeCell ref="P356:P357"/>
    <mergeCell ref="Q356:Q357"/>
    <mergeCell ref="R356:R357"/>
    <mergeCell ref="G356:G357"/>
    <mergeCell ref="H356:H357"/>
    <mergeCell ref="I356:I357"/>
    <mergeCell ref="J356:J357"/>
    <mergeCell ref="K356:K357"/>
    <mergeCell ref="L356:L357"/>
    <mergeCell ref="A356:A357"/>
    <mergeCell ref="B356:B357"/>
    <mergeCell ref="C356:C357"/>
    <mergeCell ref="D356:D357"/>
    <mergeCell ref="E360:E361"/>
    <mergeCell ref="F360:F361"/>
    <mergeCell ref="Y358:Y359"/>
    <mergeCell ref="Z358:Z359"/>
    <mergeCell ref="AA358:AA359"/>
    <mergeCell ref="AB358:AB359"/>
    <mergeCell ref="AI358:AI359"/>
    <mergeCell ref="AJ358:AJ359"/>
    <mergeCell ref="O358:O359"/>
    <mergeCell ref="P358:P359"/>
    <mergeCell ref="Q358:Q359"/>
    <mergeCell ref="R358:R359"/>
    <mergeCell ref="S358:S359"/>
    <mergeCell ref="X358:X359"/>
    <mergeCell ref="I358:I359"/>
    <mergeCell ref="J358:J359"/>
    <mergeCell ref="K358:K359"/>
    <mergeCell ref="L358:L359"/>
    <mergeCell ref="M358:M359"/>
    <mergeCell ref="N358:N359"/>
    <mergeCell ref="AI360:AI361"/>
    <mergeCell ref="AJ360:AJ361"/>
    <mergeCell ref="A362:A363"/>
    <mergeCell ref="B362:B363"/>
    <mergeCell ref="C362:C363"/>
    <mergeCell ref="D362:D363"/>
    <mergeCell ref="E362:E363"/>
    <mergeCell ref="F362:F363"/>
    <mergeCell ref="G362:G363"/>
    <mergeCell ref="H362:H363"/>
    <mergeCell ref="S360:S361"/>
    <mergeCell ref="X360:X361"/>
    <mergeCell ref="Y360:Y361"/>
    <mergeCell ref="Z360:Z361"/>
    <mergeCell ref="AA360:AA361"/>
    <mergeCell ref="AB360:AB361"/>
    <mergeCell ref="M360:M361"/>
    <mergeCell ref="N360:N361"/>
    <mergeCell ref="O360:O361"/>
    <mergeCell ref="P360:P361"/>
    <mergeCell ref="Q360:Q361"/>
    <mergeCell ref="R360:R361"/>
    <mergeCell ref="G360:G361"/>
    <mergeCell ref="H360:H361"/>
    <mergeCell ref="I360:I361"/>
    <mergeCell ref="J360:J361"/>
    <mergeCell ref="K360:K361"/>
    <mergeCell ref="L360:L361"/>
    <mergeCell ref="A360:A361"/>
    <mergeCell ref="B360:B361"/>
    <mergeCell ref="C360:C361"/>
    <mergeCell ref="D360:D361"/>
    <mergeCell ref="E364:E365"/>
    <mergeCell ref="F364:F365"/>
    <mergeCell ref="Y362:Y363"/>
    <mergeCell ref="Z362:Z363"/>
    <mergeCell ref="AA362:AA363"/>
    <mergeCell ref="AB362:AB363"/>
    <mergeCell ref="AI362:AI363"/>
    <mergeCell ref="AJ362:AJ363"/>
    <mergeCell ref="O362:O363"/>
    <mergeCell ref="P362:P363"/>
    <mergeCell ref="Q362:Q363"/>
    <mergeCell ref="R362:R363"/>
    <mergeCell ref="S362:S363"/>
    <mergeCell ref="X362:X363"/>
    <mergeCell ref="I362:I363"/>
    <mergeCell ref="J362:J363"/>
    <mergeCell ref="K362:K363"/>
    <mergeCell ref="L362:L363"/>
    <mergeCell ref="M362:M363"/>
    <mergeCell ref="N362:N363"/>
    <mergeCell ref="AI364:AI365"/>
    <mergeCell ref="AJ364:AJ365"/>
    <mergeCell ref="A366:A367"/>
    <mergeCell ref="B366:B367"/>
    <mergeCell ref="C366:C367"/>
    <mergeCell ref="D366:D367"/>
    <mergeCell ref="E366:E367"/>
    <mergeCell ref="F366:F367"/>
    <mergeCell ref="G366:G367"/>
    <mergeCell ref="H366:H367"/>
    <mergeCell ref="S364:S365"/>
    <mergeCell ref="X364:X365"/>
    <mergeCell ref="Y364:Y365"/>
    <mergeCell ref="Z364:Z365"/>
    <mergeCell ref="AA364:AA365"/>
    <mergeCell ref="AB364:AB365"/>
    <mergeCell ref="M364:M365"/>
    <mergeCell ref="N364:N365"/>
    <mergeCell ref="O364:O365"/>
    <mergeCell ref="P364:P365"/>
    <mergeCell ref="Q364:Q365"/>
    <mergeCell ref="R364:R365"/>
    <mergeCell ref="G364:G365"/>
    <mergeCell ref="H364:H365"/>
    <mergeCell ref="I364:I365"/>
    <mergeCell ref="J364:J365"/>
    <mergeCell ref="K364:K365"/>
    <mergeCell ref="L364:L365"/>
    <mergeCell ref="A364:A365"/>
    <mergeCell ref="B364:B365"/>
    <mergeCell ref="C364:C365"/>
    <mergeCell ref="D364:D365"/>
    <mergeCell ref="E368:E369"/>
    <mergeCell ref="F368:F369"/>
    <mergeCell ref="Y366:Y367"/>
    <mergeCell ref="Z366:Z367"/>
    <mergeCell ref="AA366:AA367"/>
    <mergeCell ref="AB366:AB367"/>
    <mergeCell ref="AI366:AI367"/>
    <mergeCell ref="AJ366:AJ367"/>
    <mergeCell ref="O366:O367"/>
    <mergeCell ref="P366:P367"/>
    <mergeCell ref="Q366:Q367"/>
    <mergeCell ref="R366:R367"/>
    <mergeCell ref="S366:S367"/>
    <mergeCell ref="X366:X367"/>
    <mergeCell ref="I366:I367"/>
    <mergeCell ref="J366:J367"/>
    <mergeCell ref="K366:K367"/>
    <mergeCell ref="L366:L367"/>
    <mergeCell ref="M366:M367"/>
    <mergeCell ref="N366:N367"/>
    <mergeCell ref="AI368:AI369"/>
    <mergeCell ref="AJ368:AJ369"/>
    <mergeCell ref="A370:A371"/>
    <mergeCell ref="B370:B371"/>
    <mergeCell ref="C370:C371"/>
    <mergeCell ref="D370:D371"/>
    <mergeCell ref="E370:E371"/>
    <mergeCell ref="F370:F371"/>
    <mergeCell ref="G370:G371"/>
    <mergeCell ref="H370:H371"/>
    <mergeCell ref="S368:S369"/>
    <mergeCell ref="X368:X369"/>
    <mergeCell ref="Y368:Y369"/>
    <mergeCell ref="Z368:Z369"/>
    <mergeCell ref="AA368:AA369"/>
    <mergeCell ref="AB368:AB369"/>
    <mergeCell ref="M368:M369"/>
    <mergeCell ref="N368:N369"/>
    <mergeCell ref="O368:O369"/>
    <mergeCell ref="P368:P369"/>
    <mergeCell ref="Q368:Q369"/>
    <mergeCell ref="R368:R369"/>
    <mergeCell ref="G368:G369"/>
    <mergeCell ref="H368:H369"/>
    <mergeCell ref="I368:I369"/>
    <mergeCell ref="J368:J369"/>
    <mergeCell ref="K368:K369"/>
    <mergeCell ref="L368:L369"/>
    <mergeCell ref="A368:A369"/>
    <mergeCell ref="B368:B369"/>
    <mergeCell ref="C368:C369"/>
    <mergeCell ref="D368:D369"/>
    <mergeCell ref="E372:E373"/>
    <mergeCell ref="F372:F373"/>
    <mergeCell ref="Y370:Y371"/>
    <mergeCell ref="Z370:Z371"/>
    <mergeCell ref="AA370:AA371"/>
    <mergeCell ref="AB370:AB371"/>
    <mergeCell ref="AI370:AI371"/>
    <mergeCell ref="AJ370:AJ371"/>
    <mergeCell ref="O370:O371"/>
    <mergeCell ref="P370:P371"/>
    <mergeCell ref="Q370:Q371"/>
    <mergeCell ref="R370:R371"/>
    <mergeCell ref="S370:S371"/>
    <mergeCell ref="X370:X371"/>
    <mergeCell ref="I370:I371"/>
    <mergeCell ref="J370:J371"/>
    <mergeCell ref="K370:K371"/>
    <mergeCell ref="L370:L371"/>
    <mergeCell ref="M370:M371"/>
    <mergeCell ref="N370:N371"/>
    <mergeCell ref="AI372:AI373"/>
    <mergeCell ref="AJ372:AJ373"/>
    <mergeCell ref="A374:A375"/>
    <mergeCell ref="B374:B375"/>
    <mergeCell ref="C374:C375"/>
    <mergeCell ref="D374:D375"/>
    <mergeCell ref="E374:E375"/>
    <mergeCell ref="F374:F375"/>
    <mergeCell ref="G374:G375"/>
    <mergeCell ref="H374:H375"/>
    <mergeCell ref="S372:S373"/>
    <mergeCell ref="X372:X373"/>
    <mergeCell ref="Y372:Y373"/>
    <mergeCell ref="Z372:Z373"/>
    <mergeCell ref="AA372:AA373"/>
    <mergeCell ref="AB372:AB373"/>
    <mergeCell ref="M372:M373"/>
    <mergeCell ref="N372:N373"/>
    <mergeCell ref="O372:O373"/>
    <mergeCell ref="P372:P373"/>
    <mergeCell ref="Q372:Q373"/>
    <mergeCell ref="R372:R373"/>
    <mergeCell ref="G372:G373"/>
    <mergeCell ref="H372:H373"/>
    <mergeCell ref="I372:I373"/>
    <mergeCell ref="J372:J373"/>
    <mergeCell ref="K372:K373"/>
    <mergeCell ref="L372:L373"/>
    <mergeCell ref="A372:A373"/>
    <mergeCell ref="B372:B373"/>
    <mergeCell ref="C372:C373"/>
    <mergeCell ref="D372:D373"/>
    <mergeCell ref="E376:E377"/>
    <mergeCell ref="F376:F377"/>
    <mergeCell ref="Y374:Y375"/>
    <mergeCell ref="Z374:Z375"/>
    <mergeCell ref="AA374:AA375"/>
    <mergeCell ref="AB374:AB375"/>
    <mergeCell ref="AI374:AI375"/>
    <mergeCell ref="AJ374:AJ375"/>
    <mergeCell ref="O374:O375"/>
    <mergeCell ref="P374:P375"/>
    <mergeCell ref="Q374:Q375"/>
    <mergeCell ref="R374:R375"/>
    <mergeCell ref="S374:S375"/>
    <mergeCell ref="X374:X375"/>
    <mergeCell ref="I374:I375"/>
    <mergeCell ref="J374:J375"/>
    <mergeCell ref="K374:K375"/>
    <mergeCell ref="L374:L375"/>
    <mergeCell ref="M374:M375"/>
    <mergeCell ref="N374:N375"/>
    <mergeCell ref="AI376:AI377"/>
    <mergeCell ref="AJ376:AJ377"/>
    <mergeCell ref="A378:A379"/>
    <mergeCell ref="B378:B379"/>
    <mergeCell ref="C378:C379"/>
    <mergeCell ref="D378:D379"/>
    <mergeCell ref="E378:E379"/>
    <mergeCell ref="F378:F379"/>
    <mergeCell ref="G378:G379"/>
    <mergeCell ref="H378:H379"/>
    <mergeCell ref="S376:S377"/>
    <mergeCell ref="X376:X377"/>
    <mergeCell ref="Y376:Y377"/>
    <mergeCell ref="Z376:Z377"/>
    <mergeCell ref="AA376:AA377"/>
    <mergeCell ref="AB376:AB377"/>
    <mergeCell ref="M376:M377"/>
    <mergeCell ref="N376:N377"/>
    <mergeCell ref="O376:O377"/>
    <mergeCell ref="P376:P377"/>
    <mergeCell ref="Q376:Q377"/>
    <mergeCell ref="R376:R377"/>
    <mergeCell ref="G376:G377"/>
    <mergeCell ref="H376:H377"/>
    <mergeCell ref="I376:I377"/>
    <mergeCell ref="J376:J377"/>
    <mergeCell ref="K376:K377"/>
    <mergeCell ref="L376:L377"/>
    <mergeCell ref="A376:A377"/>
    <mergeCell ref="B376:B377"/>
    <mergeCell ref="C376:C377"/>
    <mergeCell ref="D376:D377"/>
    <mergeCell ref="E380:E381"/>
    <mergeCell ref="F380:F381"/>
    <mergeCell ref="Y378:Y379"/>
    <mergeCell ref="Z378:Z379"/>
    <mergeCell ref="AA378:AA379"/>
    <mergeCell ref="AB378:AB379"/>
    <mergeCell ref="AI378:AI379"/>
    <mergeCell ref="AJ378:AJ379"/>
    <mergeCell ref="O378:O379"/>
    <mergeCell ref="P378:P379"/>
    <mergeCell ref="Q378:Q379"/>
    <mergeCell ref="R378:R379"/>
    <mergeCell ref="S378:S379"/>
    <mergeCell ref="X378:X379"/>
    <mergeCell ref="I378:I379"/>
    <mergeCell ref="J378:J379"/>
    <mergeCell ref="K378:K379"/>
    <mergeCell ref="L378:L379"/>
    <mergeCell ref="M378:M379"/>
    <mergeCell ref="N378:N379"/>
    <mergeCell ref="AI380:AI381"/>
    <mergeCell ref="AJ380:AJ381"/>
    <mergeCell ref="A382:A383"/>
    <mergeCell ref="B382:B383"/>
    <mergeCell ref="C382:C383"/>
    <mergeCell ref="D382:D383"/>
    <mergeCell ref="E382:E383"/>
    <mergeCell ref="F382:F383"/>
    <mergeCell ref="G382:G383"/>
    <mergeCell ref="H382:H383"/>
    <mergeCell ref="S380:S381"/>
    <mergeCell ref="X380:X381"/>
    <mergeCell ref="Y380:Y381"/>
    <mergeCell ref="Z380:Z381"/>
    <mergeCell ref="AA380:AA381"/>
    <mergeCell ref="AB380:AB381"/>
    <mergeCell ref="M380:M381"/>
    <mergeCell ref="N380:N381"/>
    <mergeCell ref="O380:O381"/>
    <mergeCell ref="P380:P381"/>
    <mergeCell ref="Q380:Q381"/>
    <mergeCell ref="R380:R381"/>
    <mergeCell ref="G380:G381"/>
    <mergeCell ref="H380:H381"/>
    <mergeCell ref="I380:I381"/>
    <mergeCell ref="J380:J381"/>
    <mergeCell ref="K380:K381"/>
    <mergeCell ref="L380:L381"/>
    <mergeCell ref="A380:A381"/>
    <mergeCell ref="B380:B381"/>
    <mergeCell ref="C380:C381"/>
    <mergeCell ref="D380:D381"/>
    <mergeCell ref="E384:E385"/>
    <mergeCell ref="F384:F385"/>
    <mergeCell ref="Y382:Y383"/>
    <mergeCell ref="Z382:Z383"/>
    <mergeCell ref="AA382:AA383"/>
    <mergeCell ref="AB382:AB383"/>
    <mergeCell ref="AI382:AI383"/>
    <mergeCell ref="AJ382:AJ383"/>
    <mergeCell ref="O382:O383"/>
    <mergeCell ref="P382:P383"/>
    <mergeCell ref="Q382:Q383"/>
    <mergeCell ref="R382:R383"/>
    <mergeCell ref="S382:S383"/>
    <mergeCell ref="X382:X383"/>
    <mergeCell ref="I382:I383"/>
    <mergeCell ref="J382:J383"/>
    <mergeCell ref="K382:K383"/>
    <mergeCell ref="L382:L383"/>
    <mergeCell ref="M382:M383"/>
    <mergeCell ref="N382:N383"/>
    <mergeCell ref="AI384:AI385"/>
    <mergeCell ref="AJ384:AJ385"/>
    <mergeCell ref="A386:A387"/>
    <mergeCell ref="B386:B387"/>
    <mergeCell ref="C386:C387"/>
    <mergeCell ref="D386:D387"/>
    <mergeCell ref="E386:E387"/>
    <mergeCell ref="F386:F387"/>
    <mergeCell ref="G386:G387"/>
    <mergeCell ref="H386:H387"/>
    <mergeCell ref="S384:S385"/>
    <mergeCell ref="X384:X385"/>
    <mergeCell ref="Y384:Y385"/>
    <mergeCell ref="Z384:Z385"/>
    <mergeCell ref="AA384:AA385"/>
    <mergeCell ref="AB384:AB385"/>
    <mergeCell ref="M384:M385"/>
    <mergeCell ref="N384:N385"/>
    <mergeCell ref="O384:O385"/>
    <mergeCell ref="P384:P385"/>
    <mergeCell ref="Q384:Q385"/>
    <mergeCell ref="R384:R385"/>
    <mergeCell ref="G384:G385"/>
    <mergeCell ref="H384:H385"/>
    <mergeCell ref="I384:I385"/>
    <mergeCell ref="J384:J385"/>
    <mergeCell ref="K384:K385"/>
    <mergeCell ref="L384:L385"/>
    <mergeCell ref="A384:A385"/>
    <mergeCell ref="B384:B385"/>
    <mergeCell ref="C384:C385"/>
    <mergeCell ref="D384:D385"/>
    <mergeCell ref="E388:E389"/>
    <mergeCell ref="F388:F389"/>
    <mergeCell ref="Y386:Y387"/>
    <mergeCell ref="Z386:Z387"/>
    <mergeCell ref="AA386:AA387"/>
    <mergeCell ref="AB386:AB387"/>
    <mergeCell ref="AI386:AI387"/>
    <mergeCell ref="AJ386:AJ387"/>
    <mergeCell ref="O386:O387"/>
    <mergeCell ref="P386:P387"/>
    <mergeCell ref="Q386:Q387"/>
    <mergeCell ref="R386:R387"/>
    <mergeCell ref="S386:S387"/>
    <mergeCell ref="X386:X387"/>
    <mergeCell ref="I386:I387"/>
    <mergeCell ref="J386:J387"/>
    <mergeCell ref="K386:K387"/>
    <mergeCell ref="L386:L387"/>
    <mergeCell ref="M386:M387"/>
    <mergeCell ref="N386:N387"/>
    <mergeCell ref="AI388:AI389"/>
    <mergeCell ref="AJ388:AJ389"/>
    <mergeCell ref="A390:A391"/>
    <mergeCell ref="B390:B391"/>
    <mergeCell ref="C390:C391"/>
    <mergeCell ref="D390:D391"/>
    <mergeCell ref="E390:E391"/>
    <mergeCell ref="F390:F391"/>
    <mergeCell ref="G390:G391"/>
    <mergeCell ref="H390:H391"/>
    <mergeCell ref="S388:S389"/>
    <mergeCell ref="X388:X389"/>
    <mergeCell ref="Y388:Y389"/>
    <mergeCell ref="Z388:Z389"/>
    <mergeCell ref="AA388:AA389"/>
    <mergeCell ref="AB388:AB389"/>
    <mergeCell ref="M388:M389"/>
    <mergeCell ref="N388:N389"/>
    <mergeCell ref="O388:O389"/>
    <mergeCell ref="P388:P389"/>
    <mergeCell ref="Q388:Q389"/>
    <mergeCell ref="R388:R389"/>
    <mergeCell ref="G388:G389"/>
    <mergeCell ref="H388:H389"/>
    <mergeCell ref="I388:I389"/>
    <mergeCell ref="J388:J389"/>
    <mergeCell ref="K388:K389"/>
    <mergeCell ref="L388:L389"/>
    <mergeCell ref="A388:A389"/>
    <mergeCell ref="B388:B389"/>
    <mergeCell ref="C388:C389"/>
    <mergeCell ref="D388:D389"/>
    <mergeCell ref="E392:E393"/>
    <mergeCell ref="F392:F393"/>
    <mergeCell ref="Y390:Y391"/>
    <mergeCell ref="Z390:Z391"/>
    <mergeCell ref="AA390:AA391"/>
    <mergeCell ref="AB390:AB391"/>
    <mergeCell ref="AI390:AI391"/>
    <mergeCell ref="AJ390:AJ391"/>
    <mergeCell ref="O390:O391"/>
    <mergeCell ref="P390:P391"/>
    <mergeCell ref="Q390:Q391"/>
    <mergeCell ref="R390:R391"/>
    <mergeCell ref="S390:S391"/>
    <mergeCell ref="X390:X391"/>
    <mergeCell ref="I390:I391"/>
    <mergeCell ref="J390:J391"/>
    <mergeCell ref="K390:K391"/>
    <mergeCell ref="L390:L391"/>
    <mergeCell ref="M390:M391"/>
    <mergeCell ref="N390:N391"/>
    <mergeCell ref="AI392:AI393"/>
    <mergeCell ref="AJ392:AJ393"/>
    <mergeCell ref="A394:A395"/>
    <mergeCell ref="B394:B395"/>
    <mergeCell ref="C394:C395"/>
    <mergeCell ref="D394:D395"/>
    <mergeCell ref="E394:E395"/>
    <mergeCell ref="F394:F395"/>
    <mergeCell ref="G394:G395"/>
    <mergeCell ref="H394:H395"/>
    <mergeCell ref="S392:S393"/>
    <mergeCell ref="X392:X393"/>
    <mergeCell ref="Y392:Y393"/>
    <mergeCell ref="Z392:Z393"/>
    <mergeCell ref="AA392:AA393"/>
    <mergeCell ref="AB392:AB393"/>
    <mergeCell ref="M392:M393"/>
    <mergeCell ref="N392:N393"/>
    <mergeCell ref="O392:O393"/>
    <mergeCell ref="P392:P393"/>
    <mergeCell ref="Q392:Q393"/>
    <mergeCell ref="R392:R393"/>
    <mergeCell ref="G392:G393"/>
    <mergeCell ref="H392:H393"/>
    <mergeCell ref="I392:I393"/>
    <mergeCell ref="J392:J393"/>
    <mergeCell ref="K392:K393"/>
    <mergeCell ref="L392:L393"/>
    <mergeCell ref="A392:A393"/>
    <mergeCell ref="B392:B393"/>
    <mergeCell ref="C392:C393"/>
    <mergeCell ref="D392:D393"/>
    <mergeCell ref="E396:E397"/>
    <mergeCell ref="F396:F397"/>
    <mergeCell ref="Y394:Y395"/>
    <mergeCell ref="Z394:Z395"/>
    <mergeCell ref="AA394:AA395"/>
    <mergeCell ref="AB394:AB395"/>
    <mergeCell ref="AI394:AI395"/>
    <mergeCell ref="AJ394:AJ395"/>
    <mergeCell ref="O394:O395"/>
    <mergeCell ref="P394:P395"/>
    <mergeCell ref="Q394:Q395"/>
    <mergeCell ref="R394:R395"/>
    <mergeCell ref="S394:S395"/>
    <mergeCell ref="X394:X395"/>
    <mergeCell ref="I394:I395"/>
    <mergeCell ref="J394:J395"/>
    <mergeCell ref="K394:K395"/>
    <mergeCell ref="L394:L395"/>
    <mergeCell ref="M394:M395"/>
    <mergeCell ref="N394:N395"/>
    <mergeCell ref="AI396:AI397"/>
    <mergeCell ref="AJ396:AJ397"/>
    <mergeCell ref="A398:A399"/>
    <mergeCell ref="B398:B399"/>
    <mergeCell ref="C398:C399"/>
    <mergeCell ref="D398:D399"/>
    <mergeCell ref="E398:E399"/>
    <mergeCell ref="F398:F399"/>
    <mergeCell ref="G398:G399"/>
    <mergeCell ref="H398:H399"/>
    <mergeCell ref="S396:S397"/>
    <mergeCell ref="X396:X397"/>
    <mergeCell ref="Y396:Y397"/>
    <mergeCell ref="Z396:Z397"/>
    <mergeCell ref="AA396:AA397"/>
    <mergeCell ref="AB396:AB397"/>
    <mergeCell ref="M396:M397"/>
    <mergeCell ref="N396:N397"/>
    <mergeCell ref="O396:O397"/>
    <mergeCell ref="P396:P397"/>
    <mergeCell ref="Q396:Q397"/>
    <mergeCell ref="R396:R397"/>
    <mergeCell ref="G396:G397"/>
    <mergeCell ref="H396:H397"/>
    <mergeCell ref="I396:I397"/>
    <mergeCell ref="J396:J397"/>
    <mergeCell ref="K396:K397"/>
    <mergeCell ref="L396:L397"/>
    <mergeCell ref="A396:A397"/>
    <mergeCell ref="B396:B397"/>
    <mergeCell ref="C396:C397"/>
    <mergeCell ref="D396:D397"/>
    <mergeCell ref="E400:E401"/>
    <mergeCell ref="F400:F401"/>
    <mergeCell ref="Y398:Y399"/>
    <mergeCell ref="Z398:Z399"/>
    <mergeCell ref="AA398:AA399"/>
    <mergeCell ref="AB398:AB399"/>
    <mergeCell ref="AI398:AI399"/>
    <mergeCell ref="AJ398:AJ399"/>
    <mergeCell ref="O398:O399"/>
    <mergeCell ref="P398:P399"/>
    <mergeCell ref="Q398:Q399"/>
    <mergeCell ref="R398:R399"/>
    <mergeCell ref="S398:S399"/>
    <mergeCell ref="X398:X399"/>
    <mergeCell ref="I398:I399"/>
    <mergeCell ref="J398:J399"/>
    <mergeCell ref="K398:K399"/>
    <mergeCell ref="L398:L399"/>
    <mergeCell ref="M398:M399"/>
    <mergeCell ref="N398:N399"/>
    <mergeCell ref="AI400:AI401"/>
    <mergeCell ref="AJ400:AJ401"/>
    <mergeCell ref="A402:A403"/>
    <mergeCell ref="B402:B403"/>
    <mergeCell ref="C402:C403"/>
    <mergeCell ref="D402:D403"/>
    <mergeCell ref="E402:E403"/>
    <mergeCell ref="F402:F403"/>
    <mergeCell ref="G402:G403"/>
    <mergeCell ref="H402:H403"/>
    <mergeCell ref="S400:S401"/>
    <mergeCell ref="X400:X401"/>
    <mergeCell ref="Y400:Y401"/>
    <mergeCell ref="Z400:Z401"/>
    <mergeCell ref="AA400:AA401"/>
    <mergeCell ref="AB400:AB401"/>
    <mergeCell ref="M400:M401"/>
    <mergeCell ref="N400:N401"/>
    <mergeCell ref="O400:O401"/>
    <mergeCell ref="P400:P401"/>
    <mergeCell ref="Q400:Q401"/>
    <mergeCell ref="R400:R401"/>
    <mergeCell ref="G400:G401"/>
    <mergeCell ref="H400:H401"/>
    <mergeCell ref="I400:I401"/>
    <mergeCell ref="J400:J401"/>
    <mergeCell ref="K400:K401"/>
    <mergeCell ref="L400:L401"/>
    <mergeCell ref="A400:A401"/>
    <mergeCell ref="B400:B401"/>
    <mergeCell ref="C400:C401"/>
    <mergeCell ref="D400:D401"/>
    <mergeCell ref="E404:E405"/>
    <mergeCell ref="F404:F405"/>
    <mergeCell ref="Y402:Y403"/>
    <mergeCell ref="Z402:Z403"/>
    <mergeCell ref="AA402:AA403"/>
    <mergeCell ref="AB402:AB403"/>
    <mergeCell ref="AI402:AI403"/>
    <mergeCell ref="AJ402:AJ403"/>
    <mergeCell ref="O402:O403"/>
    <mergeCell ref="P402:P403"/>
    <mergeCell ref="Q402:Q403"/>
    <mergeCell ref="R402:R403"/>
    <mergeCell ref="S402:S403"/>
    <mergeCell ref="X402:X403"/>
    <mergeCell ref="I402:I403"/>
    <mergeCell ref="J402:J403"/>
    <mergeCell ref="K402:K403"/>
    <mergeCell ref="L402:L403"/>
    <mergeCell ref="M402:M403"/>
    <mergeCell ref="N402:N403"/>
    <mergeCell ref="AI404:AI405"/>
    <mergeCell ref="AJ404:AJ405"/>
    <mergeCell ref="A406:A407"/>
    <mergeCell ref="B406:B407"/>
    <mergeCell ref="C406:C407"/>
    <mergeCell ref="D406:D407"/>
    <mergeCell ref="E406:E407"/>
    <mergeCell ref="F406:F407"/>
    <mergeCell ref="G406:G407"/>
    <mergeCell ref="H406:H407"/>
    <mergeCell ref="S404:S405"/>
    <mergeCell ref="X404:X405"/>
    <mergeCell ref="Y404:Y405"/>
    <mergeCell ref="Z404:Z405"/>
    <mergeCell ref="AA404:AA405"/>
    <mergeCell ref="AB404:AB405"/>
    <mergeCell ref="M404:M405"/>
    <mergeCell ref="N404:N405"/>
    <mergeCell ref="O404:O405"/>
    <mergeCell ref="P404:P405"/>
    <mergeCell ref="Q404:Q405"/>
    <mergeCell ref="R404:R405"/>
    <mergeCell ref="G404:G405"/>
    <mergeCell ref="H404:H405"/>
    <mergeCell ref="I404:I405"/>
    <mergeCell ref="J404:J405"/>
    <mergeCell ref="K404:K405"/>
    <mergeCell ref="L404:L405"/>
    <mergeCell ref="A404:A405"/>
    <mergeCell ref="B404:B405"/>
    <mergeCell ref="C404:C405"/>
    <mergeCell ref="D404:D405"/>
    <mergeCell ref="E408:E409"/>
    <mergeCell ref="F408:F409"/>
    <mergeCell ref="Y406:Y407"/>
    <mergeCell ref="Z406:Z407"/>
    <mergeCell ref="AA406:AA407"/>
    <mergeCell ref="AB406:AB407"/>
    <mergeCell ref="AI406:AI407"/>
    <mergeCell ref="AJ406:AJ407"/>
    <mergeCell ref="O406:O407"/>
    <mergeCell ref="P406:P407"/>
    <mergeCell ref="Q406:Q407"/>
    <mergeCell ref="R406:R407"/>
    <mergeCell ref="S406:S407"/>
    <mergeCell ref="X406:X407"/>
    <mergeCell ref="I406:I407"/>
    <mergeCell ref="J406:J407"/>
    <mergeCell ref="K406:K407"/>
    <mergeCell ref="L406:L407"/>
    <mergeCell ref="M406:M407"/>
    <mergeCell ref="N406:N407"/>
    <mergeCell ref="AI408:AI409"/>
    <mergeCell ref="AJ408:AJ409"/>
    <mergeCell ref="A410:A411"/>
    <mergeCell ref="B410:B411"/>
    <mergeCell ref="C410:C411"/>
    <mergeCell ref="D410:D411"/>
    <mergeCell ref="E410:E411"/>
    <mergeCell ref="F410:F411"/>
    <mergeCell ref="G410:G411"/>
    <mergeCell ref="H410:H411"/>
    <mergeCell ref="S408:S409"/>
    <mergeCell ref="X408:X409"/>
    <mergeCell ref="Y408:Y409"/>
    <mergeCell ref="Z408:Z409"/>
    <mergeCell ref="AA408:AA409"/>
    <mergeCell ref="AB408:AB409"/>
    <mergeCell ref="M408:M409"/>
    <mergeCell ref="N408:N409"/>
    <mergeCell ref="O408:O409"/>
    <mergeCell ref="P408:P409"/>
    <mergeCell ref="Q408:Q409"/>
    <mergeCell ref="R408:R409"/>
    <mergeCell ref="G408:G409"/>
    <mergeCell ref="H408:H409"/>
    <mergeCell ref="I408:I409"/>
    <mergeCell ref="J408:J409"/>
    <mergeCell ref="K408:K409"/>
    <mergeCell ref="L408:L409"/>
    <mergeCell ref="A408:A409"/>
    <mergeCell ref="B408:B409"/>
    <mergeCell ref="C408:C409"/>
    <mergeCell ref="D408:D409"/>
    <mergeCell ref="E412:E413"/>
    <mergeCell ref="F412:F413"/>
    <mergeCell ref="Y410:Y411"/>
    <mergeCell ref="Z410:Z411"/>
    <mergeCell ref="AA410:AA411"/>
    <mergeCell ref="AB410:AB411"/>
    <mergeCell ref="AI410:AI411"/>
    <mergeCell ref="AJ410:AJ411"/>
    <mergeCell ref="O410:O411"/>
    <mergeCell ref="P410:P411"/>
    <mergeCell ref="Q410:Q411"/>
    <mergeCell ref="R410:R411"/>
    <mergeCell ref="S410:S411"/>
    <mergeCell ref="X410:X411"/>
    <mergeCell ref="I410:I411"/>
    <mergeCell ref="J410:J411"/>
    <mergeCell ref="K410:K411"/>
    <mergeCell ref="L410:L411"/>
    <mergeCell ref="M410:M411"/>
    <mergeCell ref="N410:N411"/>
    <mergeCell ref="AI412:AI413"/>
    <mergeCell ref="AJ412:AJ413"/>
    <mergeCell ref="A414:A415"/>
    <mergeCell ref="B414:B415"/>
    <mergeCell ref="C414:C415"/>
    <mergeCell ref="D414:D415"/>
    <mergeCell ref="E414:E415"/>
    <mergeCell ref="F414:F415"/>
    <mergeCell ref="G414:G415"/>
    <mergeCell ref="H414:H415"/>
    <mergeCell ref="S412:S413"/>
    <mergeCell ref="X412:X413"/>
    <mergeCell ref="Y412:Y413"/>
    <mergeCell ref="Z412:Z413"/>
    <mergeCell ref="AA412:AA413"/>
    <mergeCell ref="AB412:AB413"/>
    <mergeCell ref="M412:M413"/>
    <mergeCell ref="N412:N413"/>
    <mergeCell ref="O412:O413"/>
    <mergeCell ref="P412:P413"/>
    <mergeCell ref="Q412:Q413"/>
    <mergeCell ref="R412:R413"/>
    <mergeCell ref="G412:G413"/>
    <mergeCell ref="H412:H413"/>
    <mergeCell ref="I412:I413"/>
    <mergeCell ref="J412:J413"/>
    <mergeCell ref="K412:K413"/>
    <mergeCell ref="L412:L413"/>
    <mergeCell ref="A412:A413"/>
    <mergeCell ref="B412:B413"/>
    <mergeCell ref="C412:C413"/>
    <mergeCell ref="D412:D413"/>
    <mergeCell ref="E416:E417"/>
    <mergeCell ref="F416:F417"/>
    <mergeCell ref="Y414:Y415"/>
    <mergeCell ref="Z414:Z415"/>
    <mergeCell ref="AA414:AA415"/>
    <mergeCell ref="AB414:AB415"/>
    <mergeCell ref="AI414:AI415"/>
    <mergeCell ref="AJ414:AJ415"/>
    <mergeCell ref="O414:O415"/>
    <mergeCell ref="P414:P415"/>
    <mergeCell ref="Q414:Q415"/>
    <mergeCell ref="R414:R415"/>
    <mergeCell ref="S414:S415"/>
    <mergeCell ref="X414:X415"/>
    <mergeCell ref="I414:I415"/>
    <mergeCell ref="J414:J415"/>
    <mergeCell ref="K414:K415"/>
    <mergeCell ref="L414:L415"/>
    <mergeCell ref="M414:M415"/>
    <mergeCell ref="N414:N415"/>
    <mergeCell ref="AI416:AI417"/>
    <mergeCell ref="AJ416:AJ417"/>
    <mergeCell ref="A418:A419"/>
    <mergeCell ref="B418:B419"/>
    <mergeCell ref="C418:C419"/>
    <mergeCell ref="D418:D419"/>
    <mergeCell ref="E418:E419"/>
    <mergeCell ref="F418:F419"/>
    <mergeCell ref="G418:G419"/>
    <mergeCell ref="H418:H419"/>
    <mergeCell ref="S416:S417"/>
    <mergeCell ref="X416:X417"/>
    <mergeCell ref="Y416:Y417"/>
    <mergeCell ref="Z416:Z417"/>
    <mergeCell ref="AA416:AA417"/>
    <mergeCell ref="AB416:AB417"/>
    <mergeCell ref="M416:M417"/>
    <mergeCell ref="N416:N417"/>
    <mergeCell ref="O416:O417"/>
    <mergeCell ref="P416:P417"/>
    <mergeCell ref="Q416:Q417"/>
    <mergeCell ref="R416:R417"/>
    <mergeCell ref="G416:G417"/>
    <mergeCell ref="H416:H417"/>
    <mergeCell ref="I416:I417"/>
    <mergeCell ref="J416:J417"/>
    <mergeCell ref="K416:K417"/>
    <mergeCell ref="L416:L417"/>
    <mergeCell ref="A416:A417"/>
    <mergeCell ref="B416:B417"/>
    <mergeCell ref="C416:C417"/>
    <mergeCell ref="D416:D417"/>
    <mergeCell ref="E420:E421"/>
    <mergeCell ref="F420:F421"/>
    <mergeCell ref="Y418:Y419"/>
    <mergeCell ref="Z418:Z419"/>
    <mergeCell ref="AA418:AA419"/>
    <mergeCell ref="AB418:AB419"/>
    <mergeCell ref="AI418:AI419"/>
    <mergeCell ref="AJ418:AJ419"/>
    <mergeCell ref="O418:O419"/>
    <mergeCell ref="P418:P419"/>
    <mergeCell ref="Q418:Q419"/>
    <mergeCell ref="R418:R419"/>
    <mergeCell ref="S418:S419"/>
    <mergeCell ref="X418:X419"/>
    <mergeCell ref="I418:I419"/>
    <mergeCell ref="J418:J419"/>
    <mergeCell ref="K418:K419"/>
    <mergeCell ref="L418:L419"/>
    <mergeCell ref="M418:M419"/>
    <mergeCell ref="N418:N419"/>
    <mergeCell ref="AI420:AI421"/>
    <mergeCell ref="AJ420:AJ421"/>
    <mergeCell ref="A422:A423"/>
    <mergeCell ref="B422:B423"/>
    <mergeCell ref="C422:C423"/>
    <mergeCell ref="D422:D423"/>
    <mergeCell ref="E422:E423"/>
    <mergeCell ref="F422:F423"/>
    <mergeCell ref="G422:G423"/>
    <mergeCell ref="H422:H423"/>
    <mergeCell ref="S420:S421"/>
    <mergeCell ref="X420:X421"/>
    <mergeCell ref="Y420:Y421"/>
    <mergeCell ref="Z420:Z421"/>
    <mergeCell ref="AA420:AA421"/>
    <mergeCell ref="AB420:AB421"/>
    <mergeCell ref="M420:M421"/>
    <mergeCell ref="N420:N421"/>
    <mergeCell ref="O420:O421"/>
    <mergeCell ref="P420:P421"/>
    <mergeCell ref="Q420:Q421"/>
    <mergeCell ref="R420:R421"/>
    <mergeCell ref="G420:G421"/>
    <mergeCell ref="H420:H421"/>
    <mergeCell ref="I420:I421"/>
    <mergeCell ref="J420:J421"/>
    <mergeCell ref="K420:K421"/>
    <mergeCell ref="L420:L421"/>
    <mergeCell ref="A420:A421"/>
    <mergeCell ref="B420:B421"/>
    <mergeCell ref="C420:C421"/>
    <mergeCell ref="D420:D421"/>
    <mergeCell ref="E424:E425"/>
    <mergeCell ref="F424:F425"/>
    <mergeCell ref="Y422:Y423"/>
    <mergeCell ref="Z422:Z423"/>
    <mergeCell ref="AA422:AA423"/>
    <mergeCell ref="AB422:AB423"/>
    <mergeCell ref="AI422:AI423"/>
    <mergeCell ref="AJ422:AJ423"/>
    <mergeCell ref="O422:O423"/>
    <mergeCell ref="P422:P423"/>
    <mergeCell ref="Q422:Q423"/>
    <mergeCell ref="R422:R423"/>
    <mergeCell ref="S422:S423"/>
    <mergeCell ref="X422:X423"/>
    <mergeCell ref="I422:I423"/>
    <mergeCell ref="J422:J423"/>
    <mergeCell ref="K422:K423"/>
    <mergeCell ref="L422:L423"/>
    <mergeCell ref="M422:M423"/>
    <mergeCell ref="N422:N423"/>
    <mergeCell ref="AI424:AI425"/>
    <mergeCell ref="AJ424:AJ425"/>
    <mergeCell ref="A426:A427"/>
    <mergeCell ref="B426:B427"/>
    <mergeCell ref="C426:C427"/>
    <mergeCell ref="D426:D427"/>
    <mergeCell ref="E426:E427"/>
    <mergeCell ref="F426:F427"/>
    <mergeCell ref="G426:G427"/>
    <mergeCell ref="H426:H427"/>
    <mergeCell ref="S424:S425"/>
    <mergeCell ref="X424:X425"/>
    <mergeCell ref="Y424:Y425"/>
    <mergeCell ref="Z424:Z425"/>
    <mergeCell ref="AA424:AA425"/>
    <mergeCell ref="AB424:AB425"/>
    <mergeCell ref="M424:M425"/>
    <mergeCell ref="N424:N425"/>
    <mergeCell ref="O424:O425"/>
    <mergeCell ref="P424:P425"/>
    <mergeCell ref="Q424:Q425"/>
    <mergeCell ref="R424:R425"/>
    <mergeCell ref="G424:G425"/>
    <mergeCell ref="H424:H425"/>
    <mergeCell ref="I424:I425"/>
    <mergeCell ref="J424:J425"/>
    <mergeCell ref="K424:K425"/>
    <mergeCell ref="L424:L425"/>
    <mergeCell ref="A424:A425"/>
    <mergeCell ref="B424:B425"/>
    <mergeCell ref="C424:C425"/>
    <mergeCell ref="D424:D425"/>
    <mergeCell ref="E428:E429"/>
    <mergeCell ref="F428:F429"/>
    <mergeCell ref="Y426:Y427"/>
    <mergeCell ref="Z426:Z427"/>
    <mergeCell ref="AA426:AA427"/>
    <mergeCell ref="AB426:AB427"/>
    <mergeCell ref="AI426:AI427"/>
    <mergeCell ref="AJ426:AJ427"/>
    <mergeCell ref="O426:O427"/>
    <mergeCell ref="P426:P427"/>
    <mergeCell ref="Q426:Q427"/>
    <mergeCell ref="R426:R427"/>
    <mergeCell ref="S426:S427"/>
    <mergeCell ref="X426:X427"/>
    <mergeCell ref="I426:I427"/>
    <mergeCell ref="J426:J427"/>
    <mergeCell ref="K426:K427"/>
    <mergeCell ref="L426:L427"/>
    <mergeCell ref="M426:M427"/>
    <mergeCell ref="N426:N427"/>
    <mergeCell ref="AI428:AI429"/>
    <mergeCell ref="AJ428:AJ429"/>
    <mergeCell ref="A430:A431"/>
    <mergeCell ref="B430:B431"/>
    <mergeCell ref="C430:C431"/>
    <mergeCell ref="D430:D431"/>
    <mergeCell ref="E430:E431"/>
    <mergeCell ref="F430:F431"/>
    <mergeCell ref="G430:G431"/>
    <mergeCell ref="H430:H431"/>
    <mergeCell ref="S428:S429"/>
    <mergeCell ref="X428:X429"/>
    <mergeCell ref="Y428:Y429"/>
    <mergeCell ref="Z428:Z429"/>
    <mergeCell ref="AA428:AA429"/>
    <mergeCell ref="AB428:AB429"/>
    <mergeCell ref="M428:M429"/>
    <mergeCell ref="N428:N429"/>
    <mergeCell ref="O428:O429"/>
    <mergeCell ref="P428:P429"/>
    <mergeCell ref="Q428:Q429"/>
    <mergeCell ref="R428:R429"/>
    <mergeCell ref="G428:G429"/>
    <mergeCell ref="H428:H429"/>
    <mergeCell ref="I428:I429"/>
    <mergeCell ref="J428:J429"/>
    <mergeCell ref="K428:K429"/>
    <mergeCell ref="L428:L429"/>
    <mergeCell ref="A428:A429"/>
    <mergeCell ref="B428:B429"/>
    <mergeCell ref="C428:C429"/>
    <mergeCell ref="D428:D429"/>
    <mergeCell ref="E432:E433"/>
    <mergeCell ref="F432:F433"/>
    <mergeCell ref="Y430:Y431"/>
    <mergeCell ref="Z430:Z431"/>
    <mergeCell ref="AA430:AA431"/>
    <mergeCell ref="AB430:AB431"/>
    <mergeCell ref="AI430:AI431"/>
    <mergeCell ref="AJ430:AJ431"/>
    <mergeCell ref="O430:O431"/>
    <mergeCell ref="P430:P431"/>
    <mergeCell ref="Q430:Q431"/>
    <mergeCell ref="R430:R431"/>
    <mergeCell ref="S430:S431"/>
    <mergeCell ref="X430:X431"/>
    <mergeCell ref="I430:I431"/>
    <mergeCell ref="J430:J431"/>
    <mergeCell ref="K430:K431"/>
    <mergeCell ref="L430:L431"/>
    <mergeCell ref="M430:M431"/>
    <mergeCell ref="N430:N431"/>
    <mergeCell ref="AI432:AI433"/>
    <mergeCell ref="AJ432:AJ433"/>
    <mergeCell ref="A434:A435"/>
    <mergeCell ref="B434:B435"/>
    <mergeCell ref="C434:C435"/>
    <mergeCell ref="D434:D435"/>
    <mergeCell ref="E434:E435"/>
    <mergeCell ref="F434:F435"/>
    <mergeCell ref="G434:G435"/>
    <mergeCell ref="H434:H435"/>
    <mergeCell ref="S432:S433"/>
    <mergeCell ref="X432:X433"/>
    <mergeCell ref="Y432:Y433"/>
    <mergeCell ref="Z432:Z433"/>
    <mergeCell ref="AA432:AA433"/>
    <mergeCell ref="AB432:AB433"/>
    <mergeCell ref="M432:M433"/>
    <mergeCell ref="N432:N433"/>
    <mergeCell ref="O432:O433"/>
    <mergeCell ref="P432:P433"/>
    <mergeCell ref="Q432:Q433"/>
    <mergeCell ref="R432:R433"/>
    <mergeCell ref="G432:G433"/>
    <mergeCell ref="H432:H433"/>
    <mergeCell ref="I432:I433"/>
    <mergeCell ref="J432:J433"/>
    <mergeCell ref="K432:K433"/>
    <mergeCell ref="L432:L433"/>
    <mergeCell ref="A432:A433"/>
    <mergeCell ref="B432:B433"/>
    <mergeCell ref="C432:C433"/>
    <mergeCell ref="D432:D433"/>
    <mergeCell ref="E436:E437"/>
    <mergeCell ref="F436:F437"/>
    <mergeCell ref="Y434:Y435"/>
    <mergeCell ref="Z434:Z435"/>
    <mergeCell ref="AA434:AA435"/>
    <mergeCell ref="AB434:AB435"/>
    <mergeCell ref="AI434:AI435"/>
    <mergeCell ref="AJ434:AJ435"/>
    <mergeCell ref="O434:O435"/>
    <mergeCell ref="P434:P435"/>
    <mergeCell ref="Q434:Q435"/>
    <mergeCell ref="R434:R435"/>
    <mergeCell ref="S434:S435"/>
    <mergeCell ref="X434:X435"/>
    <mergeCell ref="I434:I435"/>
    <mergeCell ref="J434:J435"/>
    <mergeCell ref="K434:K435"/>
    <mergeCell ref="L434:L435"/>
    <mergeCell ref="M434:M435"/>
    <mergeCell ref="N434:N435"/>
    <mergeCell ref="AI436:AI437"/>
    <mergeCell ref="AJ436:AJ437"/>
    <mergeCell ref="A438:A439"/>
    <mergeCell ref="B438:B439"/>
    <mergeCell ref="C438:C439"/>
    <mergeCell ref="D438:D439"/>
    <mergeCell ref="E438:E439"/>
    <mergeCell ref="F438:F439"/>
    <mergeCell ref="G438:G439"/>
    <mergeCell ref="H438:H439"/>
    <mergeCell ref="S436:S437"/>
    <mergeCell ref="X436:X437"/>
    <mergeCell ref="Y436:Y437"/>
    <mergeCell ref="Z436:Z437"/>
    <mergeCell ref="AA436:AA437"/>
    <mergeCell ref="AB436:AB437"/>
    <mergeCell ref="M436:M437"/>
    <mergeCell ref="N436:N437"/>
    <mergeCell ref="O436:O437"/>
    <mergeCell ref="P436:P437"/>
    <mergeCell ref="Q436:Q437"/>
    <mergeCell ref="R436:R437"/>
    <mergeCell ref="G436:G437"/>
    <mergeCell ref="H436:H437"/>
    <mergeCell ref="I436:I437"/>
    <mergeCell ref="J436:J437"/>
    <mergeCell ref="K436:K437"/>
    <mergeCell ref="L436:L437"/>
    <mergeCell ref="A436:A437"/>
    <mergeCell ref="B436:B437"/>
    <mergeCell ref="C436:C437"/>
    <mergeCell ref="D436:D437"/>
    <mergeCell ref="E440:E441"/>
    <mergeCell ref="F440:F441"/>
    <mergeCell ref="Y438:Y439"/>
    <mergeCell ref="Z438:Z439"/>
    <mergeCell ref="AA438:AA439"/>
    <mergeCell ref="AB438:AB439"/>
    <mergeCell ref="AI438:AI439"/>
    <mergeCell ref="AJ438:AJ439"/>
    <mergeCell ref="O438:O439"/>
    <mergeCell ref="P438:P439"/>
    <mergeCell ref="Q438:Q439"/>
    <mergeCell ref="R438:R439"/>
    <mergeCell ref="S438:S439"/>
    <mergeCell ref="X438:X439"/>
    <mergeCell ref="I438:I439"/>
    <mergeCell ref="J438:J439"/>
    <mergeCell ref="K438:K439"/>
    <mergeCell ref="L438:L439"/>
    <mergeCell ref="M438:M439"/>
    <mergeCell ref="N438:N439"/>
    <mergeCell ref="AI440:AI441"/>
    <mergeCell ref="AJ440:AJ441"/>
    <mergeCell ref="A442:A443"/>
    <mergeCell ref="B442:B443"/>
    <mergeCell ref="C442:C443"/>
    <mergeCell ref="D442:D443"/>
    <mergeCell ref="E442:E443"/>
    <mergeCell ref="F442:F443"/>
    <mergeCell ref="G442:G443"/>
    <mergeCell ref="H442:H443"/>
    <mergeCell ref="S440:S441"/>
    <mergeCell ref="X440:X441"/>
    <mergeCell ref="Y440:Y441"/>
    <mergeCell ref="Z440:Z441"/>
    <mergeCell ref="AA440:AA441"/>
    <mergeCell ref="AB440:AB441"/>
    <mergeCell ref="M440:M441"/>
    <mergeCell ref="N440:N441"/>
    <mergeCell ref="O440:O441"/>
    <mergeCell ref="P440:P441"/>
    <mergeCell ref="Q440:Q441"/>
    <mergeCell ref="R440:R441"/>
    <mergeCell ref="G440:G441"/>
    <mergeCell ref="H440:H441"/>
    <mergeCell ref="I440:I441"/>
    <mergeCell ref="J440:J441"/>
    <mergeCell ref="K440:K441"/>
    <mergeCell ref="L440:L441"/>
    <mergeCell ref="A440:A441"/>
    <mergeCell ref="B440:B441"/>
    <mergeCell ref="C440:C441"/>
    <mergeCell ref="D440:D441"/>
    <mergeCell ref="E444:E445"/>
    <mergeCell ref="F444:F445"/>
    <mergeCell ref="Y442:Y443"/>
    <mergeCell ref="Z442:Z443"/>
    <mergeCell ref="AA442:AA443"/>
    <mergeCell ref="AB442:AB443"/>
    <mergeCell ref="AI442:AI443"/>
    <mergeCell ref="AJ442:AJ443"/>
    <mergeCell ref="O442:O443"/>
    <mergeCell ref="P442:P443"/>
    <mergeCell ref="Q442:Q443"/>
    <mergeCell ref="R442:R443"/>
    <mergeCell ref="S442:S443"/>
    <mergeCell ref="X442:X443"/>
    <mergeCell ref="I442:I443"/>
    <mergeCell ref="J442:J443"/>
    <mergeCell ref="K442:K443"/>
    <mergeCell ref="L442:L443"/>
    <mergeCell ref="M442:M443"/>
    <mergeCell ref="N442:N443"/>
    <mergeCell ref="AI444:AI445"/>
    <mergeCell ref="AJ444:AJ445"/>
    <mergeCell ref="A446:A447"/>
    <mergeCell ref="B446:B447"/>
    <mergeCell ref="C446:C447"/>
    <mergeCell ref="D446:D447"/>
    <mergeCell ref="E446:E447"/>
    <mergeCell ref="F446:F447"/>
    <mergeCell ref="G446:G447"/>
    <mergeCell ref="H446:H447"/>
    <mergeCell ref="S444:S445"/>
    <mergeCell ref="X444:X445"/>
    <mergeCell ref="Y444:Y445"/>
    <mergeCell ref="Z444:Z445"/>
    <mergeCell ref="AA444:AA445"/>
    <mergeCell ref="AB444:AB445"/>
    <mergeCell ref="M444:M445"/>
    <mergeCell ref="N444:N445"/>
    <mergeCell ref="O444:O445"/>
    <mergeCell ref="P444:P445"/>
    <mergeCell ref="Q444:Q445"/>
    <mergeCell ref="R444:R445"/>
    <mergeCell ref="G444:G445"/>
    <mergeCell ref="H444:H445"/>
    <mergeCell ref="I444:I445"/>
    <mergeCell ref="J444:J445"/>
    <mergeCell ref="K444:K445"/>
    <mergeCell ref="L444:L445"/>
    <mergeCell ref="A444:A445"/>
    <mergeCell ref="B444:B445"/>
    <mergeCell ref="C444:C445"/>
    <mergeCell ref="D444:D445"/>
    <mergeCell ref="E448:E449"/>
    <mergeCell ref="F448:F449"/>
    <mergeCell ref="Y446:Y447"/>
    <mergeCell ref="Z446:Z447"/>
    <mergeCell ref="AA446:AA447"/>
    <mergeCell ref="AB446:AB447"/>
    <mergeCell ref="AI446:AI447"/>
    <mergeCell ref="AJ446:AJ447"/>
    <mergeCell ref="O446:O447"/>
    <mergeCell ref="P446:P447"/>
    <mergeCell ref="Q446:Q447"/>
    <mergeCell ref="R446:R447"/>
    <mergeCell ref="S446:S447"/>
    <mergeCell ref="X446:X447"/>
    <mergeCell ref="I446:I447"/>
    <mergeCell ref="J446:J447"/>
    <mergeCell ref="K446:K447"/>
    <mergeCell ref="L446:L447"/>
    <mergeCell ref="M446:M447"/>
    <mergeCell ref="N446:N447"/>
    <mergeCell ref="AI448:AI449"/>
    <mergeCell ref="AJ448:AJ449"/>
    <mergeCell ref="A450:A451"/>
    <mergeCell ref="B450:B451"/>
    <mergeCell ref="C450:C451"/>
    <mergeCell ref="D450:D451"/>
    <mergeCell ref="E450:E451"/>
    <mergeCell ref="F450:F451"/>
    <mergeCell ref="G450:G451"/>
    <mergeCell ref="H450:H451"/>
    <mergeCell ref="S448:S449"/>
    <mergeCell ref="X448:X449"/>
    <mergeCell ref="Y448:Y449"/>
    <mergeCell ref="Z448:Z449"/>
    <mergeCell ref="AA448:AA449"/>
    <mergeCell ref="AB448:AB449"/>
    <mergeCell ref="M448:M449"/>
    <mergeCell ref="N448:N449"/>
    <mergeCell ref="O448:O449"/>
    <mergeCell ref="P448:P449"/>
    <mergeCell ref="Q448:Q449"/>
    <mergeCell ref="R448:R449"/>
    <mergeCell ref="G448:G449"/>
    <mergeCell ref="H448:H449"/>
    <mergeCell ref="I448:I449"/>
    <mergeCell ref="J448:J449"/>
    <mergeCell ref="K448:K449"/>
    <mergeCell ref="L448:L449"/>
    <mergeCell ref="A448:A449"/>
    <mergeCell ref="B448:B449"/>
    <mergeCell ref="C448:C449"/>
    <mergeCell ref="D448:D449"/>
    <mergeCell ref="E452:E453"/>
    <mergeCell ref="F452:F453"/>
    <mergeCell ref="Y450:Y451"/>
    <mergeCell ref="Z450:Z451"/>
    <mergeCell ref="AA450:AA451"/>
    <mergeCell ref="AB450:AB451"/>
    <mergeCell ref="AI450:AI451"/>
    <mergeCell ref="AJ450:AJ451"/>
    <mergeCell ref="O450:O451"/>
    <mergeCell ref="P450:P451"/>
    <mergeCell ref="Q450:Q451"/>
    <mergeCell ref="R450:R451"/>
    <mergeCell ref="S450:S451"/>
    <mergeCell ref="X450:X451"/>
    <mergeCell ref="I450:I451"/>
    <mergeCell ref="J450:J451"/>
    <mergeCell ref="K450:K451"/>
    <mergeCell ref="L450:L451"/>
    <mergeCell ref="M450:M451"/>
    <mergeCell ref="N450:N451"/>
    <mergeCell ref="AI452:AI453"/>
    <mergeCell ref="AJ452:AJ453"/>
    <mergeCell ref="A454:A455"/>
    <mergeCell ref="B454:B455"/>
    <mergeCell ref="C454:C455"/>
    <mergeCell ref="D454:D455"/>
    <mergeCell ref="E454:E455"/>
    <mergeCell ref="F454:F455"/>
    <mergeCell ref="G454:G455"/>
    <mergeCell ref="H454:H455"/>
    <mergeCell ref="S452:S453"/>
    <mergeCell ref="X452:X453"/>
    <mergeCell ref="Y452:Y453"/>
    <mergeCell ref="Z452:Z453"/>
    <mergeCell ref="AA452:AA453"/>
    <mergeCell ref="AB452:AB453"/>
    <mergeCell ref="M452:M453"/>
    <mergeCell ref="N452:N453"/>
    <mergeCell ref="O452:O453"/>
    <mergeCell ref="P452:P453"/>
    <mergeCell ref="Q452:Q453"/>
    <mergeCell ref="R452:R453"/>
    <mergeCell ref="G452:G453"/>
    <mergeCell ref="H452:H453"/>
    <mergeCell ref="I452:I453"/>
    <mergeCell ref="J452:J453"/>
    <mergeCell ref="K452:K453"/>
    <mergeCell ref="L452:L453"/>
    <mergeCell ref="A452:A453"/>
    <mergeCell ref="B452:B453"/>
    <mergeCell ref="C452:C453"/>
    <mergeCell ref="D452:D453"/>
    <mergeCell ref="E456:E457"/>
    <mergeCell ref="F456:F457"/>
    <mergeCell ref="Y454:Y455"/>
    <mergeCell ref="Z454:Z455"/>
    <mergeCell ref="AA454:AA455"/>
    <mergeCell ref="AB454:AB455"/>
    <mergeCell ref="AI454:AI455"/>
    <mergeCell ref="AJ454:AJ455"/>
    <mergeCell ref="O454:O455"/>
    <mergeCell ref="P454:P455"/>
    <mergeCell ref="Q454:Q455"/>
    <mergeCell ref="R454:R455"/>
    <mergeCell ref="S454:S455"/>
    <mergeCell ref="X454:X455"/>
    <mergeCell ref="I454:I455"/>
    <mergeCell ref="J454:J455"/>
    <mergeCell ref="K454:K455"/>
    <mergeCell ref="L454:L455"/>
    <mergeCell ref="M454:M455"/>
    <mergeCell ref="N454:N455"/>
    <mergeCell ref="AI456:AI457"/>
    <mergeCell ref="AJ456:AJ457"/>
    <mergeCell ref="A458:A459"/>
    <mergeCell ref="B458:B459"/>
    <mergeCell ref="C458:C459"/>
    <mergeCell ref="D458:D459"/>
    <mergeCell ref="E458:E459"/>
    <mergeCell ref="F458:F459"/>
    <mergeCell ref="G458:G459"/>
    <mergeCell ref="H458:H459"/>
    <mergeCell ref="S456:S457"/>
    <mergeCell ref="X456:X457"/>
    <mergeCell ref="Y456:Y457"/>
    <mergeCell ref="Z456:Z457"/>
    <mergeCell ref="AA456:AA457"/>
    <mergeCell ref="AB456:AB457"/>
    <mergeCell ref="M456:M457"/>
    <mergeCell ref="N456:N457"/>
    <mergeCell ref="O456:O457"/>
    <mergeCell ref="P456:P457"/>
    <mergeCell ref="Q456:Q457"/>
    <mergeCell ref="R456:R457"/>
    <mergeCell ref="G456:G457"/>
    <mergeCell ref="H456:H457"/>
    <mergeCell ref="I456:I457"/>
    <mergeCell ref="J456:J457"/>
    <mergeCell ref="K456:K457"/>
    <mergeCell ref="L456:L457"/>
    <mergeCell ref="A456:A457"/>
    <mergeCell ref="B456:B457"/>
    <mergeCell ref="C456:C457"/>
    <mergeCell ref="D456:D457"/>
    <mergeCell ref="E460:E461"/>
    <mergeCell ref="F460:F461"/>
    <mergeCell ref="Y458:Y459"/>
    <mergeCell ref="Z458:Z459"/>
    <mergeCell ref="AA458:AA459"/>
    <mergeCell ref="AB458:AB459"/>
    <mergeCell ref="AI458:AI459"/>
    <mergeCell ref="AJ458:AJ459"/>
    <mergeCell ref="O458:O459"/>
    <mergeCell ref="P458:P459"/>
    <mergeCell ref="Q458:Q459"/>
    <mergeCell ref="R458:R459"/>
    <mergeCell ref="S458:S459"/>
    <mergeCell ref="X458:X459"/>
    <mergeCell ref="I458:I459"/>
    <mergeCell ref="J458:J459"/>
    <mergeCell ref="K458:K459"/>
    <mergeCell ref="L458:L459"/>
    <mergeCell ref="M458:M459"/>
    <mergeCell ref="N458:N459"/>
    <mergeCell ref="AI460:AI461"/>
    <mergeCell ref="AJ460:AJ461"/>
    <mergeCell ref="A462:A463"/>
    <mergeCell ref="B462:B463"/>
    <mergeCell ref="C462:C463"/>
    <mergeCell ref="D462:D463"/>
    <mergeCell ref="E462:E463"/>
    <mergeCell ref="F462:F463"/>
    <mergeCell ref="G462:G463"/>
    <mergeCell ref="H462:H463"/>
    <mergeCell ref="S460:S461"/>
    <mergeCell ref="X460:X461"/>
    <mergeCell ref="Y460:Y461"/>
    <mergeCell ref="Z460:Z461"/>
    <mergeCell ref="AA460:AA461"/>
    <mergeCell ref="AB460:AB461"/>
    <mergeCell ref="M460:M461"/>
    <mergeCell ref="N460:N461"/>
    <mergeCell ref="O460:O461"/>
    <mergeCell ref="P460:P461"/>
    <mergeCell ref="Q460:Q461"/>
    <mergeCell ref="R460:R461"/>
    <mergeCell ref="G460:G461"/>
    <mergeCell ref="H460:H461"/>
    <mergeCell ref="I460:I461"/>
    <mergeCell ref="J460:J461"/>
    <mergeCell ref="K460:K461"/>
    <mergeCell ref="L460:L461"/>
    <mergeCell ref="A460:A461"/>
    <mergeCell ref="B460:B461"/>
    <mergeCell ref="C460:C461"/>
    <mergeCell ref="D460:D461"/>
    <mergeCell ref="E464:E465"/>
    <mergeCell ref="F464:F465"/>
    <mergeCell ref="Y462:Y463"/>
    <mergeCell ref="Z462:Z463"/>
    <mergeCell ref="AA462:AA463"/>
    <mergeCell ref="AB462:AB463"/>
    <mergeCell ref="AI462:AI463"/>
    <mergeCell ref="AJ462:AJ463"/>
    <mergeCell ref="O462:O463"/>
    <mergeCell ref="P462:P463"/>
    <mergeCell ref="Q462:Q463"/>
    <mergeCell ref="R462:R463"/>
    <mergeCell ref="S462:S463"/>
    <mergeCell ref="X462:X463"/>
    <mergeCell ref="I462:I463"/>
    <mergeCell ref="J462:J463"/>
    <mergeCell ref="K462:K463"/>
    <mergeCell ref="L462:L463"/>
    <mergeCell ref="M462:M463"/>
    <mergeCell ref="N462:N463"/>
    <mergeCell ref="AI464:AI465"/>
    <mergeCell ref="AJ464:AJ465"/>
    <mergeCell ref="A466:A467"/>
    <mergeCell ref="B466:B467"/>
    <mergeCell ref="C466:C467"/>
    <mergeCell ref="D466:D467"/>
    <mergeCell ref="E466:E467"/>
    <mergeCell ref="F466:F467"/>
    <mergeCell ref="G466:G467"/>
    <mergeCell ref="H466:H467"/>
    <mergeCell ref="S464:S465"/>
    <mergeCell ref="X464:X465"/>
    <mergeCell ref="Y464:Y465"/>
    <mergeCell ref="Z464:Z465"/>
    <mergeCell ref="AA464:AA465"/>
    <mergeCell ref="AB464:AB465"/>
    <mergeCell ref="M464:M465"/>
    <mergeCell ref="N464:N465"/>
    <mergeCell ref="O464:O465"/>
    <mergeCell ref="P464:P465"/>
    <mergeCell ref="Q464:Q465"/>
    <mergeCell ref="R464:R465"/>
    <mergeCell ref="G464:G465"/>
    <mergeCell ref="H464:H465"/>
    <mergeCell ref="I464:I465"/>
    <mergeCell ref="J464:J465"/>
    <mergeCell ref="K464:K465"/>
    <mergeCell ref="L464:L465"/>
    <mergeCell ref="A464:A465"/>
    <mergeCell ref="B464:B465"/>
    <mergeCell ref="C464:C465"/>
    <mergeCell ref="D464:D465"/>
    <mergeCell ref="E468:E469"/>
    <mergeCell ref="F468:F469"/>
    <mergeCell ref="Y466:Y467"/>
    <mergeCell ref="Z466:Z467"/>
    <mergeCell ref="AA466:AA467"/>
    <mergeCell ref="AB466:AB467"/>
    <mergeCell ref="AI466:AI467"/>
    <mergeCell ref="AJ466:AJ467"/>
    <mergeCell ref="O466:O467"/>
    <mergeCell ref="P466:P467"/>
    <mergeCell ref="Q466:Q467"/>
    <mergeCell ref="R466:R467"/>
    <mergeCell ref="S466:S467"/>
    <mergeCell ref="X466:X467"/>
    <mergeCell ref="I466:I467"/>
    <mergeCell ref="J466:J467"/>
    <mergeCell ref="K466:K467"/>
    <mergeCell ref="L466:L467"/>
    <mergeCell ref="M466:M467"/>
    <mergeCell ref="N466:N467"/>
    <mergeCell ref="AI468:AI469"/>
    <mergeCell ref="AJ468:AJ469"/>
    <mergeCell ref="A470:A471"/>
    <mergeCell ref="B470:B471"/>
    <mergeCell ref="C470:C471"/>
    <mergeCell ref="D470:D471"/>
    <mergeCell ref="E470:E471"/>
    <mergeCell ref="F470:F471"/>
    <mergeCell ref="G470:G471"/>
    <mergeCell ref="H470:H471"/>
    <mergeCell ref="S468:S469"/>
    <mergeCell ref="X468:X469"/>
    <mergeCell ref="Y468:Y469"/>
    <mergeCell ref="Z468:Z469"/>
    <mergeCell ref="AA468:AA469"/>
    <mergeCell ref="AB468:AB469"/>
    <mergeCell ref="M468:M469"/>
    <mergeCell ref="N468:N469"/>
    <mergeCell ref="O468:O469"/>
    <mergeCell ref="P468:P469"/>
    <mergeCell ref="Q468:Q469"/>
    <mergeCell ref="R468:R469"/>
    <mergeCell ref="G468:G469"/>
    <mergeCell ref="H468:H469"/>
    <mergeCell ref="I468:I469"/>
    <mergeCell ref="J468:J469"/>
    <mergeCell ref="K468:K469"/>
    <mergeCell ref="L468:L469"/>
    <mergeCell ref="A468:A469"/>
    <mergeCell ref="B468:B469"/>
    <mergeCell ref="C468:C469"/>
    <mergeCell ref="D468:D469"/>
    <mergeCell ref="E472:E473"/>
    <mergeCell ref="F472:F473"/>
    <mergeCell ref="Y470:Y471"/>
    <mergeCell ref="Z470:Z471"/>
    <mergeCell ref="AA470:AA471"/>
    <mergeCell ref="AB470:AB471"/>
    <mergeCell ref="AI470:AI471"/>
    <mergeCell ref="AJ470:AJ471"/>
    <mergeCell ref="O470:O471"/>
    <mergeCell ref="P470:P471"/>
    <mergeCell ref="Q470:Q471"/>
    <mergeCell ref="R470:R471"/>
    <mergeCell ref="S470:S471"/>
    <mergeCell ref="X470:X471"/>
    <mergeCell ref="I470:I471"/>
    <mergeCell ref="J470:J471"/>
    <mergeCell ref="K470:K471"/>
    <mergeCell ref="L470:L471"/>
    <mergeCell ref="M470:M471"/>
    <mergeCell ref="N470:N471"/>
    <mergeCell ref="AI472:AI473"/>
    <mergeCell ref="AJ472:AJ473"/>
    <mergeCell ref="A474:A475"/>
    <mergeCell ref="B474:B475"/>
    <mergeCell ref="C474:C475"/>
    <mergeCell ref="D474:D475"/>
    <mergeCell ref="E474:E475"/>
    <mergeCell ref="F474:F475"/>
    <mergeCell ref="G474:G475"/>
    <mergeCell ref="H474:H475"/>
    <mergeCell ref="S472:S473"/>
    <mergeCell ref="X472:X473"/>
    <mergeCell ref="Y472:Y473"/>
    <mergeCell ref="Z472:Z473"/>
    <mergeCell ref="AA472:AA473"/>
    <mergeCell ref="AB472:AB473"/>
    <mergeCell ref="M472:M473"/>
    <mergeCell ref="N472:N473"/>
    <mergeCell ref="O472:O473"/>
    <mergeCell ref="P472:P473"/>
    <mergeCell ref="Q472:Q473"/>
    <mergeCell ref="R472:R473"/>
    <mergeCell ref="G472:G473"/>
    <mergeCell ref="H472:H473"/>
    <mergeCell ref="I472:I473"/>
    <mergeCell ref="J472:J473"/>
    <mergeCell ref="K472:K473"/>
    <mergeCell ref="L472:L473"/>
    <mergeCell ref="A472:A473"/>
    <mergeCell ref="B472:B473"/>
    <mergeCell ref="C472:C473"/>
    <mergeCell ref="D472:D473"/>
    <mergeCell ref="E476:E477"/>
    <mergeCell ref="F476:F477"/>
    <mergeCell ref="Y474:Y475"/>
    <mergeCell ref="Z474:Z475"/>
    <mergeCell ref="AA474:AA475"/>
    <mergeCell ref="AB474:AB475"/>
    <mergeCell ref="AI474:AI475"/>
    <mergeCell ref="AJ474:AJ475"/>
    <mergeCell ref="O474:O475"/>
    <mergeCell ref="P474:P475"/>
    <mergeCell ref="Q474:Q475"/>
    <mergeCell ref="R474:R475"/>
    <mergeCell ref="S474:S475"/>
    <mergeCell ref="X474:X475"/>
    <mergeCell ref="I474:I475"/>
    <mergeCell ref="J474:J475"/>
    <mergeCell ref="K474:K475"/>
    <mergeCell ref="L474:L475"/>
    <mergeCell ref="M474:M475"/>
    <mergeCell ref="N474:N475"/>
    <mergeCell ref="AI476:AI477"/>
    <mergeCell ref="AJ476:AJ477"/>
    <mergeCell ref="A478:A479"/>
    <mergeCell ref="B478:B479"/>
    <mergeCell ref="C478:C479"/>
    <mergeCell ref="D478:D479"/>
    <mergeCell ref="E478:E479"/>
    <mergeCell ref="F478:F479"/>
    <mergeCell ref="G478:G479"/>
    <mergeCell ref="H478:H479"/>
    <mergeCell ref="S476:S477"/>
    <mergeCell ref="X476:X477"/>
    <mergeCell ref="Y476:Y477"/>
    <mergeCell ref="Z476:Z477"/>
    <mergeCell ref="AA476:AA477"/>
    <mergeCell ref="AB476:AB477"/>
    <mergeCell ref="M476:M477"/>
    <mergeCell ref="N476:N477"/>
    <mergeCell ref="O476:O477"/>
    <mergeCell ref="P476:P477"/>
    <mergeCell ref="Q476:Q477"/>
    <mergeCell ref="R476:R477"/>
    <mergeCell ref="G476:G477"/>
    <mergeCell ref="H476:H477"/>
    <mergeCell ref="I476:I477"/>
    <mergeCell ref="J476:J477"/>
    <mergeCell ref="K476:K477"/>
    <mergeCell ref="L476:L477"/>
    <mergeCell ref="A476:A477"/>
    <mergeCell ref="B476:B477"/>
    <mergeCell ref="C476:C477"/>
    <mergeCell ref="D476:D477"/>
    <mergeCell ref="E480:E481"/>
    <mergeCell ref="F480:F481"/>
    <mergeCell ref="Y478:Y479"/>
    <mergeCell ref="Z478:Z479"/>
    <mergeCell ref="AA478:AA479"/>
    <mergeCell ref="AB478:AB479"/>
    <mergeCell ref="AI478:AI479"/>
    <mergeCell ref="AJ478:AJ479"/>
    <mergeCell ref="O478:O479"/>
    <mergeCell ref="P478:P479"/>
    <mergeCell ref="Q478:Q479"/>
    <mergeCell ref="R478:R479"/>
    <mergeCell ref="S478:S479"/>
    <mergeCell ref="X478:X479"/>
    <mergeCell ref="I478:I479"/>
    <mergeCell ref="J478:J479"/>
    <mergeCell ref="K478:K479"/>
    <mergeCell ref="L478:L479"/>
    <mergeCell ref="M478:M479"/>
    <mergeCell ref="N478:N479"/>
    <mergeCell ref="AI480:AI481"/>
    <mergeCell ref="AJ480:AJ481"/>
    <mergeCell ref="A482:A483"/>
    <mergeCell ref="B482:B483"/>
    <mergeCell ref="C482:C483"/>
    <mergeCell ref="D482:D483"/>
    <mergeCell ref="E482:E483"/>
    <mergeCell ref="F482:F483"/>
    <mergeCell ref="G482:G483"/>
    <mergeCell ref="H482:H483"/>
    <mergeCell ref="S480:S481"/>
    <mergeCell ref="X480:X481"/>
    <mergeCell ref="Y480:Y481"/>
    <mergeCell ref="Z480:Z481"/>
    <mergeCell ref="AA480:AA481"/>
    <mergeCell ref="AB480:AB481"/>
    <mergeCell ref="M480:M481"/>
    <mergeCell ref="N480:N481"/>
    <mergeCell ref="O480:O481"/>
    <mergeCell ref="P480:P481"/>
    <mergeCell ref="Q480:Q481"/>
    <mergeCell ref="R480:R481"/>
    <mergeCell ref="G480:G481"/>
    <mergeCell ref="H480:H481"/>
    <mergeCell ref="I480:I481"/>
    <mergeCell ref="J480:J481"/>
    <mergeCell ref="K480:K481"/>
    <mergeCell ref="L480:L481"/>
    <mergeCell ref="A480:A481"/>
    <mergeCell ref="B480:B481"/>
    <mergeCell ref="C480:C481"/>
    <mergeCell ref="D480:D481"/>
    <mergeCell ref="E484:E485"/>
    <mergeCell ref="F484:F485"/>
    <mergeCell ref="Y482:Y483"/>
    <mergeCell ref="Z482:Z483"/>
    <mergeCell ref="AA482:AA483"/>
    <mergeCell ref="AB482:AB483"/>
    <mergeCell ref="AI482:AI483"/>
    <mergeCell ref="AJ482:AJ483"/>
    <mergeCell ref="O482:O483"/>
    <mergeCell ref="P482:P483"/>
    <mergeCell ref="Q482:Q483"/>
    <mergeCell ref="R482:R483"/>
    <mergeCell ref="S482:S483"/>
    <mergeCell ref="X482:X483"/>
    <mergeCell ref="I482:I483"/>
    <mergeCell ref="J482:J483"/>
    <mergeCell ref="K482:K483"/>
    <mergeCell ref="L482:L483"/>
    <mergeCell ref="M482:M483"/>
    <mergeCell ref="N482:N483"/>
    <mergeCell ref="AI484:AI485"/>
    <mergeCell ref="AJ484:AJ485"/>
    <mergeCell ref="A486:A487"/>
    <mergeCell ref="B486:B487"/>
    <mergeCell ref="C486:C487"/>
    <mergeCell ref="D486:D487"/>
    <mergeCell ref="E486:E487"/>
    <mergeCell ref="F486:F487"/>
    <mergeCell ref="G486:G487"/>
    <mergeCell ref="H486:H487"/>
    <mergeCell ref="S484:S485"/>
    <mergeCell ref="X484:X485"/>
    <mergeCell ref="Y484:Y485"/>
    <mergeCell ref="Z484:Z485"/>
    <mergeCell ref="AA484:AA485"/>
    <mergeCell ref="AB484:AB485"/>
    <mergeCell ref="M484:M485"/>
    <mergeCell ref="N484:N485"/>
    <mergeCell ref="O484:O485"/>
    <mergeCell ref="P484:P485"/>
    <mergeCell ref="Q484:Q485"/>
    <mergeCell ref="R484:R485"/>
    <mergeCell ref="G484:G485"/>
    <mergeCell ref="H484:H485"/>
    <mergeCell ref="I484:I485"/>
    <mergeCell ref="J484:J485"/>
    <mergeCell ref="K484:K485"/>
    <mergeCell ref="L484:L485"/>
    <mergeCell ref="A484:A485"/>
    <mergeCell ref="B484:B485"/>
    <mergeCell ref="C484:C485"/>
    <mergeCell ref="D484:D485"/>
    <mergeCell ref="E488:E489"/>
    <mergeCell ref="F488:F489"/>
    <mergeCell ref="Y486:Y487"/>
    <mergeCell ref="Z486:Z487"/>
    <mergeCell ref="AA486:AA487"/>
    <mergeCell ref="AB486:AB487"/>
    <mergeCell ref="AI486:AI487"/>
    <mergeCell ref="AJ486:AJ487"/>
    <mergeCell ref="O486:O487"/>
    <mergeCell ref="P486:P487"/>
    <mergeCell ref="Q486:Q487"/>
    <mergeCell ref="R486:R487"/>
    <mergeCell ref="S486:S487"/>
    <mergeCell ref="X486:X487"/>
    <mergeCell ref="I486:I487"/>
    <mergeCell ref="J486:J487"/>
    <mergeCell ref="K486:K487"/>
    <mergeCell ref="L486:L487"/>
    <mergeCell ref="M486:M487"/>
    <mergeCell ref="N486:N487"/>
    <mergeCell ref="AI488:AI489"/>
    <mergeCell ref="AJ488:AJ489"/>
    <mergeCell ref="A490:A491"/>
    <mergeCell ref="B490:B491"/>
    <mergeCell ref="C490:C491"/>
    <mergeCell ref="D490:D491"/>
    <mergeCell ref="E490:E491"/>
    <mergeCell ref="F490:F491"/>
    <mergeCell ref="G490:G491"/>
    <mergeCell ref="H490:H491"/>
    <mergeCell ref="S488:S489"/>
    <mergeCell ref="X488:X489"/>
    <mergeCell ref="Y488:Y489"/>
    <mergeCell ref="Z488:Z489"/>
    <mergeCell ref="AA488:AA489"/>
    <mergeCell ref="AB488:AB489"/>
    <mergeCell ref="M488:M489"/>
    <mergeCell ref="N488:N489"/>
    <mergeCell ref="O488:O489"/>
    <mergeCell ref="P488:P489"/>
    <mergeCell ref="Q488:Q489"/>
    <mergeCell ref="R488:R489"/>
    <mergeCell ref="G488:G489"/>
    <mergeCell ref="H488:H489"/>
    <mergeCell ref="I488:I489"/>
    <mergeCell ref="J488:J489"/>
    <mergeCell ref="K488:K489"/>
    <mergeCell ref="L488:L489"/>
    <mergeCell ref="A488:A489"/>
    <mergeCell ref="B488:B489"/>
    <mergeCell ref="C488:C489"/>
    <mergeCell ref="D488:D489"/>
    <mergeCell ref="E492:E493"/>
    <mergeCell ref="F492:F493"/>
    <mergeCell ref="Y490:Y491"/>
    <mergeCell ref="Z490:Z491"/>
    <mergeCell ref="AA490:AA491"/>
    <mergeCell ref="AB490:AB491"/>
    <mergeCell ref="AI490:AI491"/>
    <mergeCell ref="AJ490:AJ491"/>
    <mergeCell ref="O490:O491"/>
    <mergeCell ref="P490:P491"/>
    <mergeCell ref="Q490:Q491"/>
    <mergeCell ref="R490:R491"/>
    <mergeCell ref="S490:S491"/>
    <mergeCell ref="X490:X491"/>
    <mergeCell ref="I490:I491"/>
    <mergeCell ref="J490:J491"/>
    <mergeCell ref="K490:K491"/>
    <mergeCell ref="L490:L491"/>
    <mergeCell ref="M490:M491"/>
    <mergeCell ref="N490:N491"/>
    <mergeCell ref="AI492:AI493"/>
    <mergeCell ref="AJ492:AJ493"/>
    <mergeCell ref="A494:A495"/>
    <mergeCell ref="B494:B495"/>
    <mergeCell ref="C494:C495"/>
    <mergeCell ref="D494:D495"/>
    <mergeCell ref="E494:E495"/>
    <mergeCell ref="F494:F495"/>
    <mergeCell ref="G494:G495"/>
    <mergeCell ref="H494:H495"/>
    <mergeCell ref="S492:S493"/>
    <mergeCell ref="X492:X493"/>
    <mergeCell ref="Y492:Y493"/>
    <mergeCell ref="Z492:Z493"/>
    <mergeCell ref="AA492:AA493"/>
    <mergeCell ref="AB492:AB493"/>
    <mergeCell ref="M492:M493"/>
    <mergeCell ref="N492:N493"/>
    <mergeCell ref="O492:O493"/>
    <mergeCell ref="P492:P493"/>
    <mergeCell ref="Q492:Q493"/>
    <mergeCell ref="R492:R493"/>
    <mergeCell ref="G492:G493"/>
    <mergeCell ref="H492:H493"/>
    <mergeCell ref="I492:I493"/>
    <mergeCell ref="J492:J493"/>
    <mergeCell ref="K492:K493"/>
    <mergeCell ref="L492:L493"/>
    <mergeCell ref="A492:A493"/>
    <mergeCell ref="B492:B493"/>
    <mergeCell ref="C492:C493"/>
    <mergeCell ref="D492:D493"/>
    <mergeCell ref="E496:E497"/>
    <mergeCell ref="F496:F497"/>
    <mergeCell ref="Y494:Y495"/>
    <mergeCell ref="Z494:Z495"/>
    <mergeCell ref="AA494:AA495"/>
    <mergeCell ref="AB494:AB495"/>
    <mergeCell ref="AI494:AI495"/>
    <mergeCell ref="AJ494:AJ495"/>
    <mergeCell ref="O494:O495"/>
    <mergeCell ref="P494:P495"/>
    <mergeCell ref="Q494:Q495"/>
    <mergeCell ref="R494:R495"/>
    <mergeCell ref="S494:S495"/>
    <mergeCell ref="X494:X495"/>
    <mergeCell ref="I494:I495"/>
    <mergeCell ref="J494:J495"/>
    <mergeCell ref="K494:K495"/>
    <mergeCell ref="L494:L495"/>
    <mergeCell ref="M494:M495"/>
    <mergeCell ref="N494:N495"/>
    <mergeCell ref="AI496:AI497"/>
    <mergeCell ref="AJ496:AJ497"/>
    <mergeCell ref="A498:A499"/>
    <mergeCell ref="B498:B499"/>
    <mergeCell ref="C498:C499"/>
    <mergeCell ref="D498:D499"/>
    <mergeCell ref="E498:E499"/>
    <mergeCell ref="F498:F499"/>
    <mergeCell ref="G498:G499"/>
    <mergeCell ref="H498:H499"/>
    <mergeCell ref="S496:S497"/>
    <mergeCell ref="X496:X497"/>
    <mergeCell ref="Y496:Y497"/>
    <mergeCell ref="Z496:Z497"/>
    <mergeCell ref="AA496:AA497"/>
    <mergeCell ref="AB496:AB497"/>
    <mergeCell ref="M496:M497"/>
    <mergeCell ref="N496:N497"/>
    <mergeCell ref="O496:O497"/>
    <mergeCell ref="P496:P497"/>
    <mergeCell ref="Q496:Q497"/>
    <mergeCell ref="R496:R497"/>
    <mergeCell ref="G496:G497"/>
    <mergeCell ref="H496:H497"/>
    <mergeCell ref="I496:I497"/>
    <mergeCell ref="J496:J497"/>
    <mergeCell ref="K496:K497"/>
    <mergeCell ref="L496:L497"/>
    <mergeCell ref="A496:A497"/>
    <mergeCell ref="B496:B497"/>
    <mergeCell ref="C496:C497"/>
    <mergeCell ref="D496:D497"/>
    <mergeCell ref="E500:E501"/>
    <mergeCell ref="F500:F501"/>
    <mergeCell ref="Y498:Y499"/>
    <mergeCell ref="Z498:Z499"/>
    <mergeCell ref="AA498:AA499"/>
    <mergeCell ref="AB498:AB499"/>
    <mergeCell ref="AI498:AI499"/>
    <mergeCell ref="AJ498:AJ499"/>
    <mergeCell ref="O498:O499"/>
    <mergeCell ref="P498:P499"/>
    <mergeCell ref="Q498:Q499"/>
    <mergeCell ref="R498:R499"/>
    <mergeCell ref="S498:S499"/>
    <mergeCell ref="X498:X499"/>
    <mergeCell ref="I498:I499"/>
    <mergeCell ref="J498:J499"/>
    <mergeCell ref="K498:K499"/>
    <mergeCell ref="L498:L499"/>
    <mergeCell ref="M498:M499"/>
    <mergeCell ref="N498:N499"/>
    <mergeCell ref="AI500:AI501"/>
    <mergeCell ref="AJ500:AJ501"/>
    <mergeCell ref="A502:A503"/>
    <mergeCell ref="B502:B503"/>
    <mergeCell ref="C502:C503"/>
    <mergeCell ref="D502:D503"/>
    <mergeCell ref="E502:E503"/>
    <mergeCell ref="F502:F503"/>
    <mergeCell ref="G502:G503"/>
    <mergeCell ref="H502:H503"/>
    <mergeCell ref="S500:S501"/>
    <mergeCell ref="X500:X501"/>
    <mergeCell ref="Y500:Y501"/>
    <mergeCell ref="Z500:Z501"/>
    <mergeCell ref="AA500:AA501"/>
    <mergeCell ref="AB500:AB501"/>
    <mergeCell ref="M500:M501"/>
    <mergeCell ref="N500:N501"/>
    <mergeCell ref="O500:O501"/>
    <mergeCell ref="P500:P501"/>
    <mergeCell ref="Q500:Q501"/>
    <mergeCell ref="R500:R501"/>
    <mergeCell ref="G500:G501"/>
    <mergeCell ref="H500:H501"/>
    <mergeCell ref="I500:I501"/>
    <mergeCell ref="J500:J501"/>
    <mergeCell ref="K500:K501"/>
    <mergeCell ref="L500:L501"/>
    <mergeCell ref="A500:A501"/>
    <mergeCell ref="B500:B501"/>
    <mergeCell ref="C500:C501"/>
    <mergeCell ref="D500:D501"/>
    <mergeCell ref="E504:E505"/>
    <mergeCell ref="F504:F505"/>
    <mergeCell ref="Y502:Y503"/>
    <mergeCell ref="Z502:Z503"/>
    <mergeCell ref="AA502:AA503"/>
    <mergeCell ref="AB502:AB503"/>
    <mergeCell ref="AI502:AI503"/>
    <mergeCell ref="AJ502:AJ503"/>
    <mergeCell ref="O502:O503"/>
    <mergeCell ref="P502:P503"/>
    <mergeCell ref="Q502:Q503"/>
    <mergeCell ref="R502:R503"/>
    <mergeCell ref="S502:S503"/>
    <mergeCell ref="X502:X503"/>
    <mergeCell ref="I502:I503"/>
    <mergeCell ref="J502:J503"/>
    <mergeCell ref="K502:K503"/>
    <mergeCell ref="L502:L503"/>
    <mergeCell ref="M502:M503"/>
    <mergeCell ref="N502:N503"/>
    <mergeCell ref="AI504:AI505"/>
    <mergeCell ref="AJ504:AJ505"/>
    <mergeCell ref="A506:A507"/>
    <mergeCell ref="B506:B507"/>
    <mergeCell ref="C506:C507"/>
    <mergeCell ref="D506:D507"/>
    <mergeCell ref="E506:E507"/>
    <mergeCell ref="F506:F507"/>
    <mergeCell ref="G506:G507"/>
    <mergeCell ref="H506:H507"/>
    <mergeCell ref="S504:S505"/>
    <mergeCell ref="X504:X505"/>
    <mergeCell ref="Y504:Y505"/>
    <mergeCell ref="Z504:Z505"/>
    <mergeCell ref="AA504:AA505"/>
    <mergeCell ref="AB504:AB505"/>
    <mergeCell ref="M504:M505"/>
    <mergeCell ref="N504:N505"/>
    <mergeCell ref="O504:O505"/>
    <mergeCell ref="P504:P505"/>
    <mergeCell ref="Q504:Q505"/>
    <mergeCell ref="R504:R505"/>
    <mergeCell ref="G504:G505"/>
    <mergeCell ref="H504:H505"/>
    <mergeCell ref="I504:I505"/>
    <mergeCell ref="J504:J505"/>
    <mergeCell ref="K504:K505"/>
    <mergeCell ref="L504:L505"/>
    <mergeCell ref="A504:A505"/>
    <mergeCell ref="B504:B505"/>
    <mergeCell ref="C504:C505"/>
    <mergeCell ref="D504:D505"/>
    <mergeCell ref="E508:E509"/>
    <mergeCell ref="F508:F509"/>
    <mergeCell ref="Y506:Y507"/>
    <mergeCell ref="Z506:Z507"/>
    <mergeCell ref="AA506:AA507"/>
    <mergeCell ref="AB506:AB507"/>
    <mergeCell ref="AI506:AI507"/>
    <mergeCell ref="AJ506:AJ507"/>
    <mergeCell ref="O506:O507"/>
    <mergeCell ref="P506:P507"/>
    <mergeCell ref="Q506:Q507"/>
    <mergeCell ref="R506:R507"/>
    <mergeCell ref="S506:S507"/>
    <mergeCell ref="X506:X507"/>
    <mergeCell ref="I506:I507"/>
    <mergeCell ref="J506:J507"/>
    <mergeCell ref="K506:K507"/>
    <mergeCell ref="L506:L507"/>
    <mergeCell ref="M506:M507"/>
    <mergeCell ref="N506:N507"/>
    <mergeCell ref="AI508:AI509"/>
    <mergeCell ref="AJ508:AJ509"/>
    <mergeCell ref="A510:A511"/>
    <mergeCell ref="B510:B511"/>
    <mergeCell ref="C510:C511"/>
    <mergeCell ref="D510:D511"/>
    <mergeCell ref="E510:E511"/>
    <mergeCell ref="F510:F511"/>
    <mergeCell ref="G510:G511"/>
    <mergeCell ref="H510:H511"/>
    <mergeCell ref="S508:S509"/>
    <mergeCell ref="X508:X509"/>
    <mergeCell ref="Y508:Y509"/>
    <mergeCell ref="Z508:Z509"/>
    <mergeCell ref="AA508:AA509"/>
    <mergeCell ref="AB508:AB509"/>
    <mergeCell ref="M508:M509"/>
    <mergeCell ref="N508:N509"/>
    <mergeCell ref="O508:O509"/>
    <mergeCell ref="P508:P509"/>
    <mergeCell ref="Q508:Q509"/>
    <mergeCell ref="R508:R509"/>
    <mergeCell ref="G508:G509"/>
    <mergeCell ref="H508:H509"/>
    <mergeCell ref="I508:I509"/>
    <mergeCell ref="J508:J509"/>
    <mergeCell ref="K508:K509"/>
    <mergeCell ref="L508:L509"/>
    <mergeCell ref="A508:A509"/>
    <mergeCell ref="B508:B509"/>
    <mergeCell ref="C508:C509"/>
    <mergeCell ref="D508:D509"/>
    <mergeCell ref="E512:E513"/>
    <mergeCell ref="F512:F513"/>
    <mergeCell ref="Y510:Y511"/>
    <mergeCell ref="Z510:Z511"/>
    <mergeCell ref="AA510:AA511"/>
    <mergeCell ref="AB510:AB511"/>
    <mergeCell ref="AI510:AI511"/>
    <mergeCell ref="AJ510:AJ511"/>
    <mergeCell ref="O510:O511"/>
    <mergeCell ref="P510:P511"/>
    <mergeCell ref="Q510:Q511"/>
    <mergeCell ref="R510:R511"/>
    <mergeCell ref="S510:S511"/>
    <mergeCell ref="X510:X511"/>
    <mergeCell ref="I510:I511"/>
    <mergeCell ref="J510:J511"/>
    <mergeCell ref="K510:K511"/>
    <mergeCell ref="L510:L511"/>
    <mergeCell ref="M510:M511"/>
    <mergeCell ref="N510:N511"/>
    <mergeCell ref="AI512:AI513"/>
    <mergeCell ref="AJ512:AJ513"/>
    <mergeCell ref="A514:A515"/>
    <mergeCell ref="B514:B515"/>
    <mergeCell ref="C514:C515"/>
    <mergeCell ref="D514:D515"/>
    <mergeCell ref="E514:E515"/>
    <mergeCell ref="F514:F515"/>
    <mergeCell ref="G514:G515"/>
    <mergeCell ref="H514:H515"/>
    <mergeCell ref="S512:S513"/>
    <mergeCell ref="X512:X513"/>
    <mergeCell ref="Y512:Y513"/>
    <mergeCell ref="Z512:Z513"/>
    <mergeCell ref="AA512:AA513"/>
    <mergeCell ref="AB512:AB513"/>
    <mergeCell ref="M512:M513"/>
    <mergeCell ref="N512:N513"/>
    <mergeCell ref="O512:O513"/>
    <mergeCell ref="P512:P513"/>
    <mergeCell ref="Q512:Q513"/>
    <mergeCell ref="R512:R513"/>
    <mergeCell ref="G512:G513"/>
    <mergeCell ref="H512:H513"/>
    <mergeCell ref="I512:I513"/>
    <mergeCell ref="J512:J513"/>
    <mergeCell ref="K512:K513"/>
    <mergeCell ref="L512:L513"/>
    <mergeCell ref="A512:A513"/>
    <mergeCell ref="B512:B513"/>
    <mergeCell ref="C512:C513"/>
    <mergeCell ref="D512:D513"/>
    <mergeCell ref="E516:E517"/>
    <mergeCell ref="F516:F517"/>
    <mergeCell ref="Y514:Y515"/>
    <mergeCell ref="Z514:Z515"/>
    <mergeCell ref="AA514:AA515"/>
    <mergeCell ref="AB514:AB515"/>
    <mergeCell ref="AI514:AI515"/>
    <mergeCell ref="AJ514:AJ515"/>
    <mergeCell ref="O514:O515"/>
    <mergeCell ref="P514:P515"/>
    <mergeCell ref="Q514:Q515"/>
    <mergeCell ref="R514:R515"/>
    <mergeCell ref="S514:S515"/>
    <mergeCell ref="X514:X515"/>
    <mergeCell ref="I514:I515"/>
    <mergeCell ref="J514:J515"/>
    <mergeCell ref="K514:K515"/>
    <mergeCell ref="L514:L515"/>
    <mergeCell ref="M514:M515"/>
    <mergeCell ref="N514:N515"/>
    <mergeCell ref="AI516:AI517"/>
    <mergeCell ref="AJ516:AJ517"/>
    <mergeCell ref="A518:A519"/>
    <mergeCell ref="B518:B519"/>
    <mergeCell ref="C518:C519"/>
    <mergeCell ref="D518:D519"/>
    <mergeCell ref="E518:E519"/>
    <mergeCell ref="F518:F519"/>
    <mergeCell ref="G518:G519"/>
    <mergeCell ref="H518:H519"/>
    <mergeCell ref="S516:S517"/>
    <mergeCell ref="X516:X517"/>
    <mergeCell ref="Y516:Y517"/>
    <mergeCell ref="Z516:Z517"/>
    <mergeCell ref="AA516:AA517"/>
    <mergeCell ref="AB516:AB517"/>
    <mergeCell ref="M516:M517"/>
    <mergeCell ref="N516:N517"/>
    <mergeCell ref="O516:O517"/>
    <mergeCell ref="P516:P517"/>
    <mergeCell ref="Q516:Q517"/>
    <mergeCell ref="R516:R517"/>
    <mergeCell ref="G516:G517"/>
    <mergeCell ref="H516:H517"/>
    <mergeCell ref="I516:I517"/>
    <mergeCell ref="J516:J517"/>
    <mergeCell ref="K516:K517"/>
    <mergeCell ref="L516:L517"/>
    <mergeCell ref="A516:A517"/>
    <mergeCell ref="B516:B517"/>
    <mergeCell ref="C516:C517"/>
    <mergeCell ref="D516:D517"/>
    <mergeCell ref="E520:E521"/>
    <mergeCell ref="F520:F521"/>
    <mergeCell ref="Y518:Y519"/>
    <mergeCell ref="Z518:Z519"/>
    <mergeCell ref="AA518:AA519"/>
    <mergeCell ref="AB518:AB519"/>
    <mergeCell ref="AI518:AI519"/>
    <mergeCell ref="AJ518:AJ519"/>
    <mergeCell ref="O518:O519"/>
    <mergeCell ref="P518:P519"/>
    <mergeCell ref="Q518:Q519"/>
    <mergeCell ref="R518:R519"/>
    <mergeCell ref="S518:S519"/>
    <mergeCell ref="X518:X519"/>
    <mergeCell ref="I518:I519"/>
    <mergeCell ref="J518:J519"/>
    <mergeCell ref="K518:K519"/>
    <mergeCell ref="L518:L519"/>
    <mergeCell ref="M518:M519"/>
    <mergeCell ref="N518:N519"/>
    <mergeCell ref="AI520:AI521"/>
    <mergeCell ref="AJ520:AJ521"/>
    <mergeCell ref="A522:A523"/>
    <mergeCell ref="B522:B523"/>
    <mergeCell ref="C522:C523"/>
    <mergeCell ref="D522:D523"/>
    <mergeCell ref="E522:E523"/>
    <mergeCell ref="F522:F523"/>
    <mergeCell ref="G522:G523"/>
    <mergeCell ref="H522:H523"/>
    <mergeCell ref="S520:S521"/>
    <mergeCell ref="X520:X521"/>
    <mergeCell ref="Y520:Y521"/>
    <mergeCell ref="Z520:Z521"/>
    <mergeCell ref="AA520:AA521"/>
    <mergeCell ref="AB520:AB521"/>
    <mergeCell ref="M520:M521"/>
    <mergeCell ref="N520:N521"/>
    <mergeCell ref="O520:O521"/>
    <mergeCell ref="P520:P521"/>
    <mergeCell ref="Q520:Q521"/>
    <mergeCell ref="R520:R521"/>
    <mergeCell ref="G520:G521"/>
    <mergeCell ref="H520:H521"/>
    <mergeCell ref="I520:I521"/>
    <mergeCell ref="J520:J521"/>
    <mergeCell ref="K520:K521"/>
    <mergeCell ref="L520:L521"/>
    <mergeCell ref="A520:A521"/>
    <mergeCell ref="B520:B521"/>
    <mergeCell ref="C520:C521"/>
    <mergeCell ref="D520:D521"/>
    <mergeCell ref="E524:E525"/>
    <mergeCell ref="F524:F525"/>
    <mergeCell ref="Y522:Y523"/>
    <mergeCell ref="Z522:Z523"/>
    <mergeCell ref="AA522:AA523"/>
    <mergeCell ref="AB522:AB523"/>
    <mergeCell ref="AI522:AI523"/>
    <mergeCell ref="AJ522:AJ523"/>
    <mergeCell ref="O522:O523"/>
    <mergeCell ref="P522:P523"/>
    <mergeCell ref="Q522:Q523"/>
    <mergeCell ref="R522:R523"/>
    <mergeCell ref="S522:S523"/>
    <mergeCell ref="X522:X523"/>
    <mergeCell ref="I522:I523"/>
    <mergeCell ref="J522:J523"/>
    <mergeCell ref="K522:K523"/>
    <mergeCell ref="L522:L523"/>
    <mergeCell ref="M522:M523"/>
    <mergeCell ref="N522:N523"/>
    <mergeCell ref="AI524:AI525"/>
    <mergeCell ref="AJ524:AJ525"/>
    <mergeCell ref="A526:A527"/>
    <mergeCell ref="B526:B527"/>
    <mergeCell ref="C526:C527"/>
    <mergeCell ref="D526:D527"/>
    <mergeCell ref="E526:E527"/>
    <mergeCell ref="F526:F527"/>
    <mergeCell ref="G526:G527"/>
    <mergeCell ref="H526:H527"/>
    <mergeCell ref="S524:S525"/>
    <mergeCell ref="X524:X525"/>
    <mergeCell ref="Y524:Y525"/>
    <mergeCell ref="Z524:Z525"/>
    <mergeCell ref="AA524:AA525"/>
    <mergeCell ref="AB524:AB525"/>
    <mergeCell ref="M524:M525"/>
    <mergeCell ref="N524:N525"/>
    <mergeCell ref="O524:O525"/>
    <mergeCell ref="P524:P525"/>
    <mergeCell ref="Q524:Q525"/>
    <mergeCell ref="R524:R525"/>
    <mergeCell ref="G524:G525"/>
    <mergeCell ref="H524:H525"/>
    <mergeCell ref="I524:I525"/>
    <mergeCell ref="J524:J525"/>
    <mergeCell ref="K524:K525"/>
    <mergeCell ref="L524:L525"/>
    <mergeCell ref="A524:A525"/>
    <mergeCell ref="B524:B525"/>
    <mergeCell ref="C524:C525"/>
    <mergeCell ref="D524:D525"/>
    <mergeCell ref="E528:E529"/>
    <mergeCell ref="F528:F529"/>
    <mergeCell ref="Y526:Y527"/>
    <mergeCell ref="Z526:Z527"/>
    <mergeCell ref="AA526:AA527"/>
    <mergeCell ref="AB526:AB527"/>
    <mergeCell ref="AI526:AI527"/>
    <mergeCell ref="AJ526:AJ527"/>
    <mergeCell ref="O526:O527"/>
    <mergeCell ref="P526:P527"/>
    <mergeCell ref="Q526:Q527"/>
    <mergeCell ref="R526:R527"/>
    <mergeCell ref="S526:S527"/>
    <mergeCell ref="X526:X527"/>
    <mergeCell ref="I526:I527"/>
    <mergeCell ref="J526:J527"/>
    <mergeCell ref="K526:K527"/>
    <mergeCell ref="L526:L527"/>
    <mergeCell ref="M526:M527"/>
    <mergeCell ref="N526:N527"/>
    <mergeCell ref="AI528:AI529"/>
    <mergeCell ref="AJ528:AJ529"/>
    <mergeCell ref="A530:A531"/>
    <mergeCell ref="B530:B531"/>
    <mergeCell ref="C530:C531"/>
    <mergeCell ref="D530:D531"/>
    <mergeCell ref="E530:E531"/>
    <mergeCell ref="F530:F531"/>
    <mergeCell ref="G530:G531"/>
    <mergeCell ref="H530:H531"/>
    <mergeCell ref="S528:S529"/>
    <mergeCell ref="X528:X529"/>
    <mergeCell ref="Y528:Y529"/>
    <mergeCell ref="Z528:Z529"/>
    <mergeCell ref="AA528:AA529"/>
    <mergeCell ref="AB528:AB529"/>
    <mergeCell ref="M528:M529"/>
    <mergeCell ref="N528:N529"/>
    <mergeCell ref="O528:O529"/>
    <mergeCell ref="P528:P529"/>
    <mergeCell ref="Q528:Q529"/>
    <mergeCell ref="R528:R529"/>
    <mergeCell ref="G528:G529"/>
    <mergeCell ref="H528:H529"/>
    <mergeCell ref="I528:I529"/>
    <mergeCell ref="J528:J529"/>
    <mergeCell ref="K528:K529"/>
    <mergeCell ref="L528:L529"/>
    <mergeCell ref="A528:A529"/>
    <mergeCell ref="B528:B529"/>
    <mergeCell ref="C528:C529"/>
    <mergeCell ref="D528:D529"/>
    <mergeCell ref="E532:E533"/>
    <mergeCell ref="F532:F533"/>
    <mergeCell ref="Y530:Y531"/>
    <mergeCell ref="Z530:Z531"/>
    <mergeCell ref="AA530:AA531"/>
    <mergeCell ref="AB530:AB531"/>
    <mergeCell ref="AI530:AI531"/>
    <mergeCell ref="AJ530:AJ531"/>
    <mergeCell ref="O530:O531"/>
    <mergeCell ref="P530:P531"/>
    <mergeCell ref="Q530:Q531"/>
    <mergeCell ref="R530:R531"/>
    <mergeCell ref="S530:S531"/>
    <mergeCell ref="X530:X531"/>
    <mergeCell ref="I530:I531"/>
    <mergeCell ref="J530:J531"/>
    <mergeCell ref="K530:K531"/>
    <mergeCell ref="L530:L531"/>
    <mergeCell ref="M530:M531"/>
    <mergeCell ref="N530:N531"/>
    <mergeCell ref="AI532:AI533"/>
    <mergeCell ref="AJ532:AJ533"/>
    <mergeCell ref="A534:A535"/>
    <mergeCell ref="B534:B535"/>
    <mergeCell ref="C534:C535"/>
    <mergeCell ref="D534:D535"/>
    <mergeCell ref="E534:E535"/>
    <mergeCell ref="F534:F535"/>
    <mergeCell ref="G534:G535"/>
    <mergeCell ref="H534:H535"/>
    <mergeCell ref="S532:S533"/>
    <mergeCell ref="X532:X533"/>
    <mergeCell ref="Y532:Y533"/>
    <mergeCell ref="Z532:Z533"/>
    <mergeCell ref="AA532:AA533"/>
    <mergeCell ref="AB532:AB533"/>
    <mergeCell ref="M532:M533"/>
    <mergeCell ref="N532:N533"/>
    <mergeCell ref="O532:O533"/>
    <mergeCell ref="P532:P533"/>
    <mergeCell ref="Q532:Q533"/>
    <mergeCell ref="R532:R533"/>
    <mergeCell ref="G532:G533"/>
    <mergeCell ref="H532:H533"/>
    <mergeCell ref="I532:I533"/>
    <mergeCell ref="J532:J533"/>
    <mergeCell ref="K532:K533"/>
    <mergeCell ref="L532:L533"/>
    <mergeCell ref="A532:A533"/>
    <mergeCell ref="B532:B533"/>
    <mergeCell ref="C532:C533"/>
    <mergeCell ref="D532:D533"/>
    <mergeCell ref="E536:E537"/>
    <mergeCell ref="F536:F537"/>
    <mergeCell ref="Y534:Y535"/>
    <mergeCell ref="Z534:Z535"/>
    <mergeCell ref="AA534:AA535"/>
    <mergeCell ref="AB534:AB535"/>
    <mergeCell ref="AI534:AI535"/>
    <mergeCell ref="AJ534:AJ535"/>
    <mergeCell ref="O534:O535"/>
    <mergeCell ref="P534:P535"/>
    <mergeCell ref="Q534:Q535"/>
    <mergeCell ref="R534:R535"/>
    <mergeCell ref="S534:S535"/>
    <mergeCell ref="X534:X535"/>
    <mergeCell ref="I534:I535"/>
    <mergeCell ref="J534:J535"/>
    <mergeCell ref="K534:K535"/>
    <mergeCell ref="L534:L535"/>
    <mergeCell ref="M534:M535"/>
    <mergeCell ref="N534:N535"/>
    <mergeCell ref="AI536:AI537"/>
    <mergeCell ref="AJ536:AJ537"/>
    <mergeCell ref="A538:A539"/>
    <mergeCell ref="B538:B539"/>
    <mergeCell ref="C538:C539"/>
    <mergeCell ref="D538:D539"/>
    <mergeCell ref="E538:E539"/>
    <mergeCell ref="F538:F539"/>
    <mergeCell ref="G538:G539"/>
    <mergeCell ref="H538:H539"/>
    <mergeCell ref="S536:S537"/>
    <mergeCell ref="X536:X537"/>
    <mergeCell ref="Y536:Y537"/>
    <mergeCell ref="Z536:Z537"/>
    <mergeCell ref="AA536:AA537"/>
    <mergeCell ref="AB536:AB537"/>
    <mergeCell ref="M536:M537"/>
    <mergeCell ref="N536:N537"/>
    <mergeCell ref="O536:O537"/>
    <mergeCell ref="P536:P537"/>
    <mergeCell ref="Q536:Q537"/>
    <mergeCell ref="R536:R537"/>
    <mergeCell ref="G536:G537"/>
    <mergeCell ref="H536:H537"/>
    <mergeCell ref="I536:I537"/>
    <mergeCell ref="J536:J537"/>
    <mergeCell ref="K536:K537"/>
    <mergeCell ref="L536:L537"/>
    <mergeCell ref="A536:A537"/>
    <mergeCell ref="B536:B537"/>
    <mergeCell ref="C536:C537"/>
    <mergeCell ref="D536:D537"/>
    <mergeCell ref="E540:E541"/>
    <mergeCell ref="F540:F541"/>
    <mergeCell ref="Y538:Y539"/>
    <mergeCell ref="Z538:Z539"/>
    <mergeCell ref="AA538:AA539"/>
    <mergeCell ref="AB538:AB539"/>
    <mergeCell ref="AI538:AI539"/>
    <mergeCell ref="AJ538:AJ539"/>
    <mergeCell ref="O538:O539"/>
    <mergeCell ref="P538:P539"/>
    <mergeCell ref="Q538:Q539"/>
    <mergeCell ref="R538:R539"/>
    <mergeCell ref="S538:S539"/>
    <mergeCell ref="X538:X539"/>
    <mergeCell ref="I538:I539"/>
    <mergeCell ref="J538:J539"/>
    <mergeCell ref="K538:K539"/>
    <mergeCell ref="L538:L539"/>
    <mergeCell ref="M538:M539"/>
    <mergeCell ref="N538:N539"/>
    <mergeCell ref="AI540:AI541"/>
    <mergeCell ref="AJ540:AJ541"/>
    <mergeCell ref="A542:A543"/>
    <mergeCell ref="B542:B543"/>
    <mergeCell ref="C542:C543"/>
    <mergeCell ref="D542:D543"/>
    <mergeCell ref="E542:E543"/>
    <mergeCell ref="F542:F543"/>
    <mergeCell ref="G542:G543"/>
    <mergeCell ref="H542:H543"/>
    <mergeCell ref="S540:S541"/>
    <mergeCell ref="X540:X541"/>
    <mergeCell ref="Y540:Y541"/>
    <mergeCell ref="Z540:Z541"/>
    <mergeCell ref="AA540:AA541"/>
    <mergeCell ref="AB540:AB541"/>
    <mergeCell ref="M540:M541"/>
    <mergeCell ref="N540:N541"/>
    <mergeCell ref="O540:O541"/>
    <mergeCell ref="P540:P541"/>
    <mergeCell ref="Q540:Q541"/>
    <mergeCell ref="R540:R541"/>
    <mergeCell ref="G540:G541"/>
    <mergeCell ref="H540:H541"/>
    <mergeCell ref="I540:I541"/>
    <mergeCell ref="J540:J541"/>
    <mergeCell ref="K540:K541"/>
    <mergeCell ref="L540:L541"/>
    <mergeCell ref="A540:A541"/>
    <mergeCell ref="B540:B541"/>
    <mergeCell ref="C540:C541"/>
    <mergeCell ref="D540:D541"/>
    <mergeCell ref="E544:E545"/>
    <mergeCell ref="F544:F545"/>
    <mergeCell ref="Y542:Y543"/>
    <mergeCell ref="Z542:Z543"/>
    <mergeCell ref="AA542:AA543"/>
    <mergeCell ref="AB542:AB543"/>
    <mergeCell ref="AI542:AI543"/>
    <mergeCell ref="AJ542:AJ543"/>
    <mergeCell ref="O542:O543"/>
    <mergeCell ref="P542:P543"/>
    <mergeCell ref="Q542:Q543"/>
    <mergeCell ref="R542:R543"/>
    <mergeCell ref="S542:S543"/>
    <mergeCell ref="X542:X543"/>
    <mergeCell ref="I542:I543"/>
    <mergeCell ref="J542:J543"/>
    <mergeCell ref="K542:K543"/>
    <mergeCell ref="L542:L543"/>
    <mergeCell ref="M542:M543"/>
    <mergeCell ref="N542:N543"/>
    <mergeCell ref="AI544:AI545"/>
    <mergeCell ref="AJ544:AJ545"/>
    <mergeCell ref="A546:A547"/>
    <mergeCell ref="B546:B547"/>
    <mergeCell ref="C546:C547"/>
    <mergeCell ref="D546:D547"/>
    <mergeCell ref="E546:E547"/>
    <mergeCell ref="F546:F547"/>
    <mergeCell ref="G546:G547"/>
    <mergeCell ref="H546:H547"/>
    <mergeCell ref="S544:S545"/>
    <mergeCell ref="X544:X545"/>
    <mergeCell ref="Y544:Y545"/>
    <mergeCell ref="Z544:Z545"/>
    <mergeCell ref="AA544:AA545"/>
    <mergeCell ref="AB544:AB545"/>
    <mergeCell ref="M544:M545"/>
    <mergeCell ref="N544:N545"/>
    <mergeCell ref="O544:O545"/>
    <mergeCell ref="P544:P545"/>
    <mergeCell ref="Q544:Q545"/>
    <mergeCell ref="R544:R545"/>
    <mergeCell ref="G544:G545"/>
    <mergeCell ref="H544:H545"/>
    <mergeCell ref="I544:I545"/>
    <mergeCell ref="J544:J545"/>
    <mergeCell ref="K544:K545"/>
    <mergeCell ref="L544:L545"/>
    <mergeCell ref="A544:A545"/>
    <mergeCell ref="B544:B545"/>
    <mergeCell ref="C544:C545"/>
    <mergeCell ref="D544:D545"/>
    <mergeCell ref="E548:E549"/>
    <mergeCell ref="F548:F549"/>
    <mergeCell ref="Y546:Y547"/>
    <mergeCell ref="Z546:Z547"/>
    <mergeCell ref="AA546:AA547"/>
    <mergeCell ref="AB546:AB547"/>
    <mergeCell ref="AI546:AI547"/>
    <mergeCell ref="AJ546:AJ547"/>
    <mergeCell ref="O546:O547"/>
    <mergeCell ref="P546:P547"/>
    <mergeCell ref="Q546:Q547"/>
    <mergeCell ref="R546:R547"/>
    <mergeCell ref="S546:S547"/>
    <mergeCell ref="X546:X547"/>
    <mergeCell ref="I546:I547"/>
    <mergeCell ref="J546:J547"/>
    <mergeCell ref="K546:K547"/>
    <mergeCell ref="L546:L547"/>
    <mergeCell ref="M546:M547"/>
    <mergeCell ref="N546:N547"/>
    <mergeCell ref="AI548:AI549"/>
    <mergeCell ref="AJ548:AJ549"/>
    <mergeCell ref="A550:A551"/>
    <mergeCell ref="B550:B551"/>
    <mergeCell ref="C550:C551"/>
    <mergeCell ref="D550:D551"/>
    <mergeCell ref="E550:E551"/>
    <mergeCell ref="F550:F551"/>
    <mergeCell ref="G550:G551"/>
    <mergeCell ref="H550:H551"/>
    <mergeCell ref="S548:S549"/>
    <mergeCell ref="X548:X549"/>
    <mergeCell ref="Y548:Y549"/>
    <mergeCell ref="Z548:Z549"/>
    <mergeCell ref="AA548:AA549"/>
    <mergeCell ref="AB548:AB549"/>
    <mergeCell ref="M548:M549"/>
    <mergeCell ref="N548:N549"/>
    <mergeCell ref="O548:O549"/>
    <mergeCell ref="P548:P549"/>
    <mergeCell ref="Q548:Q549"/>
    <mergeCell ref="R548:R549"/>
    <mergeCell ref="G548:G549"/>
    <mergeCell ref="H548:H549"/>
    <mergeCell ref="I548:I549"/>
    <mergeCell ref="J548:J549"/>
    <mergeCell ref="K548:K549"/>
    <mergeCell ref="L548:L549"/>
    <mergeCell ref="A548:A549"/>
    <mergeCell ref="B548:B549"/>
    <mergeCell ref="C548:C549"/>
    <mergeCell ref="D548:D549"/>
    <mergeCell ref="E552:E553"/>
    <mergeCell ref="F552:F553"/>
    <mergeCell ref="Y550:Y551"/>
    <mergeCell ref="Z550:Z551"/>
    <mergeCell ref="AA550:AA551"/>
    <mergeCell ref="AB550:AB551"/>
    <mergeCell ref="AI550:AI551"/>
    <mergeCell ref="AJ550:AJ551"/>
    <mergeCell ref="O550:O551"/>
    <mergeCell ref="P550:P551"/>
    <mergeCell ref="Q550:Q551"/>
    <mergeCell ref="R550:R551"/>
    <mergeCell ref="S550:S551"/>
    <mergeCell ref="X550:X551"/>
    <mergeCell ref="I550:I551"/>
    <mergeCell ref="J550:J551"/>
    <mergeCell ref="K550:K551"/>
    <mergeCell ref="L550:L551"/>
    <mergeCell ref="M550:M551"/>
    <mergeCell ref="N550:N551"/>
    <mergeCell ref="AI552:AI553"/>
    <mergeCell ref="AJ552:AJ553"/>
    <mergeCell ref="A554:A555"/>
    <mergeCell ref="B554:B555"/>
    <mergeCell ref="C554:C555"/>
    <mergeCell ref="D554:D555"/>
    <mergeCell ref="E554:E555"/>
    <mergeCell ref="F554:F555"/>
    <mergeCell ref="G554:G555"/>
    <mergeCell ref="H554:H555"/>
    <mergeCell ref="S552:S553"/>
    <mergeCell ref="X552:X553"/>
    <mergeCell ref="Y552:Y553"/>
    <mergeCell ref="Z552:Z553"/>
    <mergeCell ref="AA552:AA553"/>
    <mergeCell ref="AB552:AB553"/>
    <mergeCell ref="M552:M553"/>
    <mergeCell ref="N552:N553"/>
    <mergeCell ref="O552:O553"/>
    <mergeCell ref="P552:P553"/>
    <mergeCell ref="Q552:Q553"/>
    <mergeCell ref="R552:R553"/>
    <mergeCell ref="G552:G553"/>
    <mergeCell ref="H552:H553"/>
    <mergeCell ref="I552:I553"/>
    <mergeCell ref="J552:J553"/>
    <mergeCell ref="K552:K553"/>
    <mergeCell ref="L552:L553"/>
    <mergeCell ref="A552:A553"/>
    <mergeCell ref="B552:B553"/>
    <mergeCell ref="C552:C553"/>
    <mergeCell ref="D552:D553"/>
    <mergeCell ref="E556:E557"/>
    <mergeCell ref="F556:F557"/>
    <mergeCell ref="Y554:Y555"/>
    <mergeCell ref="Z554:Z555"/>
    <mergeCell ref="AA554:AA555"/>
    <mergeCell ref="AB554:AB555"/>
    <mergeCell ref="AI554:AI555"/>
    <mergeCell ref="AJ554:AJ555"/>
    <mergeCell ref="O554:O555"/>
    <mergeCell ref="P554:P555"/>
    <mergeCell ref="Q554:Q555"/>
    <mergeCell ref="R554:R555"/>
    <mergeCell ref="S554:S555"/>
    <mergeCell ref="X554:X555"/>
    <mergeCell ref="I554:I555"/>
    <mergeCell ref="J554:J555"/>
    <mergeCell ref="K554:K555"/>
    <mergeCell ref="L554:L555"/>
    <mergeCell ref="M554:M555"/>
    <mergeCell ref="N554:N555"/>
    <mergeCell ref="AI556:AI557"/>
    <mergeCell ref="AJ556:AJ557"/>
    <mergeCell ref="A558:A559"/>
    <mergeCell ref="B558:B559"/>
    <mergeCell ref="C558:C559"/>
    <mergeCell ref="D558:D559"/>
    <mergeCell ref="E558:E559"/>
    <mergeCell ref="F558:F559"/>
    <mergeCell ref="G558:G559"/>
    <mergeCell ref="H558:H559"/>
    <mergeCell ref="S556:S557"/>
    <mergeCell ref="X556:X557"/>
    <mergeCell ref="Y556:Y557"/>
    <mergeCell ref="Z556:Z557"/>
    <mergeCell ref="AA556:AA557"/>
    <mergeCell ref="AB556:AB557"/>
    <mergeCell ref="M556:M557"/>
    <mergeCell ref="N556:N557"/>
    <mergeCell ref="O556:O557"/>
    <mergeCell ref="P556:P557"/>
    <mergeCell ref="Q556:Q557"/>
    <mergeCell ref="R556:R557"/>
    <mergeCell ref="G556:G557"/>
    <mergeCell ref="H556:H557"/>
    <mergeCell ref="I556:I557"/>
    <mergeCell ref="J556:J557"/>
    <mergeCell ref="K556:K557"/>
    <mergeCell ref="L556:L557"/>
    <mergeCell ref="A556:A557"/>
    <mergeCell ref="B556:B557"/>
    <mergeCell ref="C556:C557"/>
    <mergeCell ref="D556:D557"/>
    <mergeCell ref="E560:E561"/>
    <mergeCell ref="F560:F561"/>
    <mergeCell ref="Y558:Y559"/>
    <mergeCell ref="Z558:Z559"/>
    <mergeCell ref="AA558:AA559"/>
    <mergeCell ref="AB558:AB559"/>
    <mergeCell ref="AI558:AI559"/>
    <mergeCell ref="AJ558:AJ559"/>
    <mergeCell ref="O558:O559"/>
    <mergeCell ref="P558:P559"/>
    <mergeCell ref="Q558:Q559"/>
    <mergeCell ref="R558:R559"/>
    <mergeCell ref="S558:S559"/>
    <mergeCell ref="X558:X559"/>
    <mergeCell ref="I558:I559"/>
    <mergeCell ref="J558:J559"/>
    <mergeCell ref="K558:K559"/>
    <mergeCell ref="L558:L559"/>
    <mergeCell ref="M558:M559"/>
    <mergeCell ref="N558:N559"/>
    <mergeCell ref="AI560:AI561"/>
    <mergeCell ref="AJ560:AJ561"/>
    <mergeCell ref="A562:A563"/>
    <mergeCell ref="B562:B563"/>
    <mergeCell ref="C562:C563"/>
    <mergeCell ref="D562:D563"/>
    <mergeCell ref="E562:E563"/>
    <mergeCell ref="F562:F563"/>
    <mergeCell ref="G562:G563"/>
    <mergeCell ref="H562:H563"/>
    <mergeCell ref="S560:S561"/>
    <mergeCell ref="X560:X561"/>
    <mergeCell ref="Y560:Y561"/>
    <mergeCell ref="Z560:Z561"/>
    <mergeCell ref="AA560:AA561"/>
    <mergeCell ref="AB560:AB561"/>
    <mergeCell ref="M560:M561"/>
    <mergeCell ref="N560:N561"/>
    <mergeCell ref="O560:O561"/>
    <mergeCell ref="P560:P561"/>
    <mergeCell ref="Q560:Q561"/>
    <mergeCell ref="R560:R561"/>
    <mergeCell ref="G560:G561"/>
    <mergeCell ref="H560:H561"/>
    <mergeCell ref="I560:I561"/>
    <mergeCell ref="J560:J561"/>
    <mergeCell ref="K560:K561"/>
    <mergeCell ref="L560:L561"/>
    <mergeCell ref="A560:A561"/>
    <mergeCell ref="B560:B561"/>
    <mergeCell ref="C560:C561"/>
    <mergeCell ref="D560:D561"/>
    <mergeCell ref="E564:E565"/>
    <mergeCell ref="F564:F565"/>
    <mergeCell ref="Y562:Y563"/>
    <mergeCell ref="Z562:Z563"/>
    <mergeCell ref="AA562:AA563"/>
    <mergeCell ref="AB562:AB563"/>
    <mergeCell ref="AI562:AI563"/>
    <mergeCell ref="AJ562:AJ563"/>
    <mergeCell ref="O562:O563"/>
    <mergeCell ref="P562:P563"/>
    <mergeCell ref="Q562:Q563"/>
    <mergeCell ref="R562:R563"/>
    <mergeCell ref="S562:S563"/>
    <mergeCell ref="X562:X563"/>
    <mergeCell ref="I562:I563"/>
    <mergeCell ref="J562:J563"/>
    <mergeCell ref="K562:K563"/>
    <mergeCell ref="L562:L563"/>
    <mergeCell ref="M562:M563"/>
    <mergeCell ref="N562:N563"/>
    <mergeCell ref="AI564:AI565"/>
    <mergeCell ref="AJ564:AJ565"/>
    <mergeCell ref="A566:A567"/>
    <mergeCell ref="B566:B567"/>
    <mergeCell ref="C566:C567"/>
    <mergeCell ref="D566:D567"/>
    <mergeCell ref="E566:E567"/>
    <mergeCell ref="F566:F567"/>
    <mergeCell ref="G566:G567"/>
    <mergeCell ref="H566:H567"/>
    <mergeCell ref="S564:S565"/>
    <mergeCell ref="X564:X565"/>
    <mergeCell ref="Y564:Y565"/>
    <mergeCell ref="Z564:Z565"/>
    <mergeCell ref="AA564:AA565"/>
    <mergeCell ref="AB564:AB565"/>
    <mergeCell ref="M564:M565"/>
    <mergeCell ref="N564:N565"/>
    <mergeCell ref="O564:O565"/>
    <mergeCell ref="P564:P565"/>
    <mergeCell ref="Q564:Q565"/>
    <mergeCell ref="R564:R565"/>
    <mergeCell ref="G564:G565"/>
    <mergeCell ref="H564:H565"/>
    <mergeCell ref="I564:I565"/>
    <mergeCell ref="J564:J565"/>
    <mergeCell ref="K564:K565"/>
    <mergeCell ref="L564:L565"/>
    <mergeCell ref="A564:A565"/>
    <mergeCell ref="B564:B565"/>
    <mergeCell ref="C564:C565"/>
    <mergeCell ref="D564:D565"/>
    <mergeCell ref="E568:E569"/>
    <mergeCell ref="F568:F569"/>
    <mergeCell ref="Y566:Y567"/>
    <mergeCell ref="Z566:Z567"/>
    <mergeCell ref="AA566:AA567"/>
    <mergeCell ref="AB566:AB567"/>
    <mergeCell ref="AI566:AI567"/>
    <mergeCell ref="AJ566:AJ567"/>
    <mergeCell ref="O566:O567"/>
    <mergeCell ref="P566:P567"/>
    <mergeCell ref="Q566:Q567"/>
    <mergeCell ref="R566:R567"/>
    <mergeCell ref="S566:S567"/>
    <mergeCell ref="X566:X567"/>
    <mergeCell ref="I566:I567"/>
    <mergeCell ref="J566:J567"/>
    <mergeCell ref="K566:K567"/>
    <mergeCell ref="L566:L567"/>
    <mergeCell ref="M566:M567"/>
    <mergeCell ref="N566:N567"/>
    <mergeCell ref="AI568:AI569"/>
    <mergeCell ref="AJ568:AJ569"/>
    <mergeCell ref="A570:A571"/>
    <mergeCell ref="B570:B571"/>
    <mergeCell ref="C570:C571"/>
    <mergeCell ref="D570:D571"/>
    <mergeCell ref="E570:E571"/>
    <mergeCell ref="F570:F571"/>
    <mergeCell ref="G570:G571"/>
    <mergeCell ref="H570:H571"/>
    <mergeCell ref="S568:S569"/>
    <mergeCell ref="X568:X569"/>
    <mergeCell ref="Y568:Y569"/>
    <mergeCell ref="Z568:Z569"/>
    <mergeCell ref="AA568:AA569"/>
    <mergeCell ref="AB568:AB569"/>
    <mergeCell ref="M568:M569"/>
    <mergeCell ref="N568:N569"/>
    <mergeCell ref="O568:O569"/>
    <mergeCell ref="P568:P569"/>
    <mergeCell ref="Q568:Q569"/>
    <mergeCell ref="R568:R569"/>
    <mergeCell ref="G568:G569"/>
    <mergeCell ref="H568:H569"/>
    <mergeCell ref="I568:I569"/>
    <mergeCell ref="J568:J569"/>
    <mergeCell ref="K568:K569"/>
    <mergeCell ref="L568:L569"/>
    <mergeCell ref="A568:A569"/>
    <mergeCell ref="B568:B569"/>
    <mergeCell ref="C568:C569"/>
    <mergeCell ref="D568:D569"/>
    <mergeCell ref="E572:E573"/>
    <mergeCell ref="F572:F573"/>
    <mergeCell ref="Y570:Y571"/>
    <mergeCell ref="Z570:Z571"/>
    <mergeCell ref="AA570:AA571"/>
    <mergeCell ref="AB570:AB571"/>
    <mergeCell ref="AI570:AI571"/>
    <mergeCell ref="AJ570:AJ571"/>
    <mergeCell ref="O570:O571"/>
    <mergeCell ref="P570:P571"/>
    <mergeCell ref="Q570:Q571"/>
    <mergeCell ref="R570:R571"/>
    <mergeCell ref="S570:S571"/>
    <mergeCell ref="X570:X571"/>
    <mergeCell ref="I570:I571"/>
    <mergeCell ref="J570:J571"/>
    <mergeCell ref="K570:K571"/>
    <mergeCell ref="L570:L571"/>
    <mergeCell ref="M570:M571"/>
    <mergeCell ref="N570:N571"/>
    <mergeCell ref="AI572:AI573"/>
    <mergeCell ref="AJ572:AJ573"/>
    <mergeCell ref="A574:A575"/>
    <mergeCell ref="B574:B575"/>
    <mergeCell ref="C574:C575"/>
    <mergeCell ref="D574:D575"/>
    <mergeCell ref="E574:E575"/>
    <mergeCell ref="F574:F575"/>
    <mergeCell ref="G574:G575"/>
    <mergeCell ref="H574:H575"/>
    <mergeCell ref="S572:S573"/>
    <mergeCell ref="X572:X573"/>
    <mergeCell ref="Y572:Y573"/>
    <mergeCell ref="Z572:Z573"/>
    <mergeCell ref="AA572:AA573"/>
    <mergeCell ref="AB572:AB573"/>
    <mergeCell ref="M572:M573"/>
    <mergeCell ref="N572:N573"/>
    <mergeCell ref="O572:O573"/>
    <mergeCell ref="P572:P573"/>
    <mergeCell ref="Q572:Q573"/>
    <mergeCell ref="R572:R573"/>
    <mergeCell ref="G572:G573"/>
    <mergeCell ref="H572:H573"/>
    <mergeCell ref="I572:I573"/>
    <mergeCell ref="J572:J573"/>
    <mergeCell ref="K572:K573"/>
    <mergeCell ref="L572:L573"/>
    <mergeCell ref="A572:A573"/>
    <mergeCell ref="B572:B573"/>
    <mergeCell ref="C572:C573"/>
    <mergeCell ref="D572:D573"/>
    <mergeCell ref="E576:E577"/>
    <mergeCell ref="F576:F577"/>
    <mergeCell ref="Y574:Y575"/>
    <mergeCell ref="Z574:Z575"/>
    <mergeCell ref="AA574:AA575"/>
    <mergeCell ref="AB574:AB575"/>
    <mergeCell ref="AI574:AI575"/>
    <mergeCell ref="AJ574:AJ575"/>
    <mergeCell ref="O574:O575"/>
    <mergeCell ref="P574:P575"/>
    <mergeCell ref="Q574:Q575"/>
    <mergeCell ref="R574:R575"/>
    <mergeCell ref="S574:S575"/>
    <mergeCell ref="X574:X575"/>
    <mergeCell ref="I574:I575"/>
    <mergeCell ref="J574:J575"/>
    <mergeCell ref="K574:K575"/>
    <mergeCell ref="L574:L575"/>
    <mergeCell ref="M574:M575"/>
    <mergeCell ref="N574:N575"/>
    <mergeCell ref="AI576:AI577"/>
    <mergeCell ref="AJ576:AJ577"/>
    <mergeCell ref="A578:A579"/>
    <mergeCell ref="B578:B579"/>
    <mergeCell ref="C578:C579"/>
    <mergeCell ref="D578:D579"/>
    <mergeCell ref="E578:E579"/>
    <mergeCell ref="F578:F579"/>
    <mergeCell ref="G578:G579"/>
    <mergeCell ref="H578:H579"/>
    <mergeCell ref="S576:S577"/>
    <mergeCell ref="X576:X577"/>
    <mergeCell ref="Y576:Y577"/>
    <mergeCell ref="Z576:Z577"/>
    <mergeCell ref="AA576:AA577"/>
    <mergeCell ref="AB576:AB577"/>
    <mergeCell ref="M576:M577"/>
    <mergeCell ref="N576:N577"/>
    <mergeCell ref="O576:O577"/>
    <mergeCell ref="P576:P577"/>
    <mergeCell ref="Q576:Q577"/>
    <mergeCell ref="R576:R577"/>
    <mergeCell ref="G576:G577"/>
    <mergeCell ref="H576:H577"/>
    <mergeCell ref="I576:I577"/>
    <mergeCell ref="J576:J577"/>
    <mergeCell ref="K576:K577"/>
    <mergeCell ref="L576:L577"/>
    <mergeCell ref="A576:A577"/>
    <mergeCell ref="B576:B577"/>
    <mergeCell ref="C576:C577"/>
    <mergeCell ref="D576:D577"/>
    <mergeCell ref="E580:E581"/>
    <mergeCell ref="F580:F581"/>
    <mergeCell ref="Y578:Y579"/>
    <mergeCell ref="Z578:Z579"/>
    <mergeCell ref="AA578:AA579"/>
    <mergeCell ref="AB578:AB579"/>
    <mergeCell ref="AI578:AI579"/>
    <mergeCell ref="AJ578:AJ579"/>
    <mergeCell ref="O578:O579"/>
    <mergeCell ref="P578:P579"/>
    <mergeCell ref="Q578:Q579"/>
    <mergeCell ref="R578:R579"/>
    <mergeCell ref="S578:S579"/>
    <mergeCell ref="X578:X579"/>
    <mergeCell ref="I578:I579"/>
    <mergeCell ref="J578:J579"/>
    <mergeCell ref="K578:K579"/>
    <mergeCell ref="L578:L579"/>
    <mergeCell ref="M578:M579"/>
    <mergeCell ref="N578:N579"/>
    <mergeCell ref="AI580:AI581"/>
    <mergeCell ref="AJ580:AJ581"/>
    <mergeCell ref="A582:A583"/>
    <mergeCell ref="B582:B583"/>
    <mergeCell ref="C582:C583"/>
    <mergeCell ref="D582:D583"/>
    <mergeCell ref="E582:E583"/>
    <mergeCell ref="F582:F583"/>
    <mergeCell ref="G582:G583"/>
    <mergeCell ref="H582:H583"/>
    <mergeCell ref="S580:S581"/>
    <mergeCell ref="X580:X581"/>
    <mergeCell ref="Y580:Y581"/>
    <mergeCell ref="Z580:Z581"/>
    <mergeCell ref="AA580:AA581"/>
    <mergeCell ref="AB580:AB581"/>
    <mergeCell ref="M580:M581"/>
    <mergeCell ref="N580:N581"/>
    <mergeCell ref="O580:O581"/>
    <mergeCell ref="P580:P581"/>
    <mergeCell ref="Q580:Q581"/>
    <mergeCell ref="R580:R581"/>
    <mergeCell ref="G580:G581"/>
    <mergeCell ref="H580:H581"/>
    <mergeCell ref="I580:I581"/>
    <mergeCell ref="J580:J581"/>
    <mergeCell ref="K580:K581"/>
    <mergeCell ref="L580:L581"/>
    <mergeCell ref="A580:A581"/>
    <mergeCell ref="B580:B581"/>
    <mergeCell ref="C580:C581"/>
    <mergeCell ref="D580:D581"/>
    <mergeCell ref="E584:E585"/>
    <mergeCell ref="F584:F585"/>
    <mergeCell ref="Y582:Y583"/>
    <mergeCell ref="Z582:Z583"/>
    <mergeCell ref="AA582:AA583"/>
    <mergeCell ref="AB582:AB583"/>
    <mergeCell ref="AI582:AI583"/>
    <mergeCell ref="AJ582:AJ583"/>
    <mergeCell ref="O582:O583"/>
    <mergeCell ref="P582:P583"/>
    <mergeCell ref="Q582:Q583"/>
    <mergeCell ref="R582:R583"/>
    <mergeCell ref="S582:S583"/>
    <mergeCell ref="X582:X583"/>
    <mergeCell ref="I582:I583"/>
    <mergeCell ref="J582:J583"/>
    <mergeCell ref="K582:K583"/>
    <mergeCell ref="L582:L583"/>
    <mergeCell ref="M582:M583"/>
    <mergeCell ref="N582:N583"/>
    <mergeCell ref="AI584:AI585"/>
    <mergeCell ref="AJ584:AJ585"/>
    <mergeCell ref="A586:A587"/>
    <mergeCell ref="B586:B587"/>
    <mergeCell ref="C586:C587"/>
    <mergeCell ref="D586:D587"/>
    <mergeCell ref="E586:E587"/>
    <mergeCell ref="F586:F587"/>
    <mergeCell ref="G586:G587"/>
    <mergeCell ref="H586:H587"/>
    <mergeCell ref="S584:S585"/>
    <mergeCell ref="X584:X585"/>
    <mergeCell ref="Y584:Y585"/>
    <mergeCell ref="Z584:Z585"/>
    <mergeCell ref="AA584:AA585"/>
    <mergeCell ref="AB584:AB585"/>
    <mergeCell ref="M584:M585"/>
    <mergeCell ref="N584:N585"/>
    <mergeCell ref="O584:O585"/>
    <mergeCell ref="P584:P585"/>
    <mergeCell ref="Q584:Q585"/>
    <mergeCell ref="R584:R585"/>
    <mergeCell ref="G584:G585"/>
    <mergeCell ref="H584:H585"/>
    <mergeCell ref="I584:I585"/>
    <mergeCell ref="J584:J585"/>
    <mergeCell ref="K584:K585"/>
    <mergeCell ref="L584:L585"/>
    <mergeCell ref="A584:A585"/>
    <mergeCell ref="B584:B585"/>
    <mergeCell ref="C584:C585"/>
    <mergeCell ref="D584:D585"/>
    <mergeCell ref="E588:E589"/>
    <mergeCell ref="F588:F589"/>
    <mergeCell ref="Y586:Y587"/>
    <mergeCell ref="Z586:Z587"/>
    <mergeCell ref="AA586:AA587"/>
    <mergeCell ref="AB586:AB587"/>
    <mergeCell ref="AI586:AI587"/>
    <mergeCell ref="AJ586:AJ587"/>
    <mergeCell ref="O586:O587"/>
    <mergeCell ref="P586:P587"/>
    <mergeCell ref="Q586:Q587"/>
    <mergeCell ref="R586:R587"/>
    <mergeCell ref="S586:S587"/>
    <mergeCell ref="X586:X587"/>
    <mergeCell ref="I586:I587"/>
    <mergeCell ref="J586:J587"/>
    <mergeCell ref="K586:K587"/>
    <mergeCell ref="L586:L587"/>
    <mergeCell ref="M586:M587"/>
    <mergeCell ref="N586:N587"/>
    <mergeCell ref="AI588:AI589"/>
    <mergeCell ref="AJ588:AJ589"/>
    <mergeCell ref="A590:A591"/>
    <mergeCell ref="B590:B591"/>
    <mergeCell ref="C590:C591"/>
    <mergeCell ref="D590:D591"/>
    <mergeCell ref="E590:E591"/>
    <mergeCell ref="F590:F591"/>
    <mergeCell ref="G590:G591"/>
    <mergeCell ref="H590:H591"/>
    <mergeCell ref="S588:S589"/>
    <mergeCell ref="X588:X589"/>
    <mergeCell ref="Y588:Y589"/>
    <mergeCell ref="Z588:Z589"/>
    <mergeCell ref="AA588:AA589"/>
    <mergeCell ref="AB588:AB589"/>
    <mergeCell ref="M588:M589"/>
    <mergeCell ref="N588:N589"/>
    <mergeCell ref="O588:O589"/>
    <mergeCell ref="P588:P589"/>
    <mergeCell ref="Q588:Q589"/>
    <mergeCell ref="R588:R589"/>
    <mergeCell ref="G588:G589"/>
    <mergeCell ref="H588:H589"/>
    <mergeCell ref="I588:I589"/>
    <mergeCell ref="J588:J589"/>
    <mergeCell ref="K588:K589"/>
    <mergeCell ref="L588:L589"/>
    <mergeCell ref="A588:A589"/>
    <mergeCell ref="B588:B589"/>
    <mergeCell ref="C588:C589"/>
    <mergeCell ref="D588:D589"/>
    <mergeCell ref="E592:E593"/>
    <mergeCell ref="F592:F593"/>
    <mergeCell ref="Y590:Y591"/>
    <mergeCell ref="Z590:Z591"/>
    <mergeCell ref="AA590:AA591"/>
    <mergeCell ref="AB590:AB591"/>
    <mergeCell ref="AI590:AI591"/>
    <mergeCell ref="AJ590:AJ591"/>
    <mergeCell ref="O590:O591"/>
    <mergeCell ref="P590:P591"/>
    <mergeCell ref="Q590:Q591"/>
    <mergeCell ref="R590:R591"/>
    <mergeCell ref="S590:S591"/>
    <mergeCell ref="X590:X591"/>
    <mergeCell ref="I590:I591"/>
    <mergeCell ref="J590:J591"/>
    <mergeCell ref="K590:K591"/>
    <mergeCell ref="L590:L591"/>
    <mergeCell ref="M590:M591"/>
    <mergeCell ref="N590:N591"/>
    <mergeCell ref="AI592:AI593"/>
    <mergeCell ref="AJ592:AJ593"/>
    <mergeCell ref="A594:A595"/>
    <mergeCell ref="B594:B595"/>
    <mergeCell ref="C594:C595"/>
    <mergeCell ref="D594:D595"/>
    <mergeCell ref="E594:E595"/>
    <mergeCell ref="F594:F595"/>
    <mergeCell ref="G594:G595"/>
    <mergeCell ref="H594:H595"/>
    <mergeCell ref="S592:S593"/>
    <mergeCell ref="X592:X593"/>
    <mergeCell ref="Y592:Y593"/>
    <mergeCell ref="Z592:Z593"/>
    <mergeCell ref="AA592:AA593"/>
    <mergeCell ref="AB592:AB593"/>
    <mergeCell ref="M592:M593"/>
    <mergeCell ref="N592:N593"/>
    <mergeCell ref="O592:O593"/>
    <mergeCell ref="P592:P593"/>
    <mergeCell ref="Q592:Q593"/>
    <mergeCell ref="R592:R593"/>
    <mergeCell ref="G592:G593"/>
    <mergeCell ref="H592:H593"/>
    <mergeCell ref="I592:I593"/>
    <mergeCell ref="J592:J593"/>
    <mergeCell ref="K592:K593"/>
    <mergeCell ref="L592:L593"/>
    <mergeCell ref="A592:A593"/>
    <mergeCell ref="B592:B593"/>
    <mergeCell ref="C592:C593"/>
    <mergeCell ref="D592:D593"/>
    <mergeCell ref="E596:E597"/>
    <mergeCell ref="F596:F597"/>
    <mergeCell ref="Y594:Y595"/>
    <mergeCell ref="Z594:Z595"/>
    <mergeCell ref="AA594:AA595"/>
    <mergeCell ref="AB594:AB595"/>
    <mergeCell ref="AI594:AI595"/>
    <mergeCell ref="AJ594:AJ595"/>
    <mergeCell ref="O594:O595"/>
    <mergeCell ref="P594:P595"/>
    <mergeCell ref="Q594:Q595"/>
    <mergeCell ref="R594:R595"/>
    <mergeCell ref="S594:S595"/>
    <mergeCell ref="X594:X595"/>
    <mergeCell ref="I594:I595"/>
    <mergeCell ref="J594:J595"/>
    <mergeCell ref="K594:K595"/>
    <mergeCell ref="L594:L595"/>
    <mergeCell ref="M594:M595"/>
    <mergeCell ref="N594:N595"/>
    <mergeCell ref="AI596:AI597"/>
    <mergeCell ref="AJ596:AJ597"/>
    <mergeCell ref="A598:A599"/>
    <mergeCell ref="B598:B599"/>
    <mergeCell ref="C598:C599"/>
    <mergeCell ref="D598:D599"/>
    <mergeCell ref="E598:E599"/>
    <mergeCell ref="F598:F599"/>
    <mergeCell ref="G598:G599"/>
    <mergeCell ref="H598:H599"/>
    <mergeCell ref="S596:S597"/>
    <mergeCell ref="X596:X597"/>
    <mergeCell ref="Y596:Y597"/>
    <mergeCell ref="Z596:Z597"/>
    <mergeCell ref="AA596:AA597"/>
    <mergeCell ref="AB596:AB597"/>
    <mergeCell ref="M596:M597"/>
    <mergeCell ref="N596:N597"/>
    <mergeCell ref="O596:O597"/>
    <mergeCell ref="P596:P597"/>
    <mergeCell ref="Q596:Q597"/>
    <mergeCell ref="R596:R597"/>
    <mergeCell ref="G596:G597"/>
    <mergeCell ref="H596:H597"/>
    <mergeCell ref="I596:I597"/>
    <mergeCell ref="J596:J597"/>
    <mergeCell ref="K596:K597"/>
    <mergeCell ref="L596:L597"/>
    <mergeCell ref="A596:A597"/>
    <mergeCell ref="B596:B597"/>
    <mergeCell ref="C596:C597"/>
    <mergeCell ref="D596:D597"/>
    <mergeCell ref="E600:E601"/>
    <mergeCell ref="F600:F601"/>
    <mergeCell ref="Y598:Y599"/>
    <mergeCell ref="Z598:Z599"/>
    <mergeCell ref="AA598:AA599"/>
    <mergeCell ref="AB598:AB599"/>
    <mergeCell ref="AI598:AI599"/>
    <mergeCell ref="AJ598:AJ599"/>
    <mergeCell ref="O598:O599"/>
    <mergeCell ref="P598:P599"/>
    <mergeCell ref="Q598:Q599"/>
    <mergeCell ref="R598:R599"/>
    <mergeCell ref="S598:S599"/>
    <mergeCell ref="X598:X599"/>
    <mergeCell ref="I598:I599"/>
    <mergeCell ref="J598:J599"/>
    <mergeCell ref="K598:K599"/>
    <mergeCell ref="L598:L599"/>
    <mergeCell ref="M598:M599"/>
    <mergeCell ref="N598:N599"/>
    <mergeCell ref="AI600:AI601"/>
    <mergeCell ref="AJ600:AJ601"/>
    <mergeCell ref="A602:A603"/>
    <mergeCell ref="B602:B603"/>
    <mergeCell ref="C602:C603"/>
    <mergeCell ref="D602:D603"/>
    <mergeCell ref="E602:E603"/>
    <mergeCell ref="F602:F603"/>
    <mergeCell ref="G602:G603"/>
    <mergeCell ref="H602:H603"/>
    <mergeCell ref="S600:S601"/>
    <mergeCell ref="X600:X601"/>
    <mergeCell ref="Y600:Y601"/>
    <mergeCell ref="Z600:Z601"/>
    <mergeCell ref="AA600:AA601"/>
    <mergeCell ref="AB600:AB601"/>
    <mergeCell ref="M600:M601"/>
    <mergeCell ref="N600:N601"/>
    <mergeCell ref="O600:O601"/>
    <mergeCell ref="P600:P601"/>
    <mergeCell ref="Q600:Q601"/>
    <mergeCell ref="R600:R601"/>
    <mergeCell ref="G600:G601"/>
    <mergeCell ref="H600:H601"/>
    <mergeCell ref="I600:I601"/>
    <mergeCell ref="J600:J601"/>
    <mergeCell ref="K600:K601"/>
    <mergeCell ref="L600:L601"/>
    <mergeCell ref="A600:A601"/>
    <mergeCell ref="B600:B601"/>
    <mergeCell ref="C600:C601"/>
    <mergeCell ref="D600:D601"/>
    <mergeCell ref="E604:E605"/>
    <mergeCell ref="F604:F605"/>
    <mergeCell ref="Y602:Y603"/>
    <mergeCell ref="Z602:Z603"/>
    <mergeCell ref="AA602:AA603"/>
    <mergeCell ref="AB602:AB603"/>
    <mergeCell ref="AI602:AI603"/>
    <mergeCell ref="AJ602:AJ603"/>
    <mergeCell ref="O602:O603"/>
    <mergeCell ref="P602:P603"/>
    <mergeCell ref="Q602:Q603"/>
    <mergeCell ref="R602:R603"/>
    <mergeCell ref="S602:S603"/>
    <mergeCell ref="X602:X603"/>
    <mergeCell ref="I602:I603"/>
    <mergeCell ref="J602:J603"/>
    <mergeCell ref="K602:K603"/>
    <mergeCell ref="L602:L603"/>
    <mergeCell ref="M602:M603"/>
    <mergeCell ref="N602:N603"/>
    <mergeCell ref="AI604:AI605"/>
    <mergeCell ref="AJ604:AJ605"/>
    <mergeCell ref="A606:A607"/>
    <mergeCell ref="B606:B607"/>
    <mergeCell ref="C606:C607"/>
    <mergeCell ref="D606:D607"/>
    <mergeCell ref="E606:E607"/>
    <mergeCell ref="F606:F607"/>
    <mergeCell ref="G606:G607"/>
    <mergeCell ref="H606:H607"/>
    <mergeCell ref="S604:S605"/>
    <mergeCell ref="X604:X605"/>
    <mergeCell ref="Y604:Y605"/>
    <mergeCell ref="Z604:Z605"/>
    <mergeCell ref="AA604:AA605"/>
    <mergeCell ref="AB604:AB605"/>
    <mergeCell ref="M604:M605"/>
    <mergeCell ref="N604:N605"/>
    <mergeCell ref="O604:O605"/>
    <mergeCell ref="P604:P605"/>
    <mergeCell ref="Q604:Q605"/>
    <mergeCell ref="R604:R605"/>
    <mergeCell ref="G604:G605"/>
    <mergeCell ref="H604:H605"/>
    <mergeCell ref="I604:I605"/>
    <mergeCell ref="J604:J605"/>
    <mergeCell ref="K604:K605"/>
    <mergeCell ref="L604:L605"/>
    <mergeCell ref="A604:A605"/>
    <mergeCell ref="B604:B605"/>
    <mergeCell ref="C604:C605"/>
    <mergeCell ref="D604:D605"/>
    <mergeCell ref="A608:A609"/>
    <mergeCell ref="B608:B609"/>
    <mergeCell ref="C608:C609"/>
    <mergeCell ref="D608:D609"/>
    <mergeCell ref="E608:E609"/>
    <mergeCell ref="F608:F609"/>
    <mergeCell ref="Y606:Y607"/>
    <mergeCell ref="Z606:Z607"/>
    <mergeCell ref="AA606:AA607"/>
    <mergeCell ref="AB606:AB607"/>
    <mergeCell ref="AI606:AI607"/>
    <mergeCell ref="AJ606:AJ607"/>
    <mergeCell ref="O606:O607"/>
    <mergeCell ref="P606:P607"/>
    <mergeCell ref="Q606:Q607"/>
    <mergeCell ref="R606:R607"/>
    <mergeCell ref="S606:S607"/>
    <mergeCell ref="X606:X607"/>
    <mergeCell ref="I606:I607"/>
    <mergeCell ref="J606:J607"/>
    <mergeCell ref="K606:K607"/>
    <mergeCell ref="L606:L607"/>
    <mergeCell ref="M606:M607"/>
    <mergeCell ref="N606:N607"/>
    <mergeCell ref="AI608:AI609"/>
    <mergeCell ref="AJ608:AJ609"/>
    <mergeCell ref="S608:S609"/>
    <mergeCell ref="X608:X609"/>
    <mergeCell ref="Y608:Y609"/>
    <mergeCell ref="Z608:Z609"/>
    <mergeCell ref="AA608:AA609"/>
    <mergeCell ref="AB608:AB609"/>
    <mergeCell ref="M608:M609"/>
    <mergeCell ref="N608:N609"/>
    <mergeCell ref="O608:O609"/>
    <mergeCell ref="P608:P609"/>
    <mergeCell ref="Q608:Q609"/>
    <mergeCell ref="R608:R609"/>
    <mergeCell ref="G608:G609"/>
    <mergeCell ref="H608:H609"/>
    <mergeCell ref="I608:I609"/>
    <mergeCell ref="J608:J609"/>
    <mergeCell ref="K608:K609"/>
    <mergeCell ref="L608:L609"/>
  </mergeCells>
  <phoneticPr fontId="3"/>
  <conditionalFormatting sqref="R8:R609">
    <cfRule type="cellIs" dxfId="1" priority="2" stopIfTrue="1" operator="equal">
      <formula>"NG"</formula>
    </cfRule>
  </conditionalFormatting>
  <conditionalFormatting sqref="AK8:AK609">
    <cfRule type="cellIs" dxfId="0" priority="1" stopIfTrue="1" operator="equal">
      <formula>"NG"</formula>
    </cfRule>
  </conditionalFormatting>
  <dataValidations disablePrompts="1" count="2">
    <dataValidation type="list" allowBlank="1" showInputMessage="1" showErrorMessage="1" sqref="AN6 AN65499 AN131035 AN196571 AN262107 AN327643 AN393179 AN458715 AN524251 AN589787 AN655323 AN720859 AN786395 AN851931 AN917467 AN983003 AP6 AP65499 AP131035 AP196571 AP262107 AP327643 AP393179 AP458715 AP524251 AP589787 AP655323 AP720859 AP786395 AP851931 AP917467 AP983003" xr:uid="{FC776515-D988-4EF6-A086-7FF70C243C7C}">
      <formula1>"1,2,3"</formula1>
    </dataValidation>
    <dataValidation type="list" allowBlank="1" showInputMessage="1" showErrorMessage="1" sqref="AO6 AO65499 AO131035 AO196571 AO262107 AO327643 AO393179 AO458715 AO524251 AO589787 AO655323 AO720859 AO786395 AO851931 AO917467 AO983003" xr:uid="{DF9C3E20-9A74-4155-8B3A-6ECE50C6A552}">
      <formula1>"6,8"</formula1>
    </dataValidation>
  </dataValidations>
  <pageMargins left="0.70866141732283472" right="0.70866141732283472" top="0.74803149606299213" bottom="0.74803149606299213" header="0.31496062992125984" footer="0.31496062992125984"/>
  <pageSetup paperSize="9" scale="83" fitToHeight="0" orientation="landscape" blackAndWhite="1" r:id="rId1"/>
  <headerFoot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水理計算書</vt:lpstr>
      <vt:lpstr>水理計算書!Print_Area</vt:lpstr>
      <vt:lpstr>水理計算書!Print_Titles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リーガル</dc:creator>
  <cp:lastModifiedBy>横山太郎</cp:lastModifiedBy>
  <dcterms:created xsi:type="dcterms:W3CDTF">2025-07-30T02:22:34Z</dcterms:created>
  <dcterms:modified xsi:type="dcterms:W3CDTF">2026-04-19T07:55:45Z</dcterms:modified>
</cp:coreProperties>
</file>