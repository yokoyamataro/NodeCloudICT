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lab\NodeCloud\doc\"/>
    </mc:Choice>
  </mc:AlternateContent>
  <xr:revisionPtr revIDLastSave="0" documentId="8_{172EDF77-4694-464A-8D13-BAC33104C0F7}" xr6:coauthVersionLast="47" xr6:coauthVersionMax="47" xr10:uidLastSave="{00000000-0000-0000-0000-000000000000}"/>
  <bookViews>
    <workbookView xWindow="-110" yWindow="-110" windowWidth="19420" windowHeight="11500" xr2:uid="{8053777F-86ED-4C21-8144-69D29CEAA6F8}"/>
  </bookViews>
  <sheets>
    <sheet name="測定結果一覧表"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kb1">#REF!</definedName>
    <definedName name="__kb2">#REF!</definedName>
    <definedName name="__kb3">#REF!</definedName>
    <definedName name="__kh1">#REF!</definedName>
    <definedName name="__kh2">#REF!</definedName>
    <definedName name="__kh3">#REF!</definedName>
    <definedName name="__lb1">#REF!</definedName>
    <definedName name="__lb2">#REF!</definedName>
    <definedName name="__lb3">#REF!</definedName>
    <definedName name="__lb4">#REF!</definedName>
    <definedName name="__lb5">#REF!</definedName>
    <definedName name="__lh1">#REF!</definedName>
    <definedName name="__lh2">#REF!</definedName>
    <definedName name="__lh3">#REF!</definedName>
    <definedName name="__lh4">#REF!</definedName>
    <definedName name="__lh5">#REF!</definedName>
    <definedName name="__MA1">[0]!__MA1</definedName>
    <definedName name="__PP1">[2]管土積計算!#REF!</definedName>
    <definedName name="__PP2">[2]管土積計算!#REF!</definedName>
    <definedName name="__PP3">[2]管土積計算!#REF!</definedName>
    <definedName name="__PP4">[2]管土積計算!#REF!</definedName>
    <definedName name="__PP5">[2]管土積計算!#REF!</definedName>
    <definedName name="__rb1">#REF!</definedName>
    <definedName name="__rb2">#REF!</definedName>
    <definedName name="__rb3">#REF!</definedName>
    <definedName name="__rb4">#REF!</definedName>
    <definedName name="__rb5">#REF!</definedName>
    <definedName name="__rh1">#REF!</definedName>
    <definedName name="__rh2">#REF!</definedName>
    <definedName name="__rh3">#REF!</definedName>
    <definedName name="__rh4">#REF!</definedName>
    <definedName name="__rh5">#REF!</definedName>
    <definedName name="__yb1">#REF!</definedName>
    <definedName name="__yb2">#REF!</definedName>
    <definedName name="__yb3">#REF!</definedName>
    <definedName name="__yb4">#REF!</definedName>
    <definedName name="__yb5">#REF!</definedName>
    <definedName name="__yb6">#REF!</definedName>
    <definedName name="__yh1">#REF!</definedName>
    <definedName name="__yh2">#REF!</definedName>
    <definedName name="__yh3">#REF!</definedName>
    <definedName name="__yh4">#REF!</definedName>
    <definedName name="__yh5">#REF!</definedName>
    <definedName name="__yh6">#REF!</definedName>
    <definedName name="__yh7">#REF!</definedName>
    <definedName name="_01">#REF!</definedName>
    <definedName name="_02">#REF!</definedName>
    <definedName name="_03">#REF!</definedName>
    <definedName name="_1">#REF!</definedName>
    <definedName name="_1GOU">#REF!</definedName>
    <definedName name="_2">#REF!</definedName>
    <definedName name="_3">#REF!</definedName>
    <definedName name="_4">#REF!</definedName>
    <definedName name="_kb1">#REF!</definedName>
    <definedName name="_kb2">#REF!</definedName>
    <definedName name="_kb3">#REF!</definedName>
    <definedName name="_Key1" hidden="1">#REF!</definedName>
    <definedName name="_kh1">#REF!</definedName>
    <definedName name="_kh2">#REF!</definedName>
    <definedName name="_kh3">#REF!</definedName>
    <definedName name="_lb1">#REF!</definedName>
    <definedName name="_lb2">#REF!</definedName>
    <definedName name="_lb3">#REF!</definedName>
    <definedName name="_lb4">#REF!</definedName>
    <definedName name="_lb5">#REF!</definedName>
    <definedName name="_lh1">#REF!</definedName>
    <definedName name="_lh2">#REF!</definedName>
    <definedName name="_lh3">#REF!</definedName>
    <definedName name="_lh4">#REF!</definedName>
    <definedName name="_lh5">#REF!</definedName>
    <definedName name="_MA1">[0]!_MA1</definedName>
    <definedName name="_Order1" hidden="1">0</definedName>
    <definedName name="_PP1">[2]管土積計算!#REF!</definedName>
    <definedName name="_PP2">[2]管土積計算!#REF!</definedName>
    <definedName name="_PP3">[2]管土積計算!#REF!</definedName>
    <definedName name="_PP4">[2]管土積計算!#REF!</definedName>
    <definedName name="_PP5">[2]管土積計算!#REF!</definedName>
    <definedName name="_rb1">#REF!</definedName>
    <definedName name="_rb2">#REF!</definedName>
    <definedName name="_rb3">#REF!</definedName>
    <definedName name="_rb4">#REF!</definedName>
    <definedName name="_rb5">#REF!</definedName>
    <definedName name="_RCP1450">#REF!+#REF!+#REF!+#REF!+#REF!+#REF!+#REF!+#REF!+#REF!+#REF!</definedName>
    <definedName name="_RCP1600">#REF!+#REF!+#REF!</definedName>
    <definedName name="_RCP4600">#REF!+#REF!+#REF!</definedName>
    <definedName name="_rh1">#REF!</definedName>
    <definedName name="_rh2">#REF!</definedName>
    <definedName name="_rh3">#REF!</definedName>
    <definedName name="_rh4">#REF!</definedName>
    <definedName name="_rh5">#REF!</definedName>
    <definedName name="_Sort" hidden="1">#REF!</definedName>
    <definedName name="_SRT2">#REF!</definedName>
    <definedName name="_SRT3">#REF!</definedName>
    <definedName name="_SUB1">#REF!</definedName>
    <definedName name="_SUB2">#REF!</definedName>
    <definedName name="_SUB3">#REF!</definedName>
    <definedName name="_SUB4">#REF!</definedName>
    <definedName name="_SUB5">#REF!</definedName>
    <definedName name="_SUB6">#REF!</definedName>
    <definedName name="_SUB6_1">#REF!</definedName>
    <definedName name="_yb1">#REF!</definedName>
    <definedName name="_yb2">#REF!</definedName>
    <definedName name="_yb3">#REF!</definedName>
    <definedName name="_yb4">#REF!</definedName>
    <definedName name="_yb5">#REF!</definedName>
    <definedName name="_yb6">#REF!</definedName>
    <definedName name="_yh1">#REF!</definedName>
    <definedName name="_yh2">#REF!</definedName>
    <definedName name="_yh3">#REF!</definedName>
    <definedName name="_yh4">#REF!</definedName>
    <definedName name="_yh5">#REF!</definedName>
    <definedName name="_yh6">#REF!</definedName>
    <definedName name="_yh7">#REF!</definedName>
    <definedName name="\\延長調書">#REF!</definedName>
    <definedName name="\\箇所調書">#REF!</definedName>
    <definedName name="\\工集計表">#REF!</definedName>
    <definedName name="\\面積調書">#REF!</definedName>
    <definedName name="\0">[2]管土積計算!#REF!</definedName>
    <definedName name="\1111">'[3]ｺﾝｸﾘ-ﾄＡ-1'!#REF!</definedName>
    <definedName name="\123">'[3]ｺﾝｸﾘ-ﾄＡ-1'!#REF!</definedName>
    <definedName name="\a">#REF!</definedName>
    <definedName name="\aa">'[3]ｺﾝｸﾘ-ﾄＡ-1'!#REF!</definedName>
    <definedName name="\B">[2]管土積計算!#REF!</definedName>
    <definedName name="\BS">[4]土積集計!#REF!</definedName>
    <definedName name="\c">#REF!</definedName>
    <definedName name="\d">#REF!</definedName>
    <definedName name="\e">#REF!</definedName>
    <definedName name="\f">#REF!</definedName>
    <definedName name="\i">#REF!</definedName>
    <definedName name="\k">#REF!</definedName>
    <definedName name="\m">#REF!</definedName>
    <definedName name="\N">[5]土工Ｐ1P!#REF!</definedName>
    <definedName name="\p">#REF!</definedName>
    <definedName name="\P1">[5]土工Ｐ1P!#REF!</definedName>
    <definedName name="\q">#REF!</definedName>
    <definedName name="\r">#REF!</definedName>
    <definedName name="\s">#REF!</definedName>
    <definedName name="\SS">[5]土工Ｐ1P!#REF!</definedName>
    <definedName name="\t">#REF!</definedName>
    <definedName name="\u">#REF!</definedName>
    <definedName name="\v">#REF!</definedName>
    <definedName name="\w">#REF!</definedName>
    <definedName name="\x">#REF!</definedName>
    <definedName name="\y">#REF!</definedName>
    <definedName name="\z">#REF!</definedName>
    <definedName name="\zzz">'[3]ｺﾝｸﾘ-ﾄＡ-1'!#REF!</definedName>
    <definedName name="①集計1">#REF!</definedName>
    <definedName name="①集計2">#REF!</definedName>
    <definedName name="①補正L1">#REF!</definedName>
    <definedName name="①補正L2">#REF!</definedName>
    <definedName name="①補正L3">#REF!</definedName>
    <definedName name="①補正R1">#REF!</definedName>
    <definedName name="①補正R2">#REF!</definedName>
    <definedName name="①補正R3">#REF!</definedName>
    <definedName name="②集計1">#REF!</definedName>
    <definedName name="②集計2">#REF!</definedName>
    <definedName name="②補正L1">#REF!</definedName>
    <definedName name="②補正L2">#REF!</definedName>
    <definedName name="②補正L3">#REF!</definedName>
    <definedName name="②補正R1">#REF!</definedName>
    <definedName name="②補正R2">#REF!</definedName>
    <definedName name="②補正R3">#REF!</definedName>
    <definedName name="③集計1">#REF!</definedName>
    <definedName name="③集計2">#REF!</definedName>
    <definedName name="③補正L1">#REF!</definedName>
    <definedName name="③補正L2">#REF!</definedName>
    <definedName name="③補正L3">#REF!</definedName>
    <definedName name="③補正R1">#REF!</definedName>
    <definedName name="③補正R2">#REF!</definedName>
    <definedName name="③補正R3">#REF!</definedName>
    <definedName name="④集計1">#REF!</definedName>
    <definedName name="④集計2">#REF!</definedName>
    <definedName name="④補正L1">#REF!</definedName>
    <definedName name="④補正L2">#REF!</definedName>
    <definedName name="④補正L3">#REF!</definedName>
    <definedName name="④補正R1">#REF!</definedName>
    <definedName name="④補正R2">#REF!</definedName>
    <definedName name="④補正R3">#REF!</definedName>
    <definedName name="A">#N/A</definedName>
    <definedName name="aa">'[3]ｺﾝｸﾘ-ﾄＡ-1'!#REF!</definedName>
    <definedName name="aaa">#REF!</definedName>
    <definedName name="Ai22I22">#REF!</definedName>
    <definedName name="B">'[6]単　価'!#REF!</definedName>
    <definedName name="bbb">#REF!</definedName>
    <definedName name="cb">[7]土積集計!#REF!</definedName>
    <definedName name="COUNT">#REF!</definedName>
    <definedName name="COUNT2">#REF!</definedName>
    <definedName name="DAT">#REF!</definedName>
    <definedName name="DOWN">#REF!</definedName>
    <definedName name="END">[2]管土積計算!#REF!</definedName>
    <definedName name="ERR">#REF!</definedName>
    <definedName name="ERR_1">#REF!</definedName>
    <definedName name="GOTO">#N/A</definedName>
    <definedName name="Ｈ">[8]当り数量調書!#REF!</definedName>
    <definedName name="H_HEADLINE">#REF!</definedName>
    <definedName name="HonkoClearCheck">[0]!HonkoClearCheck</definedName>
    <definedName name="HonkoJump">[0]!HonkoJump</definedName>
    <definedName name="HonkoPrint">[0]!HonkoPrint</definedName>
    <definedName name="HonkoSyosikiJump">[0]!HonkoSyosikiJump</definedName>
    <definedName name="HOZON">[2]管土積計算!#REF!</definedName>
    <definedName name="HP2P1450">#REF!+#REF!+#REF!+#REF!+#REF!+#REF!+#REF!+#REF!+#REF!+#REF!+#REF!+#REF!+#REF!+#REF!</definedName>
    <definedName name="INPUT">#REF!</definedName>
    <definedName name="K">[1]暗渠計算書!#REF!</definedName>
    <definedName name="kaa">#REF!</definedName>
    <definedName name="kab">#REF!</definedName>
    <definedName name="kaka">#REF!</definedName>
    <definedName name="kari">#REF!</definedName>
    <definedName name="katal">#REF!</definedName>
    <definedName name="katar">#REF!</definedName>
    <definedName name="kca">#REF!</definedName>
    <definedName name="kcb">#REF!</definedName>
    <definedName name="KeihiPrint">[0]!KeihiPrint</definedName>
    <definedName name="KEISAN_1">#REF!</definedName>
    <definedName name="KEISAN_2">#REF!</definedName>
    <definedName name="KEISAN_3">#REF!</definedName>
    <definedName name="KEISAN_4">#REF!</definedName>
    <definedName name="KEISAN_5">#REF!</definedName>
    <definedName name="KH">[1]暗渠計算書!#REF!</definedName>
    <definedName name="KI">[1]暗渠計算書!#REF!</definedName>
    <definedName name="kisol">#REF!</definedName>
    <definedName name="kisor">#REF!</definedName>
    <definedName name="kka">#REF!</definedName>
    <definedName name="kkb">#REF!</definedName>
    <definedName name="KOU">[9]供用日数!#REF!</definedName>
    <definedName name="kozo">#REF!</definedName>
    <definedName name="ksa">#REF!</definedName>
    <definedName name="ksb">#REF!</definedName>
    <definedName name="KSH">#REF!</definedName>
    <definedName name="KUID">#REF!</definedName>
    <definedName name="KUIL">#REF!</definedName>
    <definedName name="KUIN">#REF!</definedName>
    <definedName name="lb">#REF!</definedName>
    <definedName name="LEFT">#REF!</definedName>
    <definedName name="lh">#REF!</definedName>
    <definedName name="LIST">#REF!,#REF!,#REF!,#REF!,#REF!,#REF!,#REF!,#REF!,#REF!,#REF!</definedName>
    <definedName name="LIST_P1">#REF!</definedName>
    <definedName name="LIST_P2">#REF!</definedName>
    <definedName name="ll">#REF!</definedName>
    <definedName name="L延長">'[10]3.延長調書'!$B$62</definedName>
    <definedName name="M_RESET">#REF!</definedName>
    <definedName name="M_SET">#REF!</definedName>
    <definedName name="MACRO">#REF!</definedName>
    <definedName name="maen">#REF!</definedName>
    <definedName name="MAIN">#REF!</definedName>
    <definedName name="MAIN_MENU">#REF!</definedName>
    <definedName name="MAINMENU">#REF!</definedName>
    <definedName name="Mati1">[0]!Mati1</definedName>
    <definedName name="mejil">#REF!</definedName>
    <definedName name="mejir">#REF!</definedName>
    <definedName name="MENSEKI">[11]!MENSEKI</definedName>
    <definedName name="MENU">#N/A</definedName>
    <definedName name="mmm">#REF!</definedName>
    <definedName name="ｎ">#REF!</definedName>
    <definedName name="naral">#REF!</definedName>
    <definedName name="narar">#REF!</definedName>
    <definedName name="NIJIM">[11]!NIJIM</definedName>
    <definedName name="NO">#REF!</definedName>
    <definedName name="OI">[1]暗渠計算書!#REF!</definedName>
    <definedName name="OWARI">[2]管土積計算!#REF!</definedName>
    <definedName name="PP">[4]土積集計!#REF!</definedName>
    <definedName name="PR_COMM">#REF!</definedName>
    <definedName name="PRESV">#REF!</definedName>
    <definedName name="PRINT">#REF!</definedName>
    <definedName name="_xlnm.Print_Area">#REF!</definedName>
    <definedName name="PRINT_MENU">#REF!</definedName>
    <definedName name="PRT">[2]管土積計算!#REF!</definedName>
    <definedName name="PRTS">[4]土積集計!#REF!</definedName>
    <definedName name="rb">#REF!</definedName>
    <definedName name="RCP1D450">#REF!+#REF!+#REF!+#REF!+#REF!+#REF!+#REF!+#REF!+#REF!+#REF!+#REF!+#REF!+#REF!</definedName>
    <definedName name="RCP3D300">(#REF!+#REF!+#REF!+#REF!)</definedName>
    <definedName name="_xlnm.Recorder">#REF!</definedName>
    <definedName name="rh">#REF!</definedName>
    <definedName name="RIGHT">#REF!</definedName>
    <definedName name="ritu1">#REF!</definedName>
    <definedName name="ritu2">#REF!</definedName>
    <definedName name="R延長">'[10]3.延長調書'!$G$62</definedName>
    <definedName name="S">[1]暗渠計算書!#REF!</definedName>
    <definedName name="sann">#REF!</definedName>
    <definedName name="SH">[1]暗渠計算書!#REF!</definedName>
    <definedName name="SHA">#REF!</definedName>
    <definedName name="SI">[1]暗渠計算書!#REF!</definedName>
    <definedName name="SORT">#REF!</definedName>
    <definedName name="ｓｐ">#REF!</definedName>
    <definedName name="ss">[12]管土積計算!#REF!</definedName>
    <definedName name="SSH">#REF!</definedName>
    <definedName name="sss">[0]!sss</definedName>
    <definedName name="SUB2_1">#REF!</definedName>
    <definedName name="SUB3_1">#REF!</definedName>
    <definedName name="SUB3_2">#REF!</definedName>
    <definedName name="SUB4_1">#REF!</definedName>
    <definedName name="SUB5_1">#REF!</definedName>
    <definedName name="SUB6_1">#REF!</definedName>
    <definedName name="SyokiJump">[0]!SyokiJump</definedName>
    <definedName name="TankaJump">[0]!TankaJump</definedName>
    <definedName name="TankaPrint">[0]!TankaPrint</definedName>
    <definedName name="TOJIRU">[2]管土積計算!#REF!</definedName>
    <definedName name="TYPE">#REF!</definedName>
    <definedName name="UP">#REF!</definedName>
    <definedName name="usiron">#REF!</definedName>
    <definedName name="UtiwakeClearCheck">[0]!UtiwakeClearCheck</definedName>
    <definedName name="UtiwakeJump">[0]!UtiwakeJump</definedName>
    <definedName name="UtiwakePrint">[0]!UtiwakePrint</definedName>
    <definedName name="UtiwakeSyosikiJump">[0]!UtiwakeSyosikiJump</definedName>
    <definedName name="Ｕー\\\\延長">#REF!</definedName>
    <definedName name="Ｕー３００延長">#REF!</definedName>
    <definedName name="Ｕー３６０延長">#REF!</definedName>
    <definedName name="Ｕー４５０延長">#REF!</definedName>
    <definedName name="Ｕー６００延長">#REF!</definedName>
    <definedName name="uuu">#REF!</definedName>
    <definedName name="Ｖー\\\\延長">#REF!</definedName>
    <definedName name="vvv">#REF!</definedName>
    <definedName name="yb">#REF!</definedName>
    <definedName name="yh">#REF!</definedName>
    <definedName name="yousi">'[13]土積集計 (2)'!#REF!</definedName>
    <definedName name="yy">[14]当り数量調書!#REF!</definedName>
    <definedName name="yyy">#REF!</definedName>
    <definedName name="ｱﾝｶｰﾓﾙﾀﾙ">#REF!</definedName>
    <definedName name="ｱﾝｶｰ架設">#REF!</definedName>
    <definedName name="い">#REF!</definedName>
    <definedName name="おうだん">#REF!</definedName>
    <definedName name="ガードケーブル延長">#REF!</definedName>
    <definedName name="ガードレール延長">#REF!</definedName>
    <definedName name="かがみ">'[15]土積集計 (2)'!$A$1:$W$30</definedName>
    <definedName name="カット高">'[16]U-0-0-Ｂ入力'!$E$26</definedName>
    <definedName name="カット有無">'[16]U-0-0-Ｂ入力'!$E$23</definedName>
    <definedName name="ｸﾛｰﾗ単価">#REF!</definedName>
    <definedName name="コンク規格">'[16]U-0-0-Ｂ入力'!$L$9</definedName>
    <definedName name="ｺﾝ基設置">#REF!</definedName>
    <definedName name="さ">#REF!</definedName>
    <definedName name="し3_CHOICE1">[17]切盛土集計!#REF!</definedName>
    <definedName name="し3_CHOICE2">[17]切盛土集計!#REF!</definedName>
    <definedName name="し3_CHOICE3">[17]切盛土集計!#REF!</definedName>
    <definedName name="し3_HAN_I">[17]切盛土集計!#REF!</definedName>
    <definedName name="し3_JUMP001">[17]切盛土集計!#REF!</definedName>
    <definedName name="し3_JUMP002">[17]切盛土集計!#REF!</definedName>
    <definedName name="し3_JUMP003">[17]切盛土集計!#REF!</definedName>
    <definedName name="し3_JUMP004">[17]切盛土集計!#REF!</definedName>
    <definedName name="し3_JUMP005">[17]切盛土集計!#REF!</definedName>
    <definedName name="し3_JUMP006">[17]切盛土集計!#REF!</definedName>
    <definedName name="し3_JUMP007">[17]切盛土集計!#REF!</definedName>
    <definedName name="し3_JUMPS001">[17]切盛土集計!#REF!</definedName>
    <definedName name="し3_JUMPS002">[17]切盛土集計!#REF!</definedName>
    <definedName name="し3_JUMPS003">[17]切盛土集計!#REF!</definedName>
    <definedName name="し3_JUMPS004">[17]切盛土集計!#REF!</definedName>
    <definedName name="し3_JUMPS005">[17]切盛土集計!#REF!</definedName>
    <definedName name="し3_JUMPS006">[17]切盛土集計!#REF!</definedName>
    <definedName name="し3_JUMPS007">[17]切盛土集計!#REF!</definedName>
    <definedName name="し3_JUMPS008">[17]切盛土集計!#REF!</definedName>
    <definedName name="し3_JUMPS009">[17]切盛土集計!#REF!</definedName>
    <definedName name="し3_JUMPS010">[17]切盛土集計!#REF!</definedName>
    <definedName name="し3_PRINT1">[17]切盛土集計!#REF!</definedName>
    <definedName name="し3_PRINT2">[17]切盛土集計!#REF!</definedName>
    <definedName name="し3_PRINT3">[17]切盛土集計!#REF!</definedName>
    <definedName name="し3_RESET">[17]切盛土集計!#REF!</definedName>
    <definedName name="し3_その他用紙">[17]切盛土集計!#REF!</definedName>
    <definedName name="し3_ﾌﾟﾘｾｯﾄ値">[17]切盛土集計!#REF!</definedName>
    <definedName name="し3_ﾌﾟﾘﾝﾀ機種">[17]切盛土集計!#REF!</definedName>
    <definedName name="し3_ﾌﾟﾘﾝﾀ選択">[17]切盛土集計!#REF!</definedName>
    <definedName name="し3_プレビュー">[17]切盛土集計!#REF!</definedName>
    <definedName name="し3_ページ設定">[17]切盛土集計!#REF!</definedName>
    <definedName name="し3_印刷作業">[17]切盛土集計!#REF!</definedName>
    <definedName name="し3_印刷範囲">[17]切盛土集計!#REF!</definedName>
    <definedName name="し3_印刷様式">[17]切盛土集計!#REF!</definedName>
    <definedName name="し3_確定">[17]切盛土集計!#REF!</definedName>
    <definedName name="し3_割当">[17]切盛土集計!#REF!</definedName>
    <definedName name="し3_実行">[17]切盛土集計!#REF!</definedName>
    <definedName name="し3_範囲選択">[17]切盛土集計!#REF!</definedName>
    <definedName name="し3_余白確定">[17]切盛土集計!#REF!</definedName>
    <definedName name="し3_余白決定">[17]切盛土集計!#REF!</definedName>
    <definedName name="し3_余白詳細">[17]切盛土集計!#REF!</definedName>
    <definedName name="し3_余白登録">[17]切盛土集計!#REF!</definedName>
    <definedName name="し4_CHOICE1">#REF!</definedName>
    <definedName name="し4_CHOICE2">#REF!</definedName>
    <definedName name="し4_CHOICE3">#REF!</definedName>
    <definedName name="し4_HAN_I">#REF!</definedName>
    <definedName name="し4_JUMP001">#REF!</definedName>
    <definedName name="し4_JUMP002">#REF!</definedName>
    <definedName name="し4_JUMP003">#REF!</definedName>
    <definedName name="し4_JUMP004">#REF!</definedName>
    <definedName name="し4_JUMP005">#REF!</definedName>
    <definedName name="し4_JUMP006">#REF!</definedName>
    <definedName name="し4_JUMP007">#REF!</definedName>
    <definedName name="し4_JUMPS001">#REF!</definedName>
    <definedName name="し4_JUMPS002">#REF!</definedName>
    <definedName name="し4_JUMPS003">#REF!</definedName>
    <definedName name="し4_JUMPS004">#REF!</definedName>
    <definedName name="し4_JUMPS005">#REF!</definedName>
    <definedName name="し4_JUMPS006">#REF!</definedName>
    <definedName name="し4_JUMPS007">#REF!</definedName>
    <definedName name="し4_JUMPS008">#REF!</definedName>
    <definedName name="し4_JUMPS009">#REF!</definedName>
    <definedName name="し4_JUMPS010">#REF!</definedName>
    <definedName name="し4_PRINT1">#REF!</definedName>
    <definedName name="し4_PRINT2">#REF!</definedName>
    <definedName name="し4_PRINT3">#REF!</definedName>
    <definedName name="し4_RESET">#REF!</definedName>
    <definedName name="し4_その他用紙">#REF!</definedName>
    <definedName name="し4_ﾌﾟﾘｾｯﾄ値">#REF!</definedName>
    <definedName name="し4_ﾌﾟﾘﾝﾀ機種">#REF!</definedName>
    <definedName name="し4_ﾌﾟﾘﾝﾀ選択">#REF!</definedName>
    <definedName name="し4_プレビュー">#REF!</definedName>
    <definedName name="し4_ページ設定">#REF!</definedName>
    <definedName name="し4_印刷作業">#REF!</definedName>
    <definedName name="し4_印刷範囲">#REF!</definedName>
    <definedName name="し4_印刷様式">#REF!</definedName>
    <definedName name="し4_確定">#REF!</definedName>
    <definedName name="し4_割当">#REF!</definedName>
    <definedName name="し4_実行">#REF!</definedName>
    <definedName name="し4_範囲選択">#REF!</definedName>
    <definedName name="し4_余白確定">#REF!</definedName>
    <definedName name="し4_余白決定">#REF!</definedName>
    <definedName name="し4_余白詳細">#REF!</definedName>
    <definedName name="し4_余白登録">#REF!</definedName>
    <definedName name="し5_CHOICE1">#REF!</definedName>
    <definedName name="し5_CHOICE2">#REF!</definedName>
    <definedName name="し5_CHOICE3">#REF!</definedName>
    <definedName name="し5_HAN_I">#REF!</definedName>
    <definedName name="し5_JUMP001">#REF!</definedName>
    <definedName name="し5_JUMP002">#REF!</definedName>
    <definedName name="し5_JUMP003">#REF!</definedName>
    <definedName name="し5_JUMP004">#REF!</definedName>
    <definedName name="し5_JUMP005">#REF!</definedName>
    <definedName name="し5_JUMP006">#REF!</definedName>
    <definedName name="し5_JUMP007">#REF!</definedName>
    <definedName name="し5_JUMPS001">#REF!</definedName>
    <definedName name="し5_JUMPS002">#REF!</definedName>
    <definedName name="し5_JUMPS003">#REF!</definedName>
    <definedName name="し5_JUMPS004">#REF!</definedName>
    <definedName name="し5_JUMPS005">#REF!</definedName>
    <definedName name="し5_JUMPS006">#REF!</definedName>
    <definedName name="し5_JUMPS007">#REF!</definedName>
    <definedName name="し5_JUMPS008">#REF!</definedName>
    <definedName name="し5_JUMPS009">#REF!</definedName>
    <definedName name="し5_JUMPS010">#REF!</definedName>
    <definedName name="し5_PRINT1">#REF!</definedName>
    <definedName name="し5_PRINT2">#REF!</definedName>
    <definedName name="し5_PRINT3">#REF!</definedName>
    <definedName name="し5_RESET">#REF!</definedName>
    <definedName name="し5_その他用紙">#REF!</definedName>
    <definedName name="し5_ﾌﾟﾘｾｯﾄ値">#REF!</definedName>
    <definedName name="し5_ﾌﾟﾘﾝﾀ機種">#REF!</definedName>
    <definedName name="し5_ﾌﾟﾘﾝﾀ選択">#REF!</definedName>
    <definedName name="し5_プレビュー">#REF!</definedName>
    <definedName name="し5_ページ設定">#REF!</definedName>
    <definedName name="し5_印刷作業">#REF!</definedName>
    <definedName name="し5_印刷範囲">#REF!</definedName>
    <definedName name="し5_印刷様式">#REF!</definedName>
    <definedName name="し5_確定">#REF!</definedName>
    <definedName name="し5_割当">#REF!</definedName>
    <definedName name="し5_実行">#REF!</definedName>
    <definedName name="し5_範囲選択">#REF!</definedName>
    <definedName name="し5_余白確定">#REF!</definedName>
    <definedName name="し5_余白決定">#REF!</definedName>
    <definedName name="し5_余白詳細">#REF!</definedName>
    <definedName name="し5_余白登録">#REF!</definedName>
    <definedName name="ステップ仕上">#REF!</definedName>
    <definedName name="スノーポール箇所">#REF!</definedName>
    <definedName name="トラフ延長">'[18]土積集計 (2)'!$A$1:$W$30</definedName>
    <definedName name="ﾄﾙｼｱﾎﾞﾙﾄ">#REF!</definedName>
    <definedName name="ﾍﾞﾝﾄ基ｺﾝ">#REF!</definedName>
    <definedName name="ﾍﾞﾝﾄ基鉄">#REF!</definedName>
    <definedName name="ﾍﾞﾝﾄ設備">#REF!</definedName>
    <definedName name="ﾒﾆｭｰ">#REF!</definedName>
    <definedName name="ﾔｰﾄﾞﾍﾞﾝﾄ">#REF!</definedName>
    <definedName name="ﾔｰﾄﾞ足場">#REF!</definedName>
    <definedName name="ﾗﾌﾀ単価">#REF!</definedName>
    <definedName name="ﾛｰﾗｰ設備">#REF!</definedName>
    <definedName name="一般塗装">#REF!</definedName>
    <definedName name="雨水桝\\型箇所">#REF!</definedName>
    <definedName name="雨水桝ⅡＡ">'[19]4.路排排水'!$F$36</definedName>
    <definedName name="延長">#REF!</definedName>
    <definedName name="延長１">'[16]U-0-0-Ｂ入力'!$E$16</definedName>
    <definedName name="延長2">#REF!</definedName>
    <definedName name="延長3">[20]延長３!$A$1:$X$79</definedName>
    <definedName name="延長補正">'[21]新規Microsoft Excel ワークシート'!$A$1:$J$36</definedName>
    <definedName name="縁石延長">[22]表紙!$A$1:$J$36</definedName>
    <definedName name="縁石工集計">#REF!</definedName>
    <definedName name="縁石集計">[22]表紙!$A$1:$J$36</definedName>
    <definedName name="横取り">#REF!</definedName>
    <definedName name="横取工">#REF!</definedName>
    <definedName name="横断">[23]B!$A$1:$I$52</definedName>
    <definedName name="横断管箇所調書">#REF!</definedName>
    <definedName name="横断管集計">#REF!</definedName>
    <definedName name="横断管集計２">#REF!</definedName>
    <definedName name="横断函箇所調書">#REF!</definedName>
    <definedName name="横断函集計">#REF!</definedName>
    <definedName name="横断函集計２">#REF!</definedName>
    <definedName name="仮設工">#REF!</definedName>
    <definedName name="架台設備">#REF!</definedName>
    <definedName name="河川土工_1.掘削工">#REF!</definedName>
    <definedName name="河川土工_2.盛土工">#REF!</definedName>
    <definedName name="河川土工_3.盛土補強工">#REF!</definedName>
    <definedName name="河川土工_4.法面整形工">#REF!</definedName>
    <definedName name="河川土工_5.堤防天端工">#REF!</definedName>
    <definedName name="河川土工_6.残土処理工">#REF!</definedName>
    <definedName name="箇所">#REF!</definedName>
    <definedName name="各出張所">[24]基本項目!$K$31:$T$37</definedName>
    <definedName name="拡幅面積">#REF!</definedName>
    <definedName name="軌条桁">#REF!</definedName>
    <definedName name="軌条設備">#REF!</definedName>
    <definedName name="脚ボルト">#REF!</definedName>
    <definedName name="脚ﾎﾞﾙﾄ溶">#REF!</definedName>
    <definedName name="脚架設">#REF!</definedName>
    <definedName name="脚廻足場">#REF!</definedName>
    <definedName name="脚単足場">#REF!</definedName>
    <definedName name="脚溶接">#REF!</definedName>
    <definedName name="脚枠足場">#REF!</definedName>
    <definedName name="吸水切深">#REF!</definedName>
    <definedName name="距離">#REF!</definedName>
    <definedName name="曲線補正">[22]表紙!$A$1:$J$36</definedName>
    <definedName name="沓据付工">#REF!</definedName>
    <definedName name="継手塗装">#REF!</definedName>
    <definedName name="桁架設">#REF!</definedName>
    <definedName name="桁端切断">#REF!</definedName>
    <definedName name="兼用足場">#REF!</definedName>
    <definedName name="見積表紙">#REF!</definedName>
    <definedName name="個々">[25]表紙!$A$1:$J$36</definedName>
    <definedName name="後方桁">#REF!</definedName>
    <definedName name="護床工_2.根固めブロック工">[26]護床工!#REF!</definedName>
    <definedName name="工種ｺｰﾄﾞ範囲">#REF!</definedName>
    <definedName name="構造物撤去工_1.防護柵撤去工">[27]⑪構造物撤去工!#REF!</definedName>
    <definedName name="構造物撤去工_10.道路付属施設撤去工">[27]⑪構造物撤去工!#REF!</definedName>
    <definedName name="構造物撤去工_11.ブロック舗装撤去工">[27]⑪構造物撤去工!#REF!</definedName>
    <definedName name="構造物撤去工_12.縁石撤去工">[27]⑪構造物撤去工!#REF!</definedName>
    <definedName name="構造物撤去工_13.冬期安全施設撤去工">[27]⑪構造物撤去工!#REF!</definedName>
    <definedName name="構造物撤去工_14.骨材再生工">[27]⑪構造物撤去工!#REF!</definedName>
    <definedName name="構造物撤去工_15.運搬処理工">[27]⑪構造物撤去工!#REF!</definedName>
    <definedName name="構造物撤去工_2.標識撤去工">[27]⑪構造物撤去工!#REF!</definedName>
    <definedName name="構造物撤去工_3.道路付属物撤去工">[27]⑪構造物撤去工!#REF!</definedName>
    <definedName name="構造物撤去工_4.作業土工">[27]⑪構造物撤去工!#REF!</definedName>
    <definedName name="構造物撤去工_5.構造物取壊し工">[27]⑪構造物撤去工!#REF!</definedName>
    <definedName name="構造物撤去工_6.プレキャスト擁壁撤去工">[27]⑪構造物撤去工!#REF!</definedName>
    <definedName name="構造物撤去工_7.排水構造物撤去工">[27]⑪構造物撤去工!#REF!</definedName>
    <definedName name="構造物撤去工_8.かご撤去工">[27]⑪構造物撤去工!#REF!</definedName>
    <definedName name="構造物撤去工_9.落石雪害防止撤去工">[27]⑪構造物撤去工!#REF!</definedName>
    <definedName name="降下ｻﾝﾄﾞ">#REF!</definedName>
    <definedName name="降下工">#REF!</definedName>
    <definedName name="合計">#REF!</definedName>
    <definedName name="根巻中詰">#REF!</definedName>
    <definedName name="作工残土">#REF!</definedName>
    <definedName name="作工物残土">[28]側溝工!$K$1:$T$36</definedName>
    <definedName name="作工物残土集計">[29]側溝工!$U$1:$AD$36</definedName>
    <definedName name="施工地域ｺｰﾄﾞ範囲">#REF!</definedName>
    <definedName name="視線誘導標箇所">#REF!</definedName>
    <definedName name="斜率1">'[16]U-0-0-Ｂ入力'!$S$19</definedName>
    <definedName name="遮断式１０ｍ当り">#REF!</definedName>
    <definedName name="遮断式延長">#REF!</definedName>
    <definedName name="遮断式集計">#REF!</definedName>
    <definedName name="取付Ａ">#REF!</definedName>
    <definedName name="取付カ所盛土１">#REF!</definedName>
    <definedName name="取付カ所盛土２">#REF!</definedName>
    <definedName name="取付カ所盛土３">#REF!</definedName>
    <definedName name="取付カ所盛土４">#REF!</definedName>
    <definedName name="取付カ所切土１">#REF!</definedName>
    <definedName name="取付カ所切土２">#REF!</definedName>
    <definedName name="取付カ所切土３">#REF!</definedName>
    <definedName name="取付カ所切土４">#REF!</definedName>
    <definedName name="取付管φ150">'[19]4.路排排水'!$G$36</definedName>
    <definedName name="取付管φ450">'[19]5.集水桝'!$H$65</definedName>
    <definedName name="取付集計１">#REF!</definedName>
    <definedName name="取付集計２">#REF!</definedName>
    <definedName name="取付集計３">#REF!</definedName>
    <definedName name="取付集計表">#REF!</definedName>
    <definedName name="取付道路">[22]表紙!$A$1:$J$36</definedName>
    <definedName name="取付本線控除">#REF!</definedName>
    <definedName name="手延機">#REF!</definedName>
    <definedName name="樹脂ﾓﾙﾀﾙ">#REF!</definedName>
    <definedName name="集計">#REF!</definedName>
    <definedName name="集計表">#REF!</definedName>
    <definedName name="集水桝１カ所当り">#REF!</definedName>
    <definedName name="集水桝６５０箇所">#REF!</definedName>
    <definedName name="集水桝ⅠＡ">'[19]5.集水桝'!$F$65</definedName>
    <definedName name="集水桝Ⅰ型箇所">#REF!</definedName>
    <definedName name="集水桝Ⅱ型箇所">#REF!</definedName>
    <definedName name="集水桝箇所">#REF!</definedName>
    <definedName name="縦断管延長">#REF!</definedName>
    <definedName name="縦断管集計">#REF!</definedName>
    <definedName name="初期基">[0]!初期基</definedName>
    <definedName name="所要日数">#REF!</definedName>
    <definedName name="昇り桟橋">#REF!</definedName>
    <definedName name="新土積精算">[30]表紙!$A$1:$J$36</definedName>
    <definedName name="水深">#REF!</definedName>
    <definedName name="数量">#REF!</definedName>
    <definedName name="数量計算書">#REF!</definedName>
    <definedName name="数量集計">#REF!</definedName>
    <definedName name="盛替設備">#REF!</definedName>
    <definedName name="盛土平面部">#REF!</definedName>
    <definedName name="盛土法面仕上">#REF!</definedName>
    <definedName name="盛土法面部">#REF!</definedName>
    <definedName name="積算書">#REF!</definedName>
    <definedName name="積算表紙">#REF!</definedName>
    <definedName name="切土平面部">#REF!</definedName>
    <definedName name="切土法面仕上">#REF!</definedName>
    <definedName name="切土法面部">#REF!</definedName>
    <definedName name="折点０高">'[16]U-0-0-Ｂ入力'!$E$20</definedName>
    <definedName name="折点終高">'[16]U-0-0-Ｂ入力'!$E$21</definedName>
    <definedName name="川表裏">'[16]U-0-0-Ｂ入力'!$E$7</definedName>
    <definedName name="全長">'[16]U-0-0-Ｂ入力'!$E$17</definedName>
    <definedName name="全幅">'[16]U-0-0-Ｂ入力'!$E$11</definedName>
    <definedName name="送り出し">#REF!</definedName>
    <definedName name="側溝工集計表">#REF!</definedName>
    <definedName name="側壁厚">'[16]U-0-0-Ｂ入力'!$E$10</definedName>
    <definedName name="測点">[31]入力画面!#REF!</definedName>
    <definedName name="台車設備">#REF!</definedName>
    <definedName name="単ｸﾚｰﾝ費">#REF!</definedName>
    <definedName name="単価ｸﾚｰﾝ">#REF!</definedName>
    <definedName name="単価安全">#REF!</definedName>
    <definedName name="単価沓溶">#REF!</definedName>
    <definedName name="単価算出">#REF!</definedName>
    <definedName name="単価表">#REF!</definedName>
    <definedName name="単独足場">#REF!</definedName>
    <definedName name="地組工">#REF!</definedName>
    <definedName name="調書３">#REF!</definedName>
    <definedName name="調書４">#REF!</definedName>
    <definedName name="調書５">#REF!</definedName>
    <definedName name="調書６">#REF!</definedName>
    <definedName name="底版厚">'[16]U-0-0-Ｂ入力'!$E$13</definedName>
    <definedName name="土">'[15]土積集計 (2)'!$A$1:$W$30</definedName>
    <definedName name="土11">'[15]土積集計 (2)'!$A$31:$W$59</definedName>
    <definedName name="土工Ｐ2P">[5]土工Ｐ1P!#REF!</definedName>
    <definedName name="土積計算">#REF!</definedName>
    <definedName name="土積集積">#REF!</definedName>
    <definedName name="土積精算">#REF!</definedName>
    <definedName name="導水縁石延長">#REF!</definedName>
    <definedName name="内幅">'[16]U-0-0-Ｂ入力'!$E$9</definedName>
    <definedName name="内訳_1_25_井桁ブロック基礎_数量表">[32]内訳数量表1!#REF!</definedName>
    <definedName name="内訳_1_26_井桁ブロック_数量表">[32]内訳数量表1!#REF!</definedName>
    <definedName name="内訳_2_1_1__転落_横断_防止柵_数量表">[26]内訳数量表2!#REF!</definedName>
    <definedName name="内訳_2_1_2__転落_横断_防止柵_数量表">[26]内訳数量表2!#REF!</definedName>
    <definedName name="内訳書_0">#REF!</definedName>
    <definedName name="内訳書_1">#REF!</definedName>
    <definedName name="内訳書_2">#REF!</definedName>
    <definedName name="内訳書_3">#REF!</definedName>
    <definedName name="入力">[4]土積集計!#REF!</definedName>
    <definedName name="入力P1">[2]管土積計算!#REF!</definedName>
    <definedName name="入力P2">[2]管土積計算!#REF!</definedName>
    <definedName name="入力P3">[2]管土積計算!#REF!</definedName>
    <definedName name="入力P4">[2]管土積計算!#REF!</definedName>
    <definedName name="入力P5">[2]管土積計算!#REF!</definedName>
    <definedName name="入力表">#REF!</definedName>
    <definedName name="波返し">[28]側溝工!$U$1:$AD$36</definedName>
    <definedName name="発動発電機">#REF!</definedName>
    <definedName name="板張足場">#REF!</definedName>
    <definedName name="板張防護">#REF!</definedName>
    <definedName name="美装化経費範囲">#REF!</definedName>
    <definedName name="表題">#REF!</definedName>
    <definedName name="別紙_6_加重平均N値">#REF!</definedName>
    <definedName name="変化点">#REF!</definedName>
    <definedName name="変化点２">[33]縦断施工高!#REF!</definedName>
    <definedName name="変更数量">#REF!</definedName>
    <definedName name="舗装工基本部">#REF!</definedName>
    <definedName name="舗装工集計">#REF!</definedName>
    <definedName name="舗装工集計計算">#REF!</definedName>
    <definedName name="舗装止縁石延長">#REF!</definedName>
    <definedName name="歩車道縁石延長">#REF!</definedName>
    <definedName name="歩道工１ｍ当り１">#REF!</definedName>
    <definedName name="歩道工１ｍ当り２">#REF!</definedName>
    <definedName name="歩道工１ｍ当り３">#REF!</definedName>
    <definedName name="歩道工１ｍ当り４">#REF!</definedName>
    <definedName name="歩道工延長">#REF!</definedName>
    <definedName name="歩道工基本部１">#REF!</definedName>
    <definedName name="歩道工基本部２">#REF!</definedName>
    <definedName name="歩道工集計１">#REF!</definedName>
    <definedName name="歩道工集計２">#REF!</definedName>
    <definedName name="歩道工面積">#REF!</definedName>
    <definedName name="補正L1">#REF!</definedName>
    <definedName name="補正L2">#REF!</definedName>
    <definedName name="補正L3">#REF!</definedName>
    <definedName name="補正R1">#REF!</definedName>
    <definedName name="補正R2">#REF!</definedName>
    <definedName name="補正R3">#REF!</definedName>
    <definedName name="法">#REF!</definedName>
    <definedName name="法面集計">#REF!</definedName>
    <definedName name="法面縦排水箇所">#REF!</definedName>
    <definedName name="法面縦排水工集計">#REF!</definedName>
    <definedName name="法面縦排水集計">#REF!</definedName>
    <definedName name="法路盤">#REF!</definedName>
    <definedName name="防護柵集計">#REF!</definedName>
    <definedName name="本線3">[28]側溝工!$AE$37:$AK$72</definedName>
    <definedName name="埋戻">#REF!</definedName>
    <definedName name="面積">#REF!</definedName>
    <definedName name="面積Ｒ">#REF!</definedName>
    <definedName name="油圧ｸﾚｰﾝ">#REF!</definedName>
    <definedName name="油圧単価">#REF!</definedName>
    <definedName name="溶接隅肉">#REF!</definedName>
    <definedName name="路肩種">#REF!</definedName>
    <definedName name="路肩別延長Ｌ">#REF!</definedName>
    <definedName name="路肩別延長Ｒ">#REF!</definedName>
    <definedName name="路床排水１０ｍ当り">#REF!</definedName>
    <definedName name="路床排水工延長">#REF!</definedName>
    <definedName name="路床排水工縦横延長">#REF!</definedName>
    <definedName name="路床排水集計">#REF!</definedName>
    <definedName name="路盤工延長">#REF!</definedName>
    <definedName name="路盤工基本部">#REF!</definedName>
    <definedName name="路盤工集計">#REF!</definedName>
    <definedName name="路盤工集計計算">#REF!</definedName>
    <definedName name="労務単価">#REF!</definedName>
    <definedName name="六角ﾎﾞﾙ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1050" i="1" l="1"/>
  <c r="P1050" i="1"/>
  <c r="L1050" i="1"/>
  <c r="K1050" i="1"/>
  <c r="G1050" i="1"/>
  <c r="F1050" i="1"/>
  <c r="U1047" i="1" s="1"/>
  <c r="E1049" i="1"/>
  <c r="C1049" i="1"/>
  <c r="T1048" i="1"/>
  <c r="S1048" i="1"/>
  <c r="R1048" i="1"/>
  <c r="Q1048" i="1"/>
  <c r="P1048" i="1"/>
  <c r="O1048" i="1"/>
  <c r="N1048" i="1"/>
  <c r="M1048" i="1"/>
  <c r="L1048" i="1"/>
  <c r="K1048" i="1"/>
  <c r="I1048" i="1"/>
  <c r="H1048" i="1"/>
  <c r="G1048" i="1"/>
  <c r="J1048" i="1" s="1"/>
  <c r="F1048" i="1"/>
  <c r="Q1046" i="1"/>
  <c r="P1046" i="1"/>
  <c r="L1046" i="1"/>
  <c r="K1046" i="1"/>
  <c r="G1046" i="1"/>
  <c r="F1046" i="1"/>
  <c r="U1043" i="1" s="1"/>
  <c r="E1045" i="1"/>
  <c r="C1045" i="1"/>
  <c r="T1044" i="1"/>
  <c r="S1044" i="1"/>
  <c r="R1044" i="1"/>
  <c r="Q1044" i="1"/>
  <c r="P1044" i="1"/>
  <c r="O1044" i="1"/>
  <c r="N1044" i="1"/>
  <c r="M1044" i="1"/>
  <c r="L1044" i="1"/>
  <c r="K1044" i="1"/>
  <c r="I1044" i="1"/>
  <c r="H1044" i="1"/>
  <c r="G1044" i="1"/>
  <c r="J1044" i="1" s="1"/>
  <c r="F1044" i="1"/>
  <c r="Q1042" i="1"/>
  <c r="P1042" i="1"/>
  <c r="L1042" i="1"/>
  <c r="K1042" i="1"/>
  <c r="G1042" i="1"/>
  <c r="F1042" i="1"/>
  <c r="U1039" i="1" s="1"/>
  <c r="E1041" i="1"/>
  <c r="C1041" i="1"/>
  <c r="T1040" i="1"/>
  <c r="S1040" i="1"/>
  <c r="R1040" i="1"/>
  <c r="Q1040" i="1"/>
  <c r="P1040" i="1"/>
  <c r="N1040" i="1"/>
  <c r="M1040" i="1"/>
  <c r="L1040" i="1"/>
  <c r="O1040" i="1" s="1"/>
  <c r="K1040" i="1"/>
  <c r="I1040" i="1"/>
  <c r="H1040" i="1"/>
  <c r="G1040" i="1"/>
  <c r="J1040" i="1" s="1"/>
  <c r="F1040" i="1"/>
  <c r="Q1038" i="1"/>
  <c r="P1038" i="1"/>
  <c r="L1038" i="1"/>
  <c r="K1038" i="1"/>
  <c r="G1038" i="1"/>
  <c r="F1038" i="1"/>
  <c r="U1035" i="1" s="1"/>
  <c r="E1037" i="1"/>
  <c r="C1037" i="1"/>
  <c r="T1036" i="1"/>
  <c r="S1036" i="1"/>
  <c r="R1036" i="1"/>
  <c r="Q1036" i="1"/>
  <c r="P1036" i="1"/>
  <c r="N1036" i="1"/>
  <c r="M1036" i="1"/>
  <c r="L1036" i="1"/>
  <c r="O1036" i="1" s="1"/>
  <c r="K1036" i="1"/>
  <c r="I1036" i="1"/>
  <c r="H1036" i="1"/>
  <c r="G1036" i="1"/>
  <c r="J1036" i="1" s="1"/>
  <c r="F1036" i="1"/>
  <c r="Q1034" i="1"/>
  <c r="P1034" i="1"/>
  <c r="L1034" i="1"/>
  <c r="K1034" i="1"/>
  <c r="G1034" i="1"/>
  <c r="F1034" i="1"/>
  <c r="U1031" i="1" s="1"/>
  <c r="E1033" i="1"/>
  <c r="C1033" i="1"/>
  <c r="S1032" i="1"/>
  <c r="R1032" i="1"/>
  <c r="Q1032" i="1"/>
  <c r="T1032" i="1" s="1"/>
  <c r="P1032" i="1"/>
  <c r="N1032" i="1"/>
  <c r="M1032" i="1"/>
  <c r="L1032" i="1"/>
  <c r="O1032" i="1" s="1"/>
  <c r="K1032" i="1"/>
  <c r="I1032" i="1"/>
  <c r="H1032" i="1"/>
  <c r="G1032" i="1"/>
  <c r="J1032" i="1" s="1"/>
  <c r="F1032" i="1"/>
  <c r="Q1030" i="1"/>
  <c r="P1030" i="1"/>
  <c r="U1027" i="1" s="1"/>
  <c r="L1030" i="1"/>
  <c r="K1030" i="1"/>
  <c r="G1030" i="1"/>
  <c r="F1030" i="1"/>
  <c r="E1029" i="1"/>
  <c r="C1029" i="1"/>
  <c r="S1028" i="1"/>
  <c r="R1028" i="1"/>
  <c r="Q1028" i="1"/>
  <c r="T1028" i="1" s="1"/>
  <c r="P1028" i="1"/>
  <c r="N1028" i="1"/>
  <c r="M1028" i="1"/>
  <c r="L1028" i="1"/>
  <c r="O1028" i="1" s="1"/>
  <c r="K1028" i="1"/>
  <c r="J1028" i="1"/>
  <c r="I1028" i="1"/>
  <c r="H1028" i="1"/>
  <c r="G1028" i="1"/>
  <c r="F1028" i="1"/>
  <c r="Q1026" i="1"/>
  <c r="P1026" i="1"/>
  <c r="U1023" i="1" s="1"/>
  <c r="L1026" i="1"/>
  <c r="K1026" i="1"/>
  <c r="G1026" i="1"/>
  <c r="F1026" i="1"/>
  <c r="E1025" i="1"/>
  <c r="C1025" i="1"/>
  <c r="S1024" i="1"/>
  <c r="R1024" i="1"/>
  <c r="Q1024" i="1"/>
  <c r="T1024" i="1" s="1"/>
  <c r="P1024" i="1"/>
  <c r="N1024" i="1"/>
  <c r="M1024" i="1"/>
  <c r="L1024" i="1"/>
  <c r="O1024" i="1" s="1"/>
  <c r="K1024" i="1"/>
  <c r="J1024" i="1"/>
  <c r="I1024" i="1"/>
  <c r="H1024" i="1"/>
  <c r="G1024" i="1"/>
  <c r="F1024" i="1"/>
  <c r="Q1022" i="1"/>
  <c r="P1022" i="1"/>
  <c r="L1022" i="1"/>
  <c r="K1022" i="1"/>
  <c r="G1022" i="1"/>
  <c r="F1022" i="1"/>
  <c r="U1019" i="1" s="1"/>
  <c r="E1021" i="1"/>
  <c r="C1021" i="1"/>
  <c r="S1020" i="1"/>
  <c r="R1020" i="1"/>
  <c r="Q1020" i="1"/>
  <c r="T1020" i="1" s="1"/>
  <c r="P1020" i="1"/>
  <c r="O1020" i="1"/>
  <c r="N1020" i="1"/>
  <c r="M1020" i="1"/>
  <c r="L1020" i="1"/>
  <c r="K1020" i="1"/>
  <c r="J1020" i="1"/>
  <c r="I1020" i="1"/>
  <c r="H1020" i="1"/>
  <c r="G1020" i="1"/>
  <c r="F1020" i="1"/>
  <c r="Q1018" i="1"/>
  <c r="P1018" i="1"/>
  <c r="L1018" i="1"/>
  <c r="K1018" i="1"/>
  <c r="G1018" i="1"/>
  <c r="F1018" i="1"/>
  <c r="U1015" i="1" s="1"/>
  <c r="E1017" i="1"/>
  <c r="C1017" i="1"/>
  <c r="T1016" i="1"/>
  <c r="S1016" i="1"/>
  <c r="R1016" i="1"/>
  <c r="Q1016" i="1"/>
  <c r="P1016" i="1"/>
  <c r="N1016" i="1"/>
  <c r="M1016" i="1"/>
  <c r="L1016" i="1"/>
  <c r="O1016" i="1" s="1"/>
  <c r="K1016" i="1"/>
  <c r="J1016" i="1"/>
  <c r="I1016" i="1"/>
  <c r="H1016" i="1"/>
  <c r="G1016" i="1"/>
  <c r="F1016" i="1"/>
  <c r="Q1014" i="1"/>
  <c r="P1014" i="1"/>
  <c r="L1014" i="1"/>
  <c r="K1014" i="1"/>
  <c r="G1014" i="1"/>
  <c r="F1014" i="1"/>
  <c r="U1011" i="1" s="1"/>
  <c r="E1013" i="1"/>
  <c r="C1013" i="1"/>
  <c r="S1012" i="1"/>
  <c r="R1012" i="1"/>
  <c r="Q1012" i="1"/>
  <c r="T1012" i="1" s="1"/>
  <c r="P1012" i="1"/>
  <c r="N1012" i="1"/>
  <c r="M1012" i="1"/>
  <c r="L1012" i="1"/>
  <c r="O1012" i="1" s="1"/>
  <c r="K1012" i="1"/>
  <c r="J1012" i="1"/>
  <c r="I1012" i="1"/>
  <c r="H1012" i="1"/>
  <c r="G1012" i="1"/>
  <c r="F1012" i="1"/>
  <c r="Q1010" i="1"/>
  <c r="P1010" i="1"/>
  <c r="L1010" i="1"/>
  <c r="K1010" i="1"/>
  <c r="G1010" i="1"/>
  <c r="F1010" i="1"/>
  <c r="U1007" i="1" s="1"/>
  <c r="E1009" i="1"/>
  <c r="C1009" i="1"/>
  <c r="S1008" i="1"/>
  <c r="R1008" i="1"/>
  <c r="Q1008" i="1"/>
  <c r="T1008" i="1" s="1"/>
  <c r="P1008" i="1"/>
  <c r="O1008" i="1"/>
  <c r="N1008" i="1"/>
  <c r="M1008" i="1"/>
  <c r="L1008" i="1"/>
  <c r="K1008" i="1"/>
  <c r="I1008" i="1"/>
  <c r="H1008" i="1"/>
  <c r="G1008" i="1"/>
  <c r="J1008" i="1" s="1"/>
  <c r="F1008" i="1"/>
  <c r="Q1006" i="1"/>
  <c r="P1006" i="1"/>
  <c r="L1006" i="1"/>
  <c r="K1006" i="1"/>
  <c r="G1006" i="1"/>
  <c r="F1006" i="1"/>
  <c r="U1003" i="1" s="1"/>
  <c r="E1005" i="1"/>
  <c r="C1005" i="1"/>
  <c r="S1004" i="1"/>
  <c r="R1004" i="1"/>
  <c r="Q1004" i="1"/>
  <c r="T1004" i="1" s="1"/>
  <c r="P1004" i="1"/>
  <c r="O1004" i="1"/>
  <c r="N1004" i="1"/>
  <c r="M1004" i="1"/>
  <c r="L1004" i="1"/>
  <c r="K1004" i="1"/>
  <c r="I1004" i="1"/>
  <c r="H1004" i="1"/>
  <c r="G1004" i="1"/>
  <c r="J1004" i="1" s="1"/>
  <c r="F1004" i="1"/>
  <c r="Q1002" i="1"/>
  <c r="P1002" i="1"/>
  <c r="L1002" i="1"/>
  <c r="K1002" i="1"/>
  <c r="G1002" i="1"/>
  <c r="F1002" i="1"/>
  <c r="U999" i="1" s="1"/>
  <c r="E1001" i="1"/>
  <c r="C1001" i="1"/>
  <c r="S1000" i="1"/>
  <c r="R1000" i="1"/>
  <c r="Q1000" i="1"/>
  <c r="T1000" i="1" s="1"/>
  <c r="P1000" i="1"/>
  <c r="O1000" i="1"/>
  <c r="N1000" i="1"/>
  <c r="M1000" i="1"/>
  <c r="L1000" i="1"/>
  <c r="K1000" i="1"/>
  <c r="I1000" i="1"/>
  <c r="H1000" i="1"/>
  <c r="G1000" i="1"/>
  <c r="J1000" i="1" s="1"/>
  <c r="F1000" i="1"/>
  <c r="Q998" i="1"/>
  <c r="P998" i="1"/>
  <c r="L998" i="1"/>
  <c r="K998" i="1"/>
  <c r="G998" i="1"/>
  <c r="F998" i="1"/>
  <c r="U995" i="1" s="1"/>
  <c r="E997" i="1"/>
  <c r="C997" i="1"/>
  <c r="T996" i="1"/>
  <c r="S996" i="1"/>
  <c r="R996" i="1"/>
  <c r="Q996" i="1"/>
  <c r="P996" i="1"/>
  <c r="N996" i="1"/>
  <c r="M996" i="1"/>
  <c r="L996" i="1"/>
  <c r="O996" i="1" s="1"/>
  <c r="K996" i="1"/>
  <c r="I996" i="1"/>
  <c r="H996" i="1"/>
  <c r="G996" i="1"/>
  <c r="J996" i="1" s="1"/>
  <c r="F996" i="1"/>
  <c r="Q994" i="1"/>
  <c r="P994" i="1"/>
  <c r="L994" i="1"/>
  <c r="K994" i="1"/>
  <c r="G994" i="1"/>
  <c r="F994" i="1"/>
  <c r="U991" i="1" s="1"/>
  <c r="E993" i="1"/>
  <c r="C993" i="1"/>
  <c r="T992" i="1"/>
  <c r="S992" i="1"/>
  <c r="R992" i="1"/>
  <c r="Q992" i="1"/>
  <c r="P992" i="1"/>
  <c r="N992" i="1"/>
  <c r="M992" i="1"/>
  <c r="L992" i="1"/>
  <c r="O992" i="1" s="1"/>
  <c r="K992" i="1"/>
  <c r="I992" i="1"/>
  <c r="H992" i="1"/>
  <c r="G992" i="1"/>
  <c r="J992" i="1" s="1"/>
  <c r="F992" i="1"/>
  <c r="Q990" i="1"/>
  <c r="P990" i="1"/>
  <c r="L990" i="1"/>
  <c r="K990" i="1"/>
  <c r="G990" i="1"/>
  <c r="F990" i="1"/>
  <c r="U987" i="1" s="1"/>
  <c r="E989" i="1"/>
  <c r="C989" i="1"/>
  <c r="S988" i="1"/>
  <c r="R988" i="1"/>
  <c r="Q988" i="1"/>
  <c r="T988" i="1" s="1"/>
  <c r="P988" i="1"/>
  <c r="N988" i="1"/>
  <c r="M988" i="1"/>
  <c r="L988" i="1"/>
  <c r="O988" i="1" s="1"/>
  <c r="K988" i="1"/>
  <c r="I988" i="1"/>
  <c r="H988" i="1"/>
  <c r="G988" i="1"/>
  <c r="J988" i="1" s="1"/>
  <c r="F988" i="1"/>
  <c r="Q986" i="1"/>
  <c r="P986" i="1"/>
  <c r="U983" i="1" s="1"/>
  <c r="L986" i="1"/>
  <c r="K986" i="1"/>
  <c r="G986" i="1"/>
  <c r="F986" i="1"/>
  <c r="E985" i="1"/>
  <c r="C985" i="1"/>
  <c r="S984" i="1"/>
  <c r="R984" i="1"/>
  <c r="Q984" i="1"/>
  <c r="T984" i="1" s="1"/>
  <c r="P984" i="1"/>
  <c r="O984" i="1"/>
  <c r="N984" i="1"/>
  <c r="M984" i="1"/>
  <c r="L984" i="1"/>
  <c r="K984" i="1"/>
  <c r="J984" i="1"/>
  <c r="I984" i="1"/>
  <c r="H984" i="1"/>
  <c r="G984" i="1"/>
  <c r="F984" i="1"/>
  <c r="Q982" i="1"/>
  <c r="P982" i="1"/>
  <c r="U979" i="1" s="1"/>
  <c r="L982" i="1"/>
  <c r="K982" i="1"/>
  <c r="G982" i="1"/>
  <c r="F982" i="1"/>
  <c r="E981" i="1"/>
  <c r="C981" i="1"/>
  <c r="S980" i="1"/>
  <c r="R980" i="1"/>
  <c r="Q980" i="1"/>
  <c r="T980" i="1" s="1"/>
  <c r="P980" i="1"/>
  <c r="N980" i="1"/>
  <c r="M980" i="1"/>
  <c r="L980" i="1"/>
  <c r="O980" i="1" s="1"/>
  <c r="K980" i="1"/>
  <c r="J980" i="1"/>
  <c r="I980" i="1"/>
  <c r="H980" i="1"/>
  <c r="G980" i="1"/>
  <c r="F980" i="1"/>
  <c r="Q978" i="1"/>
  <c r="P978" i="1"/>
  <c r="L978" i="1"/>
  <c r="K978" i="1"/>
  <c r="G978" i="1"/>
  <c r="F978" i="1"/>
  <c r="U975" i="1" s="1"/>
  <c r="E977" i="1"/>
  <c r="C977" i="1"/>
  <c r="T976" i="1"/>
  <c r="S976" i="1"/>
  <c r="R976" i="1"/>
  <c r="Q976" i="1"/>
  <c r="P976" i="1"/>
  <c r="O976" i="1"/>
  <c r="N976" i="1"/>
  <c r="M976" i="1"/>
  <c r="L976" i="1"/>
  <c r="K976" i="1"/>
  <c r="I976" i="1"/>
  <c r="H976" i="1"/>
  <c r="G976" i="1"/>
  <c r="J976" i="1" s="1"/>
  <c r="F976" i="1"/>
  <c r="Q974" i="1"/>
  <c r="P974" i="1"/>
  <c r="L974" i="1"/>
  <c r="K974" i="1"/>
  <c r="G974" i="1"/>
  <c r="F974" i="1"/>
  <c r="U971" i="1" s="1"/>
  <c r="E973" i="1"/>
  <c r="C973" i="1"/>
  <c r="S972" i="1"/>
  <c r="R972" i="1"/>
  <c r="Q972" i="1"/>
  <c r="T972" i="1" s="1"/>
  <c r="P972" i="1"/>
  <c r="N972" i="1"/>
  <c r="M972" i="1"/>
  <c r="L972" i="1"/>
  <c r="O972" i="1" s="1"/>
  <c r="K972" i="1"/>
  <c r="J972" i="1"/>
  <c r="I972" i="1"/>
  <c r="H972" i="1"/>
  <c r="G972" i="1"/>
  <c r="F972" i="1"/>
  <c r="Q970" i="1"/>
  <c r="P970" i="1"/>
  <c r="L970" i="1"/>
  <c r="K970" i="1"/>
  <c r="G970" i="1"/>
  <c r="F970" i="1"/>
  <c r="U967" i="1" s="1"/>
  <c r="E969" i="1"/>
  <c r="C969" i="1"/>
  <c r="S968" i="1"/>
  <c r="R968" i="1"/>
  <c r="Q968" i="1"/>
  <c r="T968" i="1" s="1"/>
  <c r="P968" i="1"/>
  <c r="N968" i="1"/>
  <c r="M968" i="1"/>
  <c r="L968" i="1"/>
  <c r="O968" i="1" s="1"/>
  <c r="K968" i="1"/>
  <c r="J968" i="1"/>
  <c r="I968" i="1"/>
  <c r="H968" i="1"/>
  <c r="G968" i="1"/>
  <c r="F968" i="1"/>
  <c r="Q966" i="1"/>
  <c r="P966" i="1"/>
  <c r="L966" i="1"/>
  <c r="K966" i="1"/>
  <c r="G966" i="1"/>
  <c r="F966" i="1"/>
  <c r="U963" i="1" s="1"/>
  <c r="E965" i="1"/>
  <c r="C965" i="1"/>
  <c r="T964" i="1"/>
  <c r="S964" i="1"/>
  <c r="R964" i="1"/>
  <c r="Q964" i="1"/>
  <c r="P964" i="1"/>
  <c r="O964" i="1"/>
  <c r="N964" i="1"/>
  <c r="M964" i="1"/>
  <c r="L964" i="1"/>
  <c r="K964" i="1"/>
  <c r="I964" i="1"/>
  <c r="H964" i="1"/>
  <c r="G964" i="1"/>
  <c r="J964" i="1" s="1"/>
  <c r="F964" i="1"/>
  <c r="Q962" i="1"/>
  <c r="P962" i="1"/>
  <c r="L962" i="1"/>
  <c r="K962" i="1"/>
  <c r="G962" i="1"/>
  <c r="F962" i="1"/>
  <c r="U959" i="1" s="1"/>
  <c r="E961" i="1"/>
  <c r="C961" i="1"/>
  <c r="T960" i="1"/>
  <c r="S960" i="1"/>
  <c r="R960" i="1"/>
  <c r="Q960" i="1"/>
  <c r="P960" i="1"/>
  <c r="O960" i="1"/>
  <c r="N960" i="1"/>
  <c r="M960" i="1"/>
  <c r="L960" i="1"/>
  <c r="K960" i="1"/>
  <c r="I960" i="1"/>
  <c r="H960" i="1"/>
  <c r="G960" i="1"/>
  <c r="J960" i="1" s="1"/>
  <c r="F960" i="1"/>
  <c r="Q958" i="1"/>
  <c r="P958" i="1"/>
  <c r="L958" i="1"/>
  <c r="K958" i="1"/>
  <c r="G958" i="1"/>
  <c r="F958" i="1"/>
  <c r="U955" i="1" s="1"/>
  <c r="E957" i="1"/>
  <c r="C957" i="1"/>
  <c r="T956" i="1"/>
  <c r="S956" i="1"/>
  <c r="R956" i="1"/>
  <c r="Q956" i="1"/>
  <c r="P956" i="1"/>
  <c r="O956" i="1"/>
  <c r="N956" i="1"/>
  <c r="M956" i="1"/>
  <c r="L956" i="1"/>
  <c r="K956" i="1"/>
  <c r="I956" i="1"/>
  <c r="H956" i="1"/>
  <c r="G956" i="1"/>
  <c r="J956" i="1" s="1"/>
  <c r="F956" i="1"/>
  <c r="Q954" i="1"/>
  <c r="P954" i="1"/>
  <c r="L954" i="1"/>
  <c r="K954" i="1"/>
  <c r="G954" i="1"/>
  <c r="F954" i="1"/>
  <c r="U951" i="1" s="1"/>
  <c r="E953" i="1"/>
  <c r="C953" i="1"/>
  <c r="T952" i="1"/>
  <c r="S952" i="1"/>
  <c r="R952" i="1"/>
  <c r="Q952" i="1"/>
  <c r="P952" i="1"/>
  <c r="N952" i="1"/>
  <c r="M952" i="1"/>
  <c r="L952" i="1"/>
  <c r="O952" i="1" s="1"/>
  <c r="K952" i="1"/>
  <c r="I952" i="1"/>
  <c r="H952" i="1"/>
  <c r="G952" i="1"/>
  <c r="J952" i="1" s="1"/>
  <c r="F952" i="1"/>
  <c r="Q950" i="1"/>
  <c r="P950" i="1"/>
  <c r="L950" i="1"/>
  <c r="K950" i="1"/>
  <c r="G950" i="1"/>
  <c r="F950" i="1"/>
  <c r="U947" i="1" s="1"/>
  <c r="E949" i="1"/>
  <c r="C949" i="1"/>
  <c r="T948" i="1"/>
  <c r="S948" i="1"/>
  <c r="R948" i="1"/>
  <c r="Q948" i="1"/>
  <c r="P948" i="1"/>
  <c r="N948" i="1"/>
  <c r="M948" i="1"/>
  <c r="L948" i="1"/>
  <c r="O948" i="1" s="1"/>
  <c r="K948" i="1"/>
  <c r="I948" i="1"/>
  <c r="H948" i="1"/>
  <c r="G948" i="1"/>
  <c r="J948" i="1" s="1"/>
  <c r="F948" i="1"/>
  <c r="Q946" i="1"/>
  <c r="P946" i="1"/>
  <c r="L946" i="1"/>
  <c r="K946" i="1"/>
  <c r="G946" i="1"/>
  <c r="F946" i="1"/>
  <c r="U943" i="1" s="1"/>
  <c r="E945" i="1"/>
  <c r="C945" i="1"/>
  <c r="S944" i="1"/>
  <c r="R944" i="1"/>
  <c r="Q944" i="1"/>
  <c r="T944" i="1" s="1"/>
  <c r="P944" i="1"/>
  <c r="N944" i="1"/>
  <c r="M944" i="1"/>
  <c r="L944" i="1"/>
  <c r="O944" i="1" s="1"/>
  <c r="K944" i="1"/>
  <c r="I944" i="1"/>
  <c r="H944" i="1"/>
  <c r="G944" i="1"/>
  <c r="J944" i="1" s="1"/>
  <c r="F944" i="1"/>
  <c r="Q942" i="1"/>
  <c r="P942" i="1"/>
  <c r="L942" i="1"/>
  <c r="K942" i="1"/>
  <c r="G942" i="1"/>
  <c r="F942" i="1"/>
  <c r="E941" i="1"/>
  <c r="C941" i="1"/>
  <c r="S940" i="1"/>
  <c r="R940" i="1"/>
  <c r="Q940" i="1"/>
  <c r="T940" i="1" s="1"/>
  <c r="P940" i="1"/>
  <c r="N940" i="1"/>
  <c r="M940" i="1"/>
  <c r="L940" i="1"/>
  <c r="O940" i="1" s="1"/>
  <c r="K940" i="1"/>
  <c r="J940" i="1"/>
  <c r="I940" i="1"/>
  <c r="H940" i="1"/>
  <c r="G940" i="1"/>
  <c r="F940" i="1"/>
  <c r="U939" i="1"/>
  <c r="Q938" i="1"/>
  <c r="P938" i="1"/>
  <c r="U935" i="1" s="1"/>
  <c r="L938" i="1"/>
  <c r="K938" i="1"/>
  <c r="G938" i="1"/>
  <c r="F938" i="1"/>
  <c r="E937" i="1"/>
  <c r="C937" i="1"/>
  <c r="S936" i="1"/>
  <c r="R936" i="1"/>
  <c r="Q936" i="1"/>
  <c r="T936" i="1" s="1"/>
  <c r="P936" i="1"/>
  <c r="N936" i="1"/>
  <c r="M936" i="1"/>
  <c r="L936" i="1"/>
  <c r="O936" i="1" s="1"/>
  <c r="K936" i="1"/>
  <c r="J936" i="1"/>
  <c r="I936" i="1"/>
  <c r="H936" i="1"/>
  <c r="G936" i="1"/>
  <c r="F936" i="1"/>
  <c r="Q934" i="1"/>
  <c r="P934" i="1"/>
  <c r="L934" i="1"/>
  <c r="K934" i="1"/>
  <c r="G934" i="1"/>
  <c r="F934" i="1"/>
  <c r="U931" i="1" s="1"/>
  <c r="E933" i="1"/>
  <c r="C933" i="1"/>
  <c r="S932" i="1"/>
  <c r="R932" i="1"/>
  <c r="Q932" i="1"/>
  <c r="T932" i="1" s="1"/>
  <c r="P932" i="1"/>
  <c r="N932" i="1"/>
  <c r="M932" i="1"/>
  <c r="L932" i="1"/>
  <c r="O932" i="1" s="1"/>
  <c r="K932" i="1"/>
  <c r="J932" i="1"/>
  <c r="I932" i="1"/>
  <c r="H932" i="1"/>
  <c r="G932" i="1"/>
  <c r="F932" i="1"/>
  <c r="Q930" i="1"/>
  <c r="P930" i="1"/>
  <c r="L930" i="1"/>
  <c r="K930" i="1"/>
  <c r="G930" i="1"/>
  <c r="F930" i="1"/>
  <c r="U927" i="1" s="1"/>
  <c r="E929" i="1"/>
  <c r="C929" i="1"/>
  <c r="S928" i="1"/>
  <c r="R928" i="1"/>
  <c r="Q928" i="1"/>
  <c r="T928" i="1" s="1"/>
  <c r="P928" i="1"/>
  <c r="N928" i="1"/>
  <c r="M928" i="1"/>
  <c r="L928" i="1"/>
  <c r="O928" i="1" s="1"/>
  <c r="K928" i="1"/>
  <c r="J928" i="1"/>
  <c r="I928" i="1"/>
  <c r="H928" i="1"/>
  <c r="G928" i="1"/>
  <c r="F928" i="1"/>
  <c r="Q926" i="1"/>
  <c r="P926" i="1"/>
  <c r="L926" i="1"/>
  <c r="K926" i="1"/>
  <c r="G926" i="1"/>
  <c r="F926" i="1"/>
  <c r="U923" i="1" s="1"/>
  <c r="E925" i="1"/>
  <c r="C925" i="1"/>
  <c r="S924" i="1"/>
  <c r="R924" i="1"/>
  <c r="Q924" i="1"/>
  <c r="T924" i="1" s="1"/>
  <c r="P924" i="1"/>
  <c r="N924" i="1"/>
  <c r="M924" i="1"/>
  <c r="L924" i="1"/>
  <c r="O924" i="1" s="1"/>
  <c r="K924" i="1"/>
  <c r="J924" i="1"/>
  <c r="I924" i="1"/>
  <c r="H924" i="1"/>
  <c r="G924" i="1"/>
  <c r="F924" i="1"/>
  <c r="Q922" i="1"/>
  <c r="P922" i="1"/>
  <c r="L922" i="1"/>
  <c r="K922" i="1"/>
  <c r="G922" i="1"/>
  <c r="F922" i="1"/>
  <c r="U919" i="1" s="1"/>
  <c r="E921" i="1"/>
  <c r="C921" i="1"/>
  <c r="T920" i="1"/>
  <c r="S920" i="1"/>
  <c r="R920" i="1"/>
  <c r="Q920" i="1"/>
  <c r="P920" i="1"/>
  <c r="O920" i="1"/>
  <c r="N920" i="1"/>
  <c r="M920" i="1"/>
  <c r="L920" i="1"/>
  <c r="K920" i="1"/>
  <c r="I920" i="1"/>
  <c r="H920" i="1"/>
  <c r="G920" i="1"/>
  <c r="J920" i="1" s="1"/>
  <c r="F920" i="1"/>
  <c r="Q918" i="1"/>
  <c r="P918" i="1"/>
  <c r="L918" i="1"/>
  <c r="K918" i="1"/>
  <c r="G918" i="1"/>
  <c r="F918" i="1"/>
  <c r="U915" i="1" s="1"/>
  <c r="E917" i="1"/>
  <c r="C917" i="1"/>
  <c r="T916" i="1"/>
  <c r="S916" i="1"/>
  <c r="R916" i="1"/>
  <c r="Q916" i="1"/>
  <c r="P916" i="1"/>
  <c r="O916" i="1"/>
  <c r="N916" i="1"/>
  <c r="M916" i="1"/>
  <c r="L916" i="1"/>
  <c r="K916" i="1"/>
  <c r="I916" i="1"/>
  <c r="H916" i="1"/>
  <c r="G916" i="1"/>
  <c r="J916" i="1" s="1"/>
  <c r="F916" i="1"/>
  <c r="Q914" i="1"/>
  <c r="P914" i="1"/>
  <c r="U911" i="1" s="1"/>
  <c r="L914" i="1"/>
  <c r="K914" i="1"/>
  <c r="G914" i="1"/>
  <c r="F914" i="1"/>
  <c r="E913" i="1"/>
  <c r="C913" i="1"/>
  <c r="S912" i="1"/>
  <c r="R912" i="1"/>
  <c r="Q912" i="1"/>
  <c r="T912" i="1" s="1"/>
  <c r="P912" i="1"/>
  <c r="O912" i="1"/>
  <c r="N912" i="1"/>
  <c r="M912" i="1"/>
  <c r="L912" i="1"/>
  <c r="K912" i="1"/>
  <c r="I912" i="1"/>
  <c r="H912" i="1"/>
  <c r="G912" i="1"/>
  <c r="J912" i="1" s="1"/>
  <c r="F912" i="1"/>
  <c r="Q910" i="1"/>
  <c r="P910" i="1"/>
  <c r="U907" i="1" s="1"/>
  <c r="L910" i="1"/>
  <c r="K910" i="1"/>
  <c r="G910" i="1"/>
  <c r="F910" i="1"/>
  <c r="E909" i="1"/>
  <c r="C909" i="1"/>
  <c r="T908" i="1"/>
  <c r="S908" i="1"/>
  <c r="R908" i="1"/>
  <c r="Q908" i="1"/>
  <c r="P908" i="1"/>
  <c r="N908" i="1"/>
  <c r="M908" i="1"/>
  <c r="L908" i="1"/>
  <c r="O908" i="1" s="1"/>
  <c r="K908" i="1"/>
  <c r="I908" i="1"/>
  <c r="H908" i="1"/>
  <c r="G908" i="1"/>
  <c r="J908" i="1" s="1"/>
  <c r="F908" i="1"/>
  <c r="Q906" i="1"/>
  <c r="P906" i="1"/>
  <c r="U903" i="1" s="1"/>
  <c r="L906" i="1"/>
  <c r="K906" i="1"/>
  <c r="G906" i="1"/>
  <c r="F906" i="1"/>
  <c r="E905" i="1"/>
  <c r="C905" i="1"/>
  <c r="T904" i="1"/>
  <c r="S904" i="1"/>
  <c r="R904" i="1"/>
  <c r="Q904" i="1"/>
  <c r="P904" i="1"/>
  <c r="N904" i="1"/>
  <c r="M904" i="1"/>
  <c r="L904" i="1"/>
  <c r="O904" i="1" s="1"/>
  <c r="K904" i="1"/>
  <c r="I904" i="1"/>
  <c r="H904" i="1"/>
  <c r="G904" i="1"/>
  <c r="J904" i="1" s="1"/>
  <c r="F904" i="1"/>
  <c r="Q902" i="1"/>
  <c r="P902" i="1"/>
  <c r="U899" i="1" s="1"/>
  <c r="L902" i="1"/>
  <c r="K902" i="1"/>
  <c r="G902" i="1"/>
  <c r="F902" i="1"/>
  <c r="E901" i="1"/>
  <c r="C901" i="1"/>
  <c r="S900" i="1"/>
  <c r="R900" i="1"/>
  <c r="Q900" i="1"/>
  <c r="T900" i="1" s="1"/>
  <c r="P900" i="1"/>
  <c r="N900" i="1"/>
  <c r="M900" i="1"/>
  <c r="L900" i="1"/>
  <c r="O900" i="1" s="1"/>
  <c r="K900" i="1"/>
  <c r="I900" i="1"/>
  <c r="H900" i="1"/>
  <c r="G900" i="1"/>
  <c r="J900" i="1" s="1"/>
  <c r="F900" i="1"/>
  <c r="Q898" i="1"/>
  <c r="P898" i="1"/>
  <c r="U895" i="1" s="1"/>
  <c r="L898" i="1"/>
  <c r="K898" i="1"/>
  <c r="G898" i="1"/>
  <c r="F898" i="1"/>
  <c r="E897" i="1"/>
  <c r="C897" i="1"/>
  <c r="S896" i="1"/>
  <c r="R896" i="1"/>
  <c r="Q896" i="1"/>
  <c r="T896" i="1" s="1"/>
  <c r="P896" i="1"/>
  <c r="O896" i="1"/>
  <c r="N896" i="1"/>
  <c r="M896" i="1"/>
  <c r="L896" i="1"/>
  <c r="K896" i="1"/>
  <c r="I896" i="1"/>
  <c r="H896" i="1"/>
  <c r="G896" i="1"/>
  <c r="J896" i="1" s="1"/>
  <c r="F896" i="1"/>
  <c r="Q894" i="1"/>
  <c r="P894" i="1"/>
  <c r="U891" i="1" s="1"/>
  <c r="L894" i="1"/>
  <c r="K894" i="1"/>
  <c r="G894" i="1"/>
  <c r="F894" i="1"/>
  <c r="E893" i="1"/>
  <c r="C893" i="1"/>
  <c r="S892" i="1"/>
  <c r="R892" i="1"/>
  <c r="Q892" i="1"/>
  <c r="T892" i="1" s="1"/>
  <c r="P892" i="1"/>
  <c r="N892" i="1"/>
  <c r="M892" i="1"/>
  <c r="L892" i="1"/>
  <c r="O892" i="1" s="1"/>
  <c r="K892" i="1"/>
  <c r="J892" i="1"/>
  <c r="I892" i="1"/>
  <c r="H892" i="1"/>
  <c r="G892" i="1"/>
  <c r="F892" i="1"/>
  <c r="Q890" i="1"/>
  <c r="P890" i="1"/>
  <c r="L890" i="1"/>
  <c r="K890" i="1"/>
  <c r="G890" i="1"/>
  <c r="F890" i="1"/>
  <c r="U887" i="1" s="1"/>
  <c r="E889" i="1"/>
  <c r="C889" i="1"/>
  <c r="S888" i="1"/>
  <c r="R888" i="1"/>
  <c r="Q888" i="1"/>
  <c r="T888" i="1" s="1"/>
  <c r="P888" i="1"/>
  <c r="O888" i="1"/>
  <c r="N888" i="1"/>
  <c r="M888" i="1"/>
  <c r="L888" i="1"/>
  <c r="K888" i="1"/>
  <c r="I888" i="1"/>
  <c r="H888" i="1"/>
  <c r="G888" i="1"/>
  <c r="J888" i="1" s="1"/>
  <c r="F888" i="1"/>
  <c r="Q886" i="1"/>
  <c r="P886" i="1"/>
  <c r="L886" i="1"/>
  <c r="K886" i="1"/>
  <c r="G886" i="1"/>
  <c r="F886" i="1"/>
  <c r="U883" i="1" s="1"/>
  <c r="E885" i="1"/>
  <c r="C885" i="1"/>
  <c r="S884" i="1"/>
  <c r="R884" i="1"/>
  <c r="Q884" i="1"/>
  <c r="T884" i="1" s="1"/>
  <c r="P884" i="1"/>
  <c r="N884" i="1"/>
  <c r="M884" i="1"/>
  <c r="L884" i="1"/>
  <c r="O884" i="1" s="1"/>
  <c r="K884" i="1"/>
  <c r="J884" i="1"/>
  <c r="I884" i="1"/>
  <c r="H884" i="1"/>
  <c r="G884" i="1"/>
  <c r="F884" i="1"/>
  <c r="Q882" i="1"/>
  <c r="P882" i="1"/>
  <c r="L882" i="1"/>
  <c r="K882" i="1"/>
  <c r="G882" i="1"/>
  <c r="F882" i="1"/>
  <c r="U879" i="1" s="1"/>
  <c r="E881" i="1"/>
  <c r="C881" i="1"/>
  <c r="S880" i="1"/>
  <c r="R880" i="1"/>
  <c r="Q880" i="1"/>
  <c r="T880" i="1" s="1"/>
  <c r="P880" i="1"/>
  <c r="N880" i="1"/>
  <c r="M880" i="1"/>
  <c r="L880" i="1"/>
  <c r="O880" i="1" s="1"/>
  <c r="K880" i="1"/>
  <c r="J880" i="1"/>
  <c r="I880" i="1"/>
  <c r="H880" i="1"/>
  <c r="G880" i="1"/>
  <c r="F880" i="1"/>
  <c r="Q878" i="1"/>
  <c r="P878" i="1"/>
  <c r="L878" i="1"/>
  <c r="K878" i="1"/>
  <c r="G878" i="1"/>
  <c r="F878" i="1"/>
  <c r="U875" i="1" s="1"/>
  <c r="E877" i="1"/>
  <c r="C877" i="1"/>
  <c r="T876" i="1"/>
  <c r="S876" i="1"/>
  <c r="R876" i="1"/>
  <c r="Q876" i="1"/>
  <c r="P876" i="1"/>
  <c r="O876" i="1"/>
  <c r="N876" i="1"/>
  <c r="M876" i="1"/>
  <c r="L876" i="1"/>
  <c r="K876" i="1"/>
  <c r="I876" i="1"/>
  <c r="H876" i="1"/>
  <c r="G876" i="1"/>
  <c r="J876" i="1" s="1"/>
  <c r="F876" i="1"/>
  <c r="Q874" i="1"/>
  <c r="P874" i="1"/>
  <c r="L874" i="1"/>
  <c r="K874" i="1"/>
  <c r="G874" i="1"/>
  <c r="F874" i="1"/>
  <c r="U871" i="1" s="1"/>
  <c r="E873" i="1"/>
  <c r="C873" i="1"/>
  <c r="T872" i="1"/>
  <c r="S872" i="1"/>
  <c r="R872" i="1"/>
  <c r="Q872" i="1"/>
  <c r="P872" i="1"/>
  <c r="O872" i="1"/>
  <c r="N872" i="1"/>
  <c r="M872" i="1"/>
  <c r="L872" i="1"/>
  <c r="K872" i="1"/>
  <c r="I872" i="1"/>
  <c r="H872" i="1"/>
  <c r="G872" i="1"/>
  <c r="J872" i="1" s="1"/>
  <c r="F872" i="1"/>
  <c r="Q870" i="1"/>
  <c r="P870" i="1"/>
  <c r="L870" i="1"/>
  <c r="K870" i="1"/>
  <c r="G870" i="1"/>
  <c r="F870" i="1"/>
  <c r="U867" i="1" s="1"/>
  <c r="E869" i="1"/>
  <c r="C869" i="1"/>
  <c r="S868" i="1"/>
  <c r="R868" i="1"/>
  <c r="Q868" i="1"/>
  <c r="T868" i="1" s="1"/>
  <c r="P868" i="1"/>
  <c r="O868" i="1"/>
  <c r="N868" i="1"/>
  <c r="M868" i="1"/>
  <c r="L868" i="1"/>
  <c r="K868" i="1"/>
  <c r="I868" i="1"/>
  <c r="H868" i="1"/>
  <c r="G868" i="1"/>
  <c r="J868" i="1" s="1"/>
  <c r="F868" i="1"/>
  <c r="Q866" i="1"/>
  <c r="P866" i="1"/>
  <c r="L866" i="1"/>
  <c r="K866" i="1"/>
  <c r="G866" i="1"/>
  <c r="F866" i="1"/>
  <c r="U863" i="1" s="1"/>
  <c r="E865" i="1"/>
  <c r="C865" i="1"/>
  <c r="T864" i="1"/>
  <c r="S864" i="1"/>
  <c r="R864" i="1"/>
  <c r="Q864" i="1"/>
  <c r="P864" i="1"/>
  <c r="N864" i="1"/>
  <c r="M864" i="1"/>
  <c r="L864" i="1"/>
  <c r="O864" i="1" s="1"/>
  <c r="K864" i="1"/>
  <c r="I864" i="1"/>
  <c r="H864" i="1"/>
  <c r="G864" i="1"/>
  <c r="J864" i="1" s="1"/>
  <c r="F864" i="1"/>
  <c r="Q862" i="1"/>
  <c r="P862" i="1"/>
  <c r="L862" i="1"/>
  <c r="K862" i="1"/>
  <c r="G862" i="1"/>
  <c r="F862" i="1"/>
  <c r="U859" i="1" s="1"/>
  <c r="E861" i="1"/>
  <c r="C861" i="1"/>
  <c r="T860" i="1"/>
  <c r="S860" i="1"/>
  <c r="R860" i="1"/>
  <c r="Q860" i="1"/>
  <c r="P860" i="1"/>
  <c r="N860" i="1"/>
  <c r="M860" i="1"/>
  <c r="L860" i="1"/>
  <c r="O860" i="1" s="1"/>
  <c r="K860" i="1"/>
  <c r="J860" i="1"/>
  <c r="I860" i="1"/>
  <c r="H860" i="1"/>
  <c r="G860" i="1"/>
  <c r="F860" i="1"/>
  <c r="Q858" i="1"/>
  <c r="P858" i="1"/>
  <c r="L858" i="1"/>
  <c r="K858" i="1"/>
  <c r="G858" i="1"/>
  <c r="F858" i="1"/>
  <c r="U855" i="1" s="1"/>
  <c r="E857" i="1"/>
  <c r="C857" i="1"/>
  <c r="S856" i="1"/>
  <c r="R856" i="1"/>
  <c r="Q856" i="1"/>
  <c r="T856" i="1" s="1"/>
  <c r="P856" i="1"/>
  <c r="N856" i="1"/>
  <c r="M856" i="1"/>
  <c r="L856" i="1"/>
  <c r="O856" i="1" s="1"/>
  <c r="K856" i="1"/>
  <c r="J856" i="1"/>
  <c r="I856" i="1"/>
  <c r="H856" i="1"/>
  <c r="G856" i="1"/>
  <c r="F856" i="1"/>
  <c r="Q854" i="1"/>
  <c r="P854" i="1"/>
  <c r="L854" i="1"/>
  <c r="K854" i="1"/>
  <c r="G854" i="1"/>
  <c r="F854" i="1"/>
  <c r="E853" i="1"/>
  <c r="C853" i="1"/>
  <c r="S852" i="1"/>
  <c r="R852" i="1"/>
  <c r="Q852" i="1"/>
  <c r="T852" i="1" s="1"/>
  <c r="P852" i="1"/>
  <c r="N852" i="1"/>
  <c r="M852" i="1"/>
  <c r="L852" i="1"/>
  <c r="O852" i="1" s="1"/>
  <c r="K852" i="1"/>
  <c r="J852" i="1"/>
  <c r="I852" i="1"/>
  <c r="H852" i="1"/>
  <c r="G852" i="1"/>
  <c r="F852" i="1"/>
  <c r="U851" i="1"/>
  <c r="Q850" i="1"/>
  <c r="P850" i="1"/>
  <c r="U847" i="1" s="1"/>
  <c r="L850" i="1"/>
  <c r="K850" i="1"/>
  <c r="G850" i="1"/>
  <c r="F850" i="1"/>
  <c r="E849" i="1"/>
  <c r="C849" i="1"/>
  <c r="S848" i="1"/>
  <c r="R848" i="1"/>
  <c r="Q848" i="1"/>
  <c r="T848" i="1" s="1"/>
  <c r="P848" i="1"/>
  <c r="N848" i="1"/>
  <c r="M848" i="1"/>
  <c r="L848" i="1"/>
  <c r="O848" i="1" s="1"/>
  <c r="K848" i="1"/>
  <c r="I848" i="1"/>
  <c r="H848" i="1"/>
  <c r="G848" i="1"/>
  <c r="J848" i="1" s="1"/>
  <c r="F848" i="1"/>
  <c r="Q846" i="1"/>
  <c r="P846" i="1"/>
  <c r="L846" i="1"/>
  <c r="K846" i="1"/>
  <c r="G846" i="1"/>
  <c r="F846" i="1"/>
  <c r="U843" i="1" s="1"/>
  <c r="E845" i="1"/>
  <c r="C845" i="1"/>
  <c r="S844" i="1"/>
  <c r="R844" i="1"/>
  <c r="Q844" i="1"/>
  <c r="T844" i="1" s="1"/>
  <c r="P844" i="1"/>
  <c r="N844" i="1"/>
  <c r="M844" i="1"/>
  <c r="L844" i="1"/>
  <c r="O844" i="1" s="1"/>
  <c r="K844" i="1"/>
  <c r="I844" i="1"/>
  <c r="H844" i="1"/>
  <c r="G844" i="1"/>
  <c r="J844" i="1" s="1"/>
  <c r="F844" i="1"/>
  <c r="Q842" i="1"/>
  <c r="P842" i="1"/>
  <c r="L842" i="1"/>
  <c r="K842" i="1"/>
  <c r="G842" i="1"/>
  <c r="F842" i="1"/>
  <c r="U839" i="1" s="1"/>
  <c r="E841" i="1"/>
  <c r="C841" i="1"/>
  <c r="S840" i="1"/>
  <c r="R840" i="1"/>
  <c r="Q840" i="1"/>
  <c r="T840" i="1" s="1"/>
  <c r="P840" i="1"/>
  <c r="O840" i="1"/>
  <c r="N840" i="1"/>
  <c r="M840" i="1"/>
  <c r="L840" i="1"/>
  <c r="K840" i="1"/>
  <c r="J840" i="1"/>
  <c r="I840" i="1"/>
  <c r="H840" i="1"/>
  <c r="G840" i="1"/>
  <c r="F840" i="1"/>
  <c r="Q838" i="1"/>
  <c r="P838" i="1"/>
  <c r="L838" i="1"/>
  <c r="K838" i="1"/>
  <c r="G838" i="1"/>
  <c r="F838" i="1"/>
  <c r="U835" i="1" s="1"/>
  <c r="E837" i="1"/>
  <c r="C837" i="1"/>
  <c r="T836" i="1"/>
  <c r="S836" i="1"/>
  <c r="R836" i="1"/>
  <c r="Q836" i="1"/>
  <c r="P836" i="1"/>
  <c r="O836" i="1"/>
  <c r="N836" i="1"/>
  <c r="M836" i="1"/>
  <c r="L836" i="1"/>
  <c r="K836" i="1"/>
  <c r="J836" i="1"/>
  <c r="I836" i="1"/>
  <c r="H836" i="1"/>
  <c r="G836" i="1"/>
  <c r="F836" i="1"/>
  <c r="Q834" i="1"/>
  <c r="P834" i="1"/>
  <c r="L834" i="1"/>
  <c r="K834" i="1"/>
  <c r="G834" i="1"/>
  <c r="F834" i="1"/>
  <c r="U831" i="1" s="1"/>
  <c r="E833" i="1"/>
  <c r="C833" i="1"/>
  <c r="S832" i="1"/>
  <c r="R832" i="1"/>
  <c r="Q832" i="1"/>
  <c r="T832" i="1" s="1"/>
  <c r="P832" i="1"/>
  <c r="O832" i="1"/>
  <c r="N832" i="1"/>
  <c r="M832" i="1"/>
  <c r="L832" i="1"/>
  <c r="K832" i="1"/>
  <c r="I832" i="1"/>
  <c r="H832" i="1"/>
  <c r="G832" i="1"/>
  <c r="J832" i="1" s="1"/>
  <c r="F832" i="1"/>
  <c r="Q830" i="1"/>
  <c r="P830" i="1"/>
  <c r="L830" i="1"/>
  <c r="K830" i="1"/>
  <c r="G830" i="1"/>
  <c r="F830" i="1"/>
  <c r="U827" i="1" s="1"/>
  <c r="E829" i="1"/>
  <c r="C829" i="1"/>
  <c r="S828" i="1"/>
  <c r="R828" i="1"/>
  <c r="Q828" i="1"/>
  <c r="T828" i="1" s="1"/>
  <c r="P828" i="1"/>
  <c r="O828" i="1"/>
  <c r="N828" i="1"/>
  <c r="M828" i="1"/>
  <c r="L828" i="1"/>
  <c r="K828" i="1"/>
  <c r="I828" i="1"/>
  <c r="H828" i="1"/>
  <c r="G828" i="1"/>
  <c r="J828" i="1" s="1"/>
  <c r="F828" i="1"/>
  <c r="Q826" i="1"/>
  <c r="P826" i="1"/>
  <c r="L826" i="1"/>
  <c r="K826" i="1"/>
  <c r="G826" i="1"/>
  <c r="F826" i="1"/>
  <c r="E825" i="1"/>
  <c r="C825" i="1"/>
  <c r="S824" i="1"/>
  <c r="R824" i="1"/>
  <c r="Q824" i="1"/>
  <c r="T824" i="1" s="1"/>
  <c r="P824" i="1"/>
  <c r="O824" i="1"/>
  <c r="N824" i="1"/>
  <c r="M824" i="1"/>
  <c r="L824" i="1"/>
  <c r="K824" i="1"/>
  <c r="I824" i="1"/>
  <c r="H824" i="1"/>
  <c r="G824" i="1"/>
  <c r="J824" i="1" s="1"/>
  <c r="F824" i="1"/>
  <c r="U823" i="1"/>
  <c r="Q822" i="1"/>
  <c r="P822" i="1"/>
  <c r="L822" i="1"/>
  <c r="K822" i="1"/>
  <c r="G822" i="1"/>
  <c r="F822" i="1"/>
  <c r="U819" i="1" s="1"/>
  <c r="E821" i="1"/>
  <c r="C821" i="1"/>
  <c r="T820" i="1"/>
  <c r="S820" i="1"/>
  <c r="R820" i="1"/>
  <c r="Q820" i="1"/>
  <c r="P820" i="1"/>
  <c r="N820" i="1"/>
  <c r="M820" i="1"/>
  <c r="L820" i="1"/>
  <c r="O820" i="1" s="1"/>
  <c r="K820" i="1"/>
  <c r="I820" i="1"/>
  <c r="H820" i="1"/>
  <c r="G820" i="1"/>
  <c r="J820" i="1" s="1"/>
  <c r="F820" i="1"/>
  <c r="Q818" i="1"/>
  <c r="P818" i="1"/>
  <c r="L818" i="1"/>
  <c r="K818" i="1"/>
  <c r="G818" i="1"/>
  <c r="F818" i="1"/>
  <c r="U815" i="1" s="1"/>
  <c r="E817" i="1"/>
  <c r="C817" i="1"/>
  <c r="T816" i="1"/>
  <c r="S816" i="1"/>
  <c r="R816" i="1"/>
  <c r="Q816" i="1"/>
  <c r="P816" i="1"/>
  <c r="N816" i="1"/>
  <c r="M816" i="1"/>
  <c r="L816" i="1"/>
  <c r="O816" i="1" s="1"/>
  <c r="K816" i="1"/>
  <c r="I816" i="1"/>
  <c r="H816" i="1"/>
  <c r="G816" i="1"/>
  <c r="J816" i="1" s="1"/>
  <c r="F816" i="1"/>
  <c r="Q814" i="1"/>
  <c r="P814" i="1"/>
  <c r="L814" i="1"/>
  <c r="K814" i="1"/>
  <c r="G814" i="1"/>
  <c r="F814" i="1"/>
  <c r="U811" i="1" s="1"/>
  <c r="E813" i="1"/>
  <c r="C813" i="1"/>
  <c r="S812" i="1"/>
  <c r="R812" i="1"/>
  <c r="Q812" i="1"/>
  <c r="T812" i="1" s="1"/>
  <c r="P812" i="1"/>
  <c r="N812" i="1"/>
  <c r="M812" i="1"/>
  <c r="L812" i="1"/>
  <c r="O812" i="1" s="1"/>
  <c r="K812" i="1"/>
  <c r="I812" i="1"/>
  <c r="H812" i="1"/>
  <c r="G812" i="1"/>
  <c r="J812" i="1" s="1"/>
  <c r="F812" i="1"/>
  <c r="Q810" i="1"/>
  <c r="P810" i="1"/>
  <c r="U807" i="1" s="1"/>
  <c r="L810" i="1"/>
  <c r="K810" i="1"/>
  <c r="G810" i="1"/>
  <c r="F810" i="1"/>
  <c r="E809" i="1"/>
  <c r="C809" i="1"/>
  <c r="S808" i="1"/>
  <c r="R808" i="1"/>
  <c r="Q808" i="1"/>
  <c r="T808" i="1" s="1"/>
  <c r="P808" i="1"/>
  <c r="O808" i="1"/>
  <c r="N808" i="1"/>
  <c r="M808" i="1"/>
  <c r="L808" i="1"/>
  <c r="K808" i="1"/>
  <c r="I808" i="1"/>
  <c r="H808" i="1"/>
  <c r="G808" i="1"/>
  <c r="J808" i="1" s="1"/>
  <c r="F808" i="1"/>
  <c r="Q806" i="1"/>
  <c r="P806" i="1"/>
  <c r="L806" i="1"/>
  <c r="K806" i="1"/>
  <c r="G806" i="1"/>
  <c r="F806" i="1"/>
  <c r="E805" i="1"/>
  <c r="C805" i="1"/>
  <c r="S804" i="1"/>
  <c r="R804" i="1"/>
  <c r="Q804" i="1"/>
  <c r="T804" i="1" s="1"/>
  <c r="P804" i="1"/>
  <c r="N804" i="1"/>
  <c r="M804" i="1"/>
  <c r="L804" i="1"/>
  <c r="O804" i="1" s="1"/>
  <c r="K804" i="1"/>
  <c r="I804" i="1"/>
  <c r="H804" i="1"/>
  <c r="G804" i="1"/>
  <c r="J804" i="1" s="1"/>
  <c r="F804" i="1"/>
  <c r="U803" i="1"/>
  <c r="Q802" i="1"/>
  <c r="P802" i="1"/>
  <c r="L802" i="1"/>
  <c r="K802" i="1"/>
  <c r="G802" i="1"/>
  <c r="F802" i="1"/>
  <c r="U799" i="1" s="1"/>
  <c r="E801" i="1"/>
  <c r="C801" i="1"/>
  <c r="S800" i="1"/>
  <c r="R800" i="1"/>
  <c r="Q800" i="1"/>
  <c r="T800" i="1" s="1"/>
  <c r="P800" i="1"/>
  <c r="N800" i="1"/>
  <c r="M800" i="1"/>
  <c r="L800" i="1"/>
  <c r="O800" i="1" s="1"/>
  <c r="K800" i="1"/>
  <c r="J800" i="1"/>
  <c r="I800" i="1"/>
  <c r="H800" i="1"/>
  <c r="G800" i="1"/>
  <c r="F800" i="1"/>
  <c r="Q798" i="1"/>
  <c r="P798" i="1"/>
  <c r="L798" i="1"/>
  <c r="K798" i="1"/>
  <c r="G798" i="1"/>
  <c r="F798" i="1"/>
  <c r="U795" i="1" s="1"/>
  <c r="E797" i="1"/>
  <c r="C797" i="1"/>
  <c r="S796" i="1"/>
  <c r="R796" i="1"/>
  <c r="Q796" i="1"/>
  <c r="T796" i="1" s="1"/>
  <c r="P796" i="1"/>
  <c r="N796" i="1"/>
  <c r="M796" i="1"/>
  <c r="L796" i="1"/>
  <c r="O796" i="1" s="1"/>
  <c r="K796" i="1"/>
  <c r="J796" i="1"/>
  <c r="I796" i="1"/>
  <c r="H796" i="1"/>
  <c r="G796" i="1"/>
  <c r="F796" i="1"/>
  <c r="Q794" i="1"/>
  <c r="P794" i="1"/>
  <c r="L794" i="1"/>
  <c r="K794" i="1"/>
  <c r="G794" i="1"/>
  <c r="F794" i="1"/>
  <c r="U791" i="1" s="1"/>
  <c r="E793" i="1"/>
  <c r="C793" i="1"/>
  <c r="T792" i="1"/>
  <c r="S792" i="1"/>
  <c r="R792" i="1"/>
  <c r="Q792" i="1"/>
  <c r="P792" i="1"/>
  <c r="N792" i="1"/>
  <c r="M792" i="1"/>
  <c r="L792" i="1"/>
  <c r="O792" i="1" s="1"/>
  <c r="K792" i="1"/>
  <c r="J792" i="1"/>
  <c r="I792" i="1"/>
  <c r="H792" i="1"/>
  <c r="G792" i="1"/>
  <c r="F792" i="1"/>
  <c r="Q790" i="1"/>
  <c r="P790" i="1"/>
  <c r="L790" i="1"/>
  <c r="K790" i="1"/>
  <c r="G790" i="1"/>
  <c r="F790" i="1"/>
  <c r="U787" i="1" s="1"/>
  <c r="E789" i="1"/>
  <c r="C789" i="1"/>
  <c r="S788" i="1"/>
  <c r="R788" i="1"/>
  <c r="Q788" i="1"/>
  <c r="T788" i="1" s="1"/>
  <c r="P788" i="1"/>
  <c r="O788" i="1"/>
  <c r="N788" i="1"/>
  <c r="M788" i="1"/>
  <c r="L788" i="1"/>
  <c r="K788" i="1"/>
  <c r="I788" i="1"/>
  <c r="H788" i="1"/>
  <c r="G788" i="1"/>
  <c r="J788" i="1" s="1"/>
  <c r="F788" i="1"/>
  <c r="Q786" i="1"/>
  <c r="P786" i="1"/>
  <c r="L786" i="1"/>
  <c r="K786" i="1"/>
  <c r="G786" i="1"/>
  <c r="F786" i="1"/>
  <c r="E785" i="1"/>
  <c r="C785" i="1"/>
  <c r="S784" i="1"/>
  <c r="R784" i="1"/>
  <c r="Q784" i="1"/>
  <c r="T784" i="1" s="1"/>
  <c r="P784" i="1"/>
  <c r="O784" i="1"/>
  <c r="N784" i="1"/>
  <c r="M784" i="1"/>
  <c r="L784" i="1"/>
  <c r="K784" i="1"/>
  <c r="I784" i="1"/>
  <c r="H784" i="1"/>
  <c r="G784" i="1"/>
  <c r="J784" i="1" s="1"/>
  <c r="F784" i="1"/>
  <c r="U783" i="1"/>
  <c r="Q782" i="1"/>
  <c r="P782" i="1"/>
  <c r="U779" i="1" s="1"/>
  <c r="L782" i="1"/>
  <c r="K782" i="1"/>
  <c r="G782" i="1"/>
  <c r="F782" i="1"/>
  <c r="E781" i="1"/>
  <c r="C781" i="1"/>
  <c r="S780" i="1"/>
  <c r="R780" i="1"/>
  <c r="Q780" i="1"/>
  <c r="T780" i="1" s="1"/>
  <c r="P780" i="1"/>
  <c r="O780" i="1"/>
  <c r="N780" i="1"/>
  <c r="M780" i="1"/>
  <c r="L780" i="1"/>
  <c r="K780" i="1"/>
  <c r="I780" i="1"/>
  <c r="H780" i="1"/>
  <c r="G780" i="1"/>
  <c r="J780" i="1" s="1"/>
  <c r="F780" i="1"/>
  <c r="Q778" i="1"/>
  <c r="P778" i="1"/>
  <c r="L778" i="1"/>
  <c r="K778" i="1"/>
  <c r="G778" i="1"/>
  <c r="F778" i="1"/>
  <c r="E777" i="1"/>
  <c r="C777" i="1"/>
  <c r="T776" i="1"/>
  <c r="S776" i="1"/>
  <c r="R776" i="1"/>
  <c r="Q776" i="1"/>
  <c r="P776" i="1"/>
  <c r="N776" i="1"/>
  <c r="M776" i="1"/>
  <c r="L776" i="1"/>
  <c r="O776" i="1" s="1"/>
  <c r="K776" i="1"/>
  <c r="I776" i="1"/>
  <c r="H776" i="1"/>
  <c r="G776" i="1"/>
  <c r="J776" i="1" s="1"/>
  <c r="F776" i="1"/>
  <c r="U775" i="1"/>
  <c r="Q774" i="1"/>
  <c r="P774" i="1"/>
  <c r="U771" i="1" s="1"/>
  <c r="L774" i="1"/>
  <c r="K774" i="1"/>
  <c r="G774" i="1"/>
  <c r="F774" i="1"/>
  <c r="E773" i="1"/>
  <c r="C773" i="1"/>
  <c r="T772" i="1"/>
  <c r="S772" i="1"/>
  <c r="R772" i="1"/>
  <c r="Q772" i="1"/>
  <c r="P772" i="1"/>
  <c r="N772" i="1"/>
  <c r="M772" i="1"/>
  <c r="L772" i="1"/>
  <c r="O772" i="1" s="1"/>
  <c r="K772" i="1"/>
  <c r="J772" i="1"/>
  <c r="I772" i="1"/>
  <c r="H772" i="1"/>
  <c r="G772" i="1"/>
  <c r="F772" i="1"/>
  <c r="Q770" i="1"/>
  <c r="P770" i="1"/>
  <c r="L770" i="1"/>
  <c r="K770" i="1"/>
  <c r="G770" i="1"/>
  <c r="F770" i="1"/>
  <c r="E769" i="1"/>
  <c r="C769" i="1"/>
  <c r="S768" i="1"/>
  <c r="R768" i="1"/>
  <c r="Q768" i="1"/>
  <c r="T768" i="1" s="1"/>
  <c r="P768" i="1"/>
  <c r="N768" i="1"/>
  <c r="M768" i="1"/>
  <c r="L768" i="1"/>
  <c r="O768" i="1" s="1"/>
  <c r="K768" i="1"/>
  <c r="J768" i="1"/>
  <c r="I768" i="1"/>
  <c r="H768" i="1"/>
  <c r="G768" i="1"/>
  <c r="F768" i="1"/>
  <c r="U767" i="1"/>
  <c r="Q766" i="1"/>
  <c r="P766" i="1"/>
  <c r="L766" i="1"/>
  <c r="K766" i="1"/>
  <c r="G766" i="1"/>
  <c r="F766" i="1"/>
  <c r="E765" i="1"/>
  <c r="C765" i="1"/>
  <c r="S764" i="1"/>
  <c r="R764" i="1"/>
  <c r="Q764" i="1"/>
  <c r="T764" i="1" s="1"/>
  <c r="P764" i="1"/>
  <c r="O764" i="1"/>
  <c r="N764" i="1"/>
  <c r="M764" i="1"/>
  <c r="L764" i="1"/>
  <c r="K764" i="1"/>
  <c r="I764" i="1"/>
  <c r="H764" i="1"/>
  <c r="G764" i="1"/>
  <c r="J764" i="1" s="1"/>
  <c r="F764" i="1"/>
  <c r="U763" i="1"/>
  <c r="Q762" i="1"/>
  <c r="P762" i="1"/>
  <c r="U759" i="1" s="1"/>
  <c r="L762" i="1"/>
  <c r="K762" i="1"/>
  <c r="G762" i="1"/>
  <c r="F762" i="1"/>
  <c r="E761" i="1"/>
  <c r="C761" i="1"/>
  <c r="S760" i="1"/>
  <c r="R760" i="1"/>
  <c r="Q760" i="1"/>
  <c r="T760" i="1" s="1"/>
  <c r="P760" i="1"/>
  <c r="N760" i="1"/>
  <c r="M760" i="1"/>
  <c r="L760" i="1"/>
  <c r="O760" i="1" s="1"/>
  <c r="K760" i="1"/>
  <c r="I760" i="1"/>
  <c r="H760" i="1"/>
  <c r="G760" i="1"/>
  <c r="J760" i="1" s="1"/>
  <c r="F760" i="1"/>
  <c r="Q758" i="1"/>
  <c r="P758" i="1"/>
  <c r="L758" i="1"/>
  <c r="K758" i="1"/>
  <c r="G758" i="1"/>
  <c r="F758" i="1"/>
  <c r="U755" i="1" s="1"/>
  <c r="E757" i="1"/>
  <c r="C757" i="1"/>
  <c r="T756" i="1"/>
  <c r="S756" i="1"/>
  <c r="R756" i="1"/>
  <c r="Q756" i="1"/>
  <c r="P756" i="1"/>
  <c r="N756" i="1"/>
  <c r="M756" i="1"/>
  <c r="L756" i="1"/>
  <c r="O756" i="1" s="1"/>
  <c r="K756" i="1"/>
  <c r="J756" i="1"/>
  <c r="I756" i="1"/>
  <c r="H756" i="1"/>
  <c r="G756" i="1"/>
  <c r="F756" i="1"/>
  <c r="Q754" i="1"/>
  <c r="P754" i="1"/>
  <c r="L754" i="1"/>
  <c r="K754" i="1"/>
  <c r="G754" i="1"/>
  <c r="F754" i="1"/>
  <c r="U751" i="1" s="1"/>
  <c r="E753" i="1"/>
  <c r="C753" i="1"/>
  <c r="T752" i="1"/>
  <c r="S752" i="1"/>
  <c r="R752" i="1"/>
  <c r="Q752" i="1"/>
  <c r="P752" i="1"/>
  <c r="O752" i="1"/>
  <c r="N752" i="1"/>
  <c r="M752" i="1"/>
  <c r="L752" i="1"/>
  <c r="K752" i="1"/>
  <c r="J752" i="1"/>
  <c r="I752" i="1"/>
  <c r="H752" i="1"/>
  <c r="G752" i="1"/>
  <c r="F752" i="1"/>
  <c r="Q750" i="1"/>
  <c r="P750" i="1"/>
  <c r="L750" i="1"/>
  <c r="K750" i="1"/>
  <c r="G750" i="1"/>
  <c r="F750" i="1"/>
  <c r="U747" i="1" s="1"/>
  <c r="E749" i="1"/>
  <c r="C749" i="1"/>
  <c r="T748" i="1"/>
  <c r="S748" i="1"/>
  <c r="R748" i="1"/>
  <c r="Q748" i="1"/>
  <c r="P748" i="1"/>
  <c r="N748" i="1"/>
  <c r="M748" i="1"/>
  <c r="L748" i="1"/>
  <c r="O748" i="1" s="1"/>
  <c r="K748" i="1"/>
  <c r="J748" i="1"/>
  <c r="I748" i="1"/>
  <c r="H748" i="1"/>
  <c r="G748" i="1"/>
  <c r="F748" i="1"/>
  <c r="Q746" i="1"/>
  <c r="P746" i="1"/>
  <c r="L746" i="1"/>
  <c r="K746" i="1"/>
  <c r="G746" i="1"/>
  <c r="F746" i="1"/>
  <c r="U743" i="1" s="1"/>
  <c r="E745" i="1"/>
  <c r="C745" i="1"/>
  <c r="S744" i="1"/>
  <c r="R744" i="1"/>
  <c r="Q744" i="1"/>
  <c r="T744" i="1" s="1"/>
  <c r="P744" i="1"/>
  <c r="O744" i="1"/>
  <c r="N744" i="1"/>
  <c r="M744" i="1"/>
  <c r="L744" i="1"/>
  <c r="K744" i="1"/>
  <c r="I744" i="1"/>
  <c r="H744" i="1"/>
  <c r="G744" i="1"/>
  <c r="J744" i="1" s="1"/>
  <c r="F744" i="1"/>
  <c r="Q742" i="1"/>
  <c r="P742" i="1"/>
  <c r="L742" i="1"/>
  <c r="K742" i="1"/>
  <c r="G742" i="1"/>
  <c r="F742" i="1"/>
  <c r="U739" i="1" s="1"/>
  <c r="E741" i="1"/>
  <c r="C741" i="1"/>
  <c r="S740" i="1"/>
  <c r="R740" i="1"/>
  <c r="Q740" i="1"/>
  <c r="T740" i="1" s="1"/>
  <c r="P740" i="1"/>
  <c r="O740" i="1"/>
  <c r="N740" i="1"/>
  <c r="M740" i="1"/>
  <c r="L740" i="1"/>
  <c r="K740" i="1"/>
  <c r="I740" i="1"/>
  <c r="H740" i="1"/>
  <c r="G740" i="1"/>
  <c r="J740" i="1" s="1"/>
  <c r="F740" i="1"/>
  <c r="Q738" i="1"/>
  <c r="P738" i="1"/>
  <c r="L738" i="1"/>
  <c r="K738" i="1"/>
  <c r="G738" i="1"/>
  <c r="F738" i="1"/>
  <c r="U735" i="1" s="1"/>
  <c r="E737" i="1"/>
  <c r="C737" i="1"/>
  <c r="S736" i="1"/>
  <c r="R736" i="1"/>
  <c r="Q736" i="1"/>
  <c r="T736" i="1" s="1"/>
  <c r="P736" i="1"/>
  <c r="O736" i="1"/>
  <c r="N736" i="1"/>
  <c r="M736" i="1"/>
  <c r="L736" i="1"/>
  <c r="K736" i="1"/>
  <c r="I736" i="1"/>
  <c r="H736" i="1"/>
  <c r="G736" i="1"/>
  <c r="J736" i="1" s="1"/>
  <c r="F736" i="1"/>
  <c r="Q734" i="1"/>
  <c r="P734" i="1"/>
  <c r="L734" i="1"/>
  <c r="K734" i="1"/>
  <c r="G734" i="1"/>
  <c r="F734" i="1"/>
  <c r="U731" i="1" s="1"/>
  <c r="E733" i="1"/>
  <c r="C733" i="1"/>
  <c r="T732" i="1"/>
  <c r="S732" i="1"/>
  <c r="R732" i="1"/>
  <c r="Q732" i="1"/>
  <c r="P732" i="1"/>
  <c r="N732" i="1"/>
  <c r="M732" i="1"/>
  <c r="L732" i="1"/>
  <c r="O732" i="1" s="1"/>
  <c r="K732" i="1"/>
  <c r="I732" i="1"/>
  <c r="H732" i="1"/>
  <c r="G732" i="1"/>
  <c r="J732" i="1" s="1"/>
  <c r="F732" i="1"/>
  <c r="Q730" i="1"/>
  <c r="P730" i="1"/>
  <c r="U727" i="1" s="1"/>
  <c r="L730" i="1"/>
  <c r="K730" i="1"/>
  <c r="G730" i="1"/>
  <c r="F730" i="1"/>
  <c r="E729" i="1"/>
  <c r="C729" i="1"/>
  <c r="T728" i="1"/>
  <c r="S728" i="1"/>
  <c r="R728" i="1"/>
  <c r="Q728" i="1"/>
  <c r="P728" i="1"/>
  <c r="N728" i="1"/>
  <c r="M728" i="1"/>
  <c r="L728" i="1"/>
  <c r="O728" i="1" s="1"/>
  <c r="K728" i="1"/>
  <c r="J728" i="1"/>
  <c r="I728" i="1"/>
  <c r="H728" i="1"/>
  <c r="G728" i="1"/>
  <c r="F728" i="1"/>
  <c r="Q726" i="1"/>
  <c r="P726" i="1"/>
  <c r="L726" i="1"/>
  <c r="K726" i="1"/>
  <c r="G726" i="1"/>
  <c r="F726" i="1"/>
  <c r="U723" i="1" s="1"/>
  <c r="E725" i="1"/>
  <c r="C725" i="1"/>
  <c r="S724" i="1"/>
  <c r="R724" i="1"/>
  <c r="Q724" i="1"/>
  <c r="T724" i="1" s="1"/>
  <c r="P724" i="1"/>
  <c r="N724" i="1"/>
  <c r="M724" i="1"/>
  <c r="L724" i="1"/>
  <c r="O724" i="1" s="1"/>
  <c r="K724" i="1"/>
  <c r="J724" i="1"/>
  <c r="I724" i="1"/>
  <c r="H724" i="1"/>
  <c r="G724" i="1"/>
  <c r="F724" i="1"/>
  <c r="Q722" i="1"/>
  <c r="P722" i="1"/>
  <c r="U719" i="1" s="1"/>
  <c r="L722" i="1"/>
  <c r="K722" i="1"/>
  <c r="G722" i="1"/>
  <c r="F722" i="1"/>
  <c r="E721" i="1"/>
  <c r="C721" i="1"/>
  <c r="S720" i="1"/>
  <c r="R720" i="1"/>
  <c r="Q720" i="1"/>
  <c r="T720" i="1" s="1"/>
  <c r="P720" i="1"/>
  <c r="O720" i="1"/>
  <c r="N720" i="1"/>
  <c r="M720" i="1"/>
  <c r="L720" i="1"/>
  <c r="K720" i="1"/>
  <c r="I720" i="1"/>
  <c r="H720" i="1"/>
  <c r="G720" i="1"/>
  <c r="J720" i="1" s="1"/>
  <c r="F720" i="1"/>
  <c r="Q718" i="1"/>
  <c r="P718" i="1"/>
  <c r="U715" i="1" s="1"/>
  <c r="L718" i="1"/>
  <c r="K718" i="1"/>
  <c r="G718" i="1"/>
  <c r="F718" i="1"/>
  <c r="E717" i="1"/>
  <c r="C717" i="1"/>
  <c r="S716" i="1"/>
  <c r="R716" i="1"/>
  <c r="Q716" i="1"/>
  <c r="T716" i="1" s="1"/>
  <c r="P716" i="1"/>
  <c r="O716" i="1"/>
  <c r="N716" i="1"/>
  <c r="M716" i="1"/>
  <c r="L716" i="1"/>
  <c r="K716" i="1"/>
  <c r="I716" i="1"/>
  <c r="H716" i="1"/>
  <c r="G716" i="1"/>
  <c r="J716" i="1" s="1"/>
  <c r="F716" i="1"/>
  <c r="Q714" i="1"/>
  <c r="P714" i="1"/>
  <c r="L714" i="1"/>
  <c r="K714" i="1"/>
  <c r="G714" i="1"/>
  <c r="F714" i="1"/>
  <c r="U711" i="1" s="1"/>
  <c r="E713" i="1"/>
  <c r="C713" i="1"/>
  <c r="S712" i="1"/>
  <c r="R712" i="1"/>
  <c r="Q712" i="1"/>
  <c r="T712" i="1" s="1"/>
  <c r="P712" i="1"/>
  <c r="N712" i="1"/>
  <c r="M712" i="1"/>
  <c r="L712" i="1"/>
  <c r="O712" i="1" s="1"/>
  <c r="K712" i="1"/>
  <c r="I712" i="1"/>
  <c r="H712" i="1"/>
  <c r="G712" i="1"/>
  <c r="J712" i="1" s="1"/>
  <c r="F712" i="1"/>
  <c r="Q710" i="1"/>
  <c r="P710" i="1"/>
  <c r="L710" i="1"/>
  <c r="K710" i="1"/>
  <c r="G710" i="1"/>
  <c r="F710" i="1"/>
  <c r="U707" i="1" s="1"/>
  <c r="E709" i="1"/>
  <c r="C709" i="1"/>
  <c r="T708" i="1"/>
  <c r="S708" i="1"/>
  <c r="R708" i="1"/>
  <c r="Q708" i="1"/>
  <c r="P708" i="1"/>
  <c r="O708" i="1"/>
  <c r="N708" i="1"/>
  <c r="M708" i="1"/>
  <c r="L708" i="1"/>
  <c r="K708" i="1"/>
  <c r="J708" i="1"/>
  <c r="I708" i="1"/>
  <c r="H708" i="1"/>
  <c r="G708" i="1"/>
  <c r="F708" i="1"/>
  <c r="Q706" i="1"/>
  <c r="P706" i="1"/>
  <c r="L706" i="1"/>
  <c r="K706" i="1"/>
  <c r="G706" i="1"/>
  <c r="F706" i="1"/>
  <c r="U703" i="1" s="1"/>
  <c r="E705" i="1"/>
  <c r="C705" i="1"/>
  <c r="T704" i="1"/>
  <c r="S704" i="1"/>
  <c r="R704" i="1"/>
  <c r="Q704" i="1"/>
  <c r="P704" i="1"/>
  <c r="N704" i="1"/>
  <c r="M704" i="1"/>
  <c r="L704" i="1"/>
  <c r="O704" i="1" s="1"/>
  <c r="K704" i="1"/>
  <c r="J704" i="1"/>
  <c r="I704" i="1"/>
  <c r="H704" i="1"/>
  <c r="G704" i="1"/>
  <c r="F704" i="1"/>
  <c r="Q702" i="1"/>
  <c r="P702" i="1"/>
  <c r="L702" i="1"/>
  <c r="K702" i="1"/>
  <c r="G702" i="1"/>
  <c r="F702" i="1"/>
  <c r="U699" i="1" s="1"/>
  <c r="E701" i="1"/>
  <c r="C701" i="1"/>
  <c r="T700" i="1"/>
  <c r="S700" i="1"/>
  <c r="R700" i="1"/>
  <c r="Q700" i="1"/>
  <c r="P700" i="1"/>
  <c r="O700" i="1"/>
  <c r="N700" i="1"/>
  <c r="M700" i="1"/>
  <c r="L700" i="1"/>
  <c r="K700" i="1"/>
  <c r="I700" i="1"/>
  <c r="H700" i="1"/>
  <c r="G700" i="1"/>
  <c r="J700" i="1" s="1"/>
  <c r="F700" i="1"/>
  <c r="Q698" i="1"/>
  <c r="P698" i="1"/>
  <c r="L698" i="1"/>
  <c r="K698" i="1"/>
  <c r="G698" i="1"/>
  <c r="F698" i="1"/>
  <c r="U695" i="1" s="1"/>
  <c r="E697" i="1"/>
  <c r="C697" i="1"/>
  <c r="T696" i="1"/>
  <c r="S696" i="1"/>
  <c r="R696" i="1"/>
  <c r="Q696" i="1"/>
  <c r="P696" i="1"/>
  <c r="O696" i="1"/>
  <c r="N696" i="1"/>
  <c r="M696" i="1"/>
  <c r="L696" i="1"/>
  <c r="K696" i="1"/>
  <c r="I696" i="1"/>
  <c r="H696" i="1"/>
  <c r="G696" i="1"/>
  <c r="J696" i="1" s="1"/>
  <c r="F696" i="1"/>
  <c r="Q694" i="1"/>
  <c r="P694" i="1"/>
  <c r="L694" i="1"/>
  <c r="K694" i="1"/>
  <c r="G694" i="1"/>
  <c r="F694" i="1"/>
  <c r="U691" i="1" s="1"/>
  <c r="E693" i="1"/>
  <c r="C693" i="1"/>
  <c r="S692" i="1"/>
  <c r="R692" i="1"/>
  <c r="Q692" i="1"/>
  <c r="T692" i="1" s="1"/>
  <c r="P692" i="1"/>
  <c r="O692" i="1"/>
  <c r="N692" i="1"/>
  <c r="M692" i="1"/>
  <c r="L692" i="1"/>
  <c r="K692" i="1"/>
  <c r="I692" i="1"/>
  <c r="H692" i="1"/>
  <c r="G692" i="1"/>
  <c r="J692" i="1" s="1"/>
  <c r="F692" i="1"/>
  <c r="Q690" i="1"/>
  <c r="P690" i="1"/>
  <c r="L690" i="1"/>
  <c r="K690" i="1"/>
  <c r="G690" i="1"/>
  <c r="F690" i="1"/>
  <c r="U687" i="1" s="1"/>
  <c r="E689" i="1"/>
  <c r="C689" i="1"/>
  <c r="T688" i="1"/>
  <c r="S688" i="1"/>
  <c r="R688" i="1"/>
  <c r="Q688" i="1"/>
  <c r="P688" i="1"/>
  <c r="N688" i="1"/>
  <c r="M688" i="1"/>
  <c r="L688" i="1"/>
  <c r="O688" i="1" s="1"/>
  <c r="K688" i="1"/>
  <c r="J688" i="1"/>
  <c r="I688" i="1"/>
  <c r="H688" i="1"/>
  <c r="G688" i="1"/>
  <c r="F688" i="1"/>
  <c r="Q686" i="1"/>
  <c r="P686" i="1"/>
  <c r="L686" i="1"/>
  <c r="K686" i="1"/>
  <c r="G686" i="1"/>
  <c r="F686" i="1"/>
  <c r="U683" i="1" s="1"/>
  <c r="E685" i="1"/>
  <c r="C685" i="1"/>
  <c r="T684" i="1"/>
  <c r="S684" i="1"/>
  <c r="R684" i="1"/>
  <c r="Q684" i="1"/>
  <c r="P684" i="1"/>
  <c r="N684" i="1"/>
  <c r="M684" i="1"/>
  <c r="L684" i="1"/>
  <c r="O684" i="1" s="1"/>
  <c r="K684" i="1"/>
  <c r="J684" i="1"/>
  <c r="I684" i="1"/>
  <c r="H684" i="1"/>
  <c r="G684" i="1"/>
  <c r="F684" i="1"/>
  <c r="Q682" i="1"/>
  <c r="P682" i="1"/>
  <c r="L682" i="1"/>
  <c r="K682" i="1"/>
  <c r="G682" i="1"/>
  <c r="F682" i="1"/>
  <c r="E681" i="1"/>
  <c r="C681" i="1"/>
  <c r="S680" i="1"/>
  <c r="R680" i="1"/>
  <c r="Q680" i="1"/>
  <c r="T680" i="1" s="1"/>
  <c r="P680" i="1"/>
  <c r="N680" i="1"/>
  <c r="M680" i="1"/>
  <c r="L680" i="1"/>
  <c r="O680" i="1" s="1"/>
  <c r="K680" i="1"/>
  <c r="J680" i="1"/>
  <c r="I680" i="1"/>
  <c r="H680" i="1"/>
  <c r="G680" i="1"/>
  <c r="F680" i="1"/>
  <c r="U679" i="1"/>
  <c r="Q678" i="1"/>
  <c r="P678" i="1"/>
  <c r="L678" i="1"/>
  <c r="K678" i="1"/>
  <c r="G678" i="1"/>
  <c r="F678" i="1"/>
  <c r="E677" i="1"/>
  <c r="C677" i="1"/>
  <c r="S676" i="1"/>
  <c r="R676" i="1"/>
  <c r="Q676" i="1"/>
  <c r="T676" i="1" s="1"/>
  <c r="P676" i="1"/>
  <c r="N676" i="1"/>
  <c r="M676" i="1"/>
  <c r="L676" i="1"/>
  <c r="O676" i="1" s="1"/>
  <c r="K676" i="1"/>
  <c r="I676" i="1"/>
  <c r="H676" i="1"/>
  <c r="G676" i="1"/>
  <c r="J676" i="1" s="1"/>
  <c r="F676" i="1"/>
  <c r="U675" i="1"/>
  <c r="Q674" i="1"/>
  <c r="P674" i="1"/>
  <c r="U671" i="1" s="1"/>
  <c r="L674" i="1"/>
  <c r="K674" i="1"/>
  <c r="G674" i="1"/>
  <c r="F674" i="1"/>
  <c r="E673" i="1"/>
  <c r="C673" i="1"/>
  <c r="S672" i="1"/>
  <c r="R672" i="1"/>
  <c r="Q672" i="1"/>
  <c r="T672" i="1" s="1"/>
  <c r="P672" i="1"/>
  <c r="N672" i="1"/>
  <c r="M672" i="1"/>
  <c r="L672" i="1"/>
  <c r="O672" i="1" s="1"/>
  <c r="K672" i="1"/>
  <c r="I672" i="1"/>
  <c r="H672" i="1"/>
  <c r="G672" i="1"/>
  <c r="J672" i="1" s="1"/>
  <c r="F672" i="1"/>
  <c r="Q670" i="1"/>
  <c r="P670" i="1"/>
  <c r="L670" i="1"/>
  <c r="K670" i="1"/>
  <c r="G670" i="1"/>
  <c r="F670" i="1"/>
  <c r="U667" i="1" s="1"/>
  <c r="E669" i="1"/>
  <c r="C669" i="1"/>
  <c r="S668" i="1"/>
  <c r="R668" i="1"/>
  <c r="Q668" i="1"/>
  <c r="T668" i="1" s="1"/>
  <c r="P668" i="1"/>
  <c r="O668" i="1"/>
  <c r="N668" i="1"/>
  <c r="M668" i="1"/>
  <c r="L668" i="1"/>
  <c r="K668" i="1"/>
  <c r="J668" i="1"/>
  <c r="I668" i="1"/>
  <c r="H668" i="1"/>
  <c r="G668" i="1"/>
  <c r="F668" i="1"/>
  <c r="Q666" i="1"/>
  <c r="P666" i="1"/>
  <c r="L666" i="1"/>
  <c r="K666" i="1"/>
  <c r="G666" i="1"/>
  <c r="F666" i="1"/>
  <c r="U663" i="1" s="1"/>
  <c r="E665" i="1"/>
  <c r="C665" i="1"/>
  <c r="S664" i="1"/>
  <c r="R664" i="1"/>
  <c r="Q664" i="1"/>
  <c r="T664" i="1" s="1"/>
  <c r="P664" i="1"/>
  <c r="O664" i="1"/>
  <c r="N664" i="1"/>
  <c r="M664" i="1"/>
  <c r="L664" i="1"/>
  <c r="K664" i="1"/>
  <c r="J664" i="1"/>
  <c r="I664" i="1"/>
  <c r="H664" i="1"/>
  <c r="G664" i="1"/>
  <c r="F664" i="1"/>
  <c r="Q662" i="1"/>
  <c r="P662" i="1"/>
  <c r="L662" i="1"/>
  <c r="K662" i="1"/>
  <c r="G662" i="1"/>
  <c r="F662" i="1"/>
  <c r="U659" i="1" s="1"/>
  <c r="E661" i="1"/>
  <c r="C661" i="1"/>
  <c r="S660" i="1"/>
  <c r="R660" i="1"/>
  <c r="Q660" i="1"/>
  <c r="T660" i="1" s="1"/>
  <c r="P660" i="1"/>
  <c r="N660" i="1"/>
  <c r="M660" i="1"/>
  <c r="L660" i="1"/>
  <c r="O660" i="1" s="1"/>
  <c r="K660" i="1"/>
  <c r="J660" i="1"/>
  <c r="I660" i="1"/>
  <c r="H660" i="1"/>
  <c r="G660" i="1"/>
  <c r="F660" i="1"/>
  <c r="Q658" i="1"/>
  <c r="P658" i="1"/>
  <c r="L658" i="1"/>
  <c r="K658" i="1"/>
  <c r="G658" i="1"/>
  <c r="F658" i="1"/>
  <c r="U655" i="1" s="1"/>
  <c r="E657" i="1"/>
  <c r="C657" i="1"/>
  <c r="S656" i="1"/>
  <c r="R656" i="1"/>
  <c r="Q656" i="1"/>
  <c r="T656" i="1" s="1"/>
  <c r="P656" i="1"/>
  <c r="O656" i="1"/>
  <c r="N656" i="1"/>
  <c r="M656" i="1"/>
  <c r="L656" i="1"/>
  <c r="K656" i="1"/>
  <c r="I656" i="1"/>
  <c r="H656" i="1"/>
  <c r="G656" i="1"/>
  <c r="J656" i="1" s="1"/>
  <c r="F656" i="1"/>
  <c r="Q654" i="1"/>
  <c r="P654" i="1"/>
  <c r="L654" i="1"/>
  <c r="K654" i="1"/>
  <c r="G654" i="1"/>
  <c r="F654" i="1"/>
  <c r="U651" i="1" s="1"/>
  <c r="E653" i="1"/>
  <c r="C653" i="1"/>
  <c r="S652" i="1"/>
  <c r="R652" i="1"/>
  <c r="Q652" i="1"/>
  <c r="T652" i="1" s="1"/>
  <c r="P652" i="1"/>
  <c r="O652" i="1"/>
  <c r="N652" i="1"/>
  <c r="M652" i="1"/>
  <c r="L652" i="1"/>
  <c r="K652" i="1"/>
  <c r="I652" i="1"/>
  <c r="H652" i="1"/>
  <c r="G652" i="1"/>
  <c r="J652" i="1" s="1"/>
  <c r="F652" i="1"/>
  <c r="Q650" i="1"/>
  <c r="P650" i="1"/>
  <c r="L650" i="1"/>
  <c r="K650" i="1"/>
  <c r="G650" i="1"/>
  <c r="F650" i="1"/>
  <c r="U647" i="1" s="1"/>
  <c r="E649" i="1"/>
  <c r="C649" i="1"/>
  <c r="T648" i="1"/>
  <c r="S648" i="1"/>
  <c r="R648" i="1"/>
  <c r="Q648" i="1"/>
  <c r="P648" i="1"/>
  <c r="O648" i="1"/>
  <c r="N648" i="1"/>
  <c r="M648" i="1"/>
  <c r="L648" i="1"/>
  <c r="K648" i="1"/>
  <c r="I648" i="1"/>
  <c r="H648" i="1"/>
  <c r="G648" i="1"/>
  <c r="J648" i="1" s="1"/>
  <c r="F648" i="1"/>
  <c r="Q646" i="1"/>
  <c r="P646" i="1"/>
  <c r="L646" i="1"/>
  <c r="K646" i="1"/>
  <c r="G646" i="1"/>
  <c r="F646" i="1"/>
  <c r="U643" i="1" s="1"/>
  <c r="E645" i="1"/>
  <c r="C645" i="1"/>
  <c r="T644" i="1"/>
  <c r="S644" i="1"/>
  <c r="R644" i="1"/>
  <c r="Q644" i="1"/>
  <c r="P644" i="1"/>
  <c r="N644" i="1"/>
  <c r="M644" i="1"/>
  <c r="L644" i="1"/>
  <c r="O644" i="1" s="1"/>
  <c r="K644" i="1"/>
  <c r="J644" i="1"/>
  <c r="I644" i="1"/>
  <c r="H644" i="1"/>
  <c r="G644" i="1"/>
  <c r="F644" i="1"/>
  <c r="Q642" i="1"/>
  <c r="P642" i="1"/>
  <c r="L642" i="1"/>
  <c r="K642" i="1"/>
  <c r="G642" i="1"/>
  <c r="F642" i="1"/>
  <c r="U639" i="1" s="1"/>
  <c r="E641" i="1"/>
  <c r="C641" i="1"/>
  <c r="T640" i="1"/>
  <c r="S640" i="1"/>
  <c r="R640" i="1"/>
  <c r="Q640" i="1"/>
  <c r="P640" i="1"/>
  <c r="N640" i="1"/>
  <c r="M640" i="1"/>
  <c r="L640" i="1"/>
  <c r="O640" i="1" s="1"/>
  <c r="K640" i="1"/>
  <c r="J640" i="1"/>
  <c r="I640" i="1"/>
  <c r="H640" i="1"/>
  <c r="G640" i="1"/>
  <c r="F640" i="1"/>
  <c r="Q638" i="1"/>
  <c r="P638" i="1"/>
  <c r="L638" i="1"/>
  <c r="K638" i="1"/>
  <c r="G638" i="1"/>
  <c r="F638" i="1"/>
  <c r="U635" i="1" s="1"/>
  <c r="E637" i="1"/>
  <c r="C637" i="1"/>
  <c r="S636" i="1"/>
  <c r="R636" i="1"/>
  <c r="Q636" i="1"/>
  <c r="T636" i="1" s="1"/>
  <c r="P636" i="1"/>
  <c r="N636" i="1"/>
  <c r="M636" i="1"/>
  <c r="L636" i="1"/>
  <c r="O636" i="1" s="1"/>
  <c r="K636" i="1"/>
  <c r="J636" i="1"/>
  <c r="I636" i="1"/>
  <c r="H636" i="1"/>
  <c r="G636" i="1"/>
  <c r="F636" i="1"/>
  <c r="Q634" i="1"/>
  <c r="P634" i="1"/>
  <c r="L634" i="1"/>
  <c r="K634" i="1"/>
  <c r="G634" i="1"/>
  <c r="F634" i="1"/>
  <c r="E633" i="1"/>
  <c r="C633" i="1"/>
  <c r="S632" i="1"/>
  <c r="R632" i="1"/>
  <c r="Q632" i="1"/>
  <c r="T632" i="1" s="1"/>
  <c r="P632" i="1"/>
  <c r="N632" i="1"/>
  <c r="M632" i="1"/>
  <c r="L632" i="1"/>
  <c r="O632" i="1" s="1"/>
  <c r="K632" i="1"/>
  <c r="J632" i="1"/>
  <c r="I632" i="1"/>
  <c r="H632" i="1"/>
  <c r="G632" i="1"/>
  <c r="F632" i="1"/>
  <c r="U631" i="1"/>
  <c r="Q630" i="1"/>
  <c r="P630" i="1"/>
  <c r="U627" i="1" s="1"/>
  <c r="L630" i="1"/>
  <c r="K630" i="1"/>
  <c r="G630" i="1"/>
  <c r="F630" i="1"/>
  <c r="E629" i="1"/>
  <c r="C629" i="1"/>
  <c r="S628" i="1"/>
  <c r="R628" i="1"/>
  <c r="Q628" i="1"/>
  <c r="T628" i="1" s="1"/>
  <c r="P628" i="1"/>
  <c r="N628" i="1"/>
  <c r="M628" i="1"/>
  <c r="L628" i="1"/>
  <c r="O628" i="1" s="1"/>
  <c r="K628" i="1"/>
  <c r="I628" i="1"/>
  <c r="H628" i="1"/>
  <c r="G628" i="1"/>
  <c r="J628" i="1" s="1"/>
  <c r="F628" i="1"/>
  <c r="Q626" i="1"/>
  <c r="P626" i="1"/>
  <c r="L626" i="1"/>
  <c r="K626" i="1"/>
  <c r="G626" i="1"/>
  <c r="F626" i="1"/>
  <c r="U623" i="1" s="1"/>
  <c r="E625" i="1"/>
  <c r="C625" i="1"/>
  <c r="S624" i="1"/>
  <c r="R624" i="1"/>
  <c r="Q624" i="1"/>
  <c r="T624" i="1" s="1"/>
  <c r="P624" i="1"/>
  <c r="O624" i="1"/>
  <c r="N624" i="1"/>
  <c r="M624" i="1"/>
  <c r="L624" i="1"/>
  <c r="K624" i="1"/>
  <c r="J624" i="1"/>
  <c r="I624" i="1"/>
  <c r="H624" i="1"/>
  <c r="G624" i="1"/>
  <c r="F624" i="1"/>
  <c r="Q622" i="1"/>
  <c r="P622" i="1"/>
  <c r="L622" i="1"/>
  <c r="K622" i="1"/>
  <c r="G622" i="1"/>
  <c r="F622" i="1"/>
  <c r="U619" i="1" s="1"/>
  <c r="E621" i="1"/>
  <c r="C621" i="1"/>
  <c r="T620" i="1"/>
  <c r="S620" i="1"/>
  <c r="R620" i="1"/>
  <c r="Q620" i="1"/>
  <c r="P620" i="1"/>
  <c r="O620" i="1"/>
  <c r="N620" i="1"/>
  <c r="M620" i="1"/>
  <c r="L620" i="1"/>
  <c r="K620" i="1"/>
  <c r="J620" i="1"/>
  <c r="I620" i="1"/>
  <c r="H620" i="1"/>
  <c r="G620" i="1"/>
  <c r="F620" i="1"/>
  <c r="Q618" i="1"/>
  <c r="P618" i="1"/>
  <c r="L618" i="1"/>
  <c r="K618" i="1"/>
  <c r="G618" i="1"/>
  <c r="F618" i="1"/>
  <c r="U615" i="1" s="1"/>
  <c r="E617" i="1"/>
  <c r="C617" i="1"/>
  <c r="S616" i="1"/>
  <c r="R616" i="1"/>
  <c r="Q616" i="1"/>
  <c r="T616" i="1" s="1"/>
  <c r="P616" i="1"/>
  <c r="O616" i="1"/>
  <c r="N616" i="1"/>
  <c r="M616" i="1"/>
  <c r="L616" i="1"/>
  <c r="K616" i="1"/>
  <c r="J616" i="1"/>
  <c r="I616" i="1"/>
  <c r="H616" i="1"/>
  <c r="G616" i="1"/>
  <c r="F616" i="1"/>
  <c r="Q614" i="1"/>
  <c r="P614" i="1"/>
  <c r="L614" i="1"/>
  <c r="K614" i="1"/>
  <c r="G614" i="1"/>
  <c r="F614" i="1"/>
  <c r="U611" i="1" s="1"/>
  <c r="E613" i="1"/>
  <c r="C613" i="1"/>
  <c r="S612" i="1"/>
  <c r="R612" i="1"/>
  <c r="Q612" i="1"/>
  <c r="T612" i="1" s="1"/>
  <c r="P612" i="1"/>
  <c r="O612" i="1"/>
  <c r="N612" i="1"/>
  <c r="M612" i="1"/>
  <c r="L612" i="1"/>
  <c r="K612" i="1"/>
  <c r="I612" i="1"/>
  <c r="H612" i="1"/>
  <c r="G612" i="1"/>
  <c r="J612" i="1" s="1"/>
  <c r="F612" i="1"/>
  <c r="Q610" i="1"/>
  <c r="P610" i="1"/>
  <c r="U607" i="1" s="1"/>
  <c r="L610" i="1"/>
  <c r="K610" i="1"/>
  <c r="G610" i="1"/>
  <c r="F610" i="1"/>
  <c r="E609" i="1"/>
  <c r="C609" i="1"/>
  <c r="S608" i="1"/>
  <c r="R608" i="1"/>
  <c r="Q608" i="1"/>
  <c r="T608" i="1" s="1"/>
  <c r="P608" i="1"/>
  <c r="O608" i="1"/>
  <c r="N608" i="1"/>
  <c r="M608" i="1"/>
  <c r="L608" i="1"/>
  <c r="K608" i="1"/>
  <c r="I608" i="1"/>
  <c r="H608" i="1"/>
  <c r="G608" i="1"/>
  <c r="J608" i="1" s="1"/>
  <c r="F608" i="1"/>
  <c r="Q606" i="1"/>
  <c r="P606" i="1"/>
  <c r="L606" i="1"/>
  <c r="K606" i="1"/>
  <c r="G606" i="1"/>
  <c r="F606" i="1"/>
  <c r="U603" i="1" s="1"/>
  <c r="E605" i="1"/>
  <c r="C605" i="1"/>
  <c r="S604" i="1"/>
  <c r="R604" i="1"/>
  <c r="Q604" i="1"/>
  <c r="T604" i="1" s="1"/>
  <c r="P604" i="1"/>
  <c r="O604" i="1"/>
  <c r="N604" i="1"/>
  <c r="M604" i="1"/>
  <c r="L604" i="1"/>
  <c r="K604" i="1"/>
  <c r="I604" i="1"/>
  <c r="H604" i="1"/>
  <c r="G604" i="1"/>
  <c r="J604" i="1" s="1"/>
  <c r="F604" i="1"/>
  <c r="Q602" i="1"/>
  <c r="P602" i="1"/>
  <c r="L602" i="1"/>
  <c r="K602" i="1"/>
  <c r="G602" i="1"/>
  <c r="F602" i="1"/>
  <c r="U599" i="1" s="1"/>
  <c r="E601" i="1"/>
  <c r="C601" i="1"/>
  <c r="T600" i="1"/>
  <c r="S600" i="1"/>
  <c r="R600" i="1"/>
  <c r="Q600" i="1"/>
  <c r="P600" i="1"/>
  <c r="N600" i="1"/>
  <c r="M600" i="1"/>
  <c r="L600" i="1"/>
  <c r="O600" i="1" s="1"/>
  <c r="K600" i="1"/>
  <c r="I600" i="1"/>
  <c r="H600" i="1"/>
  <c r="G600" i="1"/>
  <c r="J600" i="1" s="1"/>
  <c r="F600" i="1"/>
  <c r="Q598" i="1"/>
  <c r="P598" i="1"/>
  <c r="L598" i="1"/>
  <c r="K598" i="1"/>
  <c r="G598" i="1"/>
  <c r="F598" i="1"/>
  <c r="U595" i="1" s="1"/>
  <c r="E597" i="1"/>
  <c r="C597" i="1"/>
  <c r="T596" i="1"/>
  <c r="S596" i="1"/>
  <c r="R596" i="1"/>
  <c r="Q596" i="1"/>
  <c r="P596" i="1"/>
  <c r="N596" i="1"/>
  <c r="M596" i="1"/>
  <c r="L596" i="1"/>
  <c r="O596" i="1" s="1"/>
  <c r="K596" i="1"/>
  <c r="I596" i="1"/>
  <c r="H596" i="1"/>
  <c r="G596" i="1"/>
  <c r="J596" i="1" s="1"/>
  <c r="F596" i="1"/>
  <c r="Q594" i="1"/>
  <c r="P594" i="1"/>
  <c r="L594" i="1"/>
  <c r="K594" i="1"/>
  <c r="G594" i="1"/>
  <c r="F594" i="1"/>
  <c r="U591" i="1" s="1"/>
  <c r="E593" i="1"/>
  <c r="C593" i="1"/>
  <c r="S592" i="1"/>
  <c r="R592" i="1"/>
  <c r="Q592" i="1"/>
  <c r="T592" i="1" s="1"/>
  <c r="P592" i="1"/>
  <c r="N592" i="1"/>
  <c r="M592" i="1"/>
  <c r="L592" i="1"/>
  <c r="O592" i="1" s="1"/>
  <c r="K592" i="1"/>
  <c r="I592" i="1"/>
  <c r="H592" i="1"/>
  <c r="G592" i="1"/>
  <c r="J592" i="1" s="1"/>
  <c r="F592" i="1"/>
  <c r="Q590" i="1"/>
  <c r="P590" i="1"/>
  <c r="U587" i="1" s="1"/>
  <c r="L590" i="1"/>
  <c r="K590" i="1"/>
  <c r="G590" i="1"/>
  <c r="F590" i="1"/>
  <c r="E589" i="1"/>
  <c r="C589" i="1"/>
  <c r="S588" i="1"/>
  <c r="R588" i="1"/>
  <c r="Q588" i="1"/>
  <c r="T588" i="1" s="1"/>
  <c r="P588" i="1"/>
  <c r="N588" i="1"/>
  <c r="M588" i="1"/>
  <c r="L588" i="1"/>
  <c r="O588" i="1" s="1"/>
  <c r="K588" i="1"/>
  <c r="I588" i="1"/>
  <c r="H588" i="1"/>
  <c r="G588" i="1"/>
  <c r="J588" i="1" s="1"/>
  <c r="F588" i="1"/>
  <c r="Q586" i="1"/>
  <c r="P586" i="1"/>
  <c r="U583" i="1" s="1"/>
  <c r="L586" i="1"/>
  <c r="K586" i="1"/>
  <c r="G586" i="1"/>
  <c r="F586" i="1"/>
  <c r="E585" i="1"/>
  <c r="C585" i="1"/>
  <c r="S584" i="1"/>
  <c r="R584" i="1"/>
  <c r="Q584" i="1"/>
  <c r="T584" i="1" s="1"/>
  <c r="P584" i="1"/>
  <c r="N584" i="1"/>
  <c r="M584" i="1"/>
  <c r="L584" i="1"/>
  <c r="O584" i="1" s="1"/>
  <c r="K584" i="1"/>
  <c r="J584" i="1"/>
  <c r="I584" i="1"/>
  <c r="H584" i="1"/>
  <c r="G584" i="1"/>
  <c r="F584" i="1"/>
  <c r="Q582" i="1"/>
  <c r="P582" i="1"/>
  <c r="L582" i="1"/>
  <c r="K582" i="1"/>
  <c r="G582" i="1"/>
  <c r="F582" i="1"/>
  <c r="U579" i="1" s="1"/>
  <c r="E581" i="1"/>
  <c r="C581" i="1"/>
  <c r="S580" i="1"/>
  <c r="R580" i="1"/>
  <c r="Q580" i="1"/>
  <c r="T580" i="1" s="1"/>
  <c r="P580" i="1"/>
  <c r="N580" i="1"/>
  <c r="M580" i="1"/>
  <c r="L580" i="1"/>
  <c r="O580" i="1" s="1"/>
  <c r="K580" i="1"/>
  <c r="J580" i="1"/>
  <c r="I580" i="1"/>
  <c r="H580" i="1"/>
  <c r="G580" i="1"/>
  <c r="F580" i="1"/>
  <c r="Q578" i="1"/>
  <c r="P578" i="1"/>
  <c r="L578" i="1"/>
  <c r="K578" i="1"/>
  <c r="G578" i="1"/>
  <c r="F578" i="1"/>
  <c r="U575" i="1" s="1"/>
  <c r="E577" i="1"/>
  <c r="C577" i="1"/>
  <c r="T576" i="1"/>
  <c r="S576" i="1"/>
  <c r="R576" i="1"/>
  <c r="Q576" i="1"/>
  <c r="P576" i="1"/>
  <c r="N576" i="1"/>
  <c r="M576" i="1"/>
  <c r="L576" i="1"/>
  <c r="O576" i="1" s="1"/>
  <c r="K576" i="1"/>
  <c r="J576" i="1"/>
  <c r="I576" i="1"/>
  <c r="H576" i="1"/>
  <c r="G576" i="1"/>
  <c r="F576" i="1"/>
  <c r="Q574" i="1"/>
  <c r="P574" i="1"/>
  <c r="L574" i="1"/>
  <c r="K574" i="1"/>
  <c r="G574" i="1"/>
  <c r="F574" i="1"/>
  <c r="U571" i="1" s="1"/>
  <c r="E573" i="1"/>
  <c r="C573" i="1"/>
  <c r="S572" i="1"/>
  <c r="R572" i="1"/>
  <c r="Q572" i="1"/>
  <c r="T572" i="1" s="1"/>
  <c r="P572" i="1"/>
  <c r="N572" i="1"/>
  <c r="M572" i="1"/>
  <c r="L572" i="1"/>
  <c r="O572" i="1" s="1"/>
  <c r="K572" i="1"/>
  <c r="J572" i="1"/>
  <c r="I572" i="1"/>
  <c r="H572" i="1"/>
  <c r="G572" i="1"/>
  <c r="F572" i="1"/>
  <c r="Q570" i="1"/>
  <c r="P570" i="1"/>
  <c r="L570" i="1"/>
  <c r="K570" i="1"/>
  <c r="G570" i="1"/>
  <c r="F570" i="1"/>
  <c r="U567" i="1" s="1"/>
  <c r="E569" i="1"/>
  <c r="C569" i="1"/>
  <c r="S568" i="1"/>
  <c r="R568" i="1"/>
  <c r="Q568" i="1"/>
  <c r="T568" i="1" s="1"/>
  <c r="P568" i="1"/>
  <c r="O568" i="1"/>
  <c r="N568" i="1"/>
  <c r="M568" i="1"/>
  <c r="L568" i="1"/>
  <c r="K568" i="1"/>
  <c r="I568" i="1"/>
  <c r="H568" i="1"/>
  <c r="G568" i="1"/>
  <c r="J568" i="1" s="1"/>
  <c r="F568" i="1"/>
  <c r="Q566" i="1"/>
  <c r="P566" i="1"/>
  <c r="U563" i="1" s="1"/>
  <c r="L566" i="1"/>
  <c r="K566" i="1"/>
  <c r="G566" i="1"/>
  <c r="F566" i="1"/>
  <c r="E565" i="1"/>
  <c r="C565" i="1"/>
  <c r="S564" i="1"/>
  <c r="R564" i="1"/>
  <c r="Q564" i="1"/>
  <c r="T564" i="1" s="1"/>
  <c r="P564" i="1"/>
  <c r="O564" i="1"/>
  <c r="N564" i="1"/>
  <c r="M564" i="1"/>
  <c r="L564" i="1"/>
  <c r="K564" i="1"/>
  <c r="I564" i="1"/>
  <c r="H564" i="1"/>
  <c r="G564" i="1"/>
  <c r="J564" i="1" s="1"/>
  <c r="F564" i="1"/>
  <c r="Q562" i="1"/>
  <c r="P562" i="1"/>
  <c r="U559" i="1" s="1"/>
  <c r="L562" i="1"/>
  <c r="K562" i="1"/>
  <c r="G562" i="1"/>
  <c r="F562" i="1"/>
  <c r="E561" i="1"/>
  <c r="C561" i="1"/>
  <c r="S560" i="1"/>
  <c r="R560" i="1"/>
  <c r="Q560" i="1"/>
  <c r="T560" i="1" s="1"/>
  <c r="P560" i="1"/>
  <c r="O560" i="1"/>
  <c r="N560" i="1"/>
  <c r="M560" i="1"/>
  <c r="L560" i="1"/>
  <c r="K560" i="1"/>
  <c r="I560" i="1"/>
  <c r="H560" i="1"/>
  <c r="G560" i="1"/>
  <c r="J560" i="1" s="1"/>
  <c r="F560" i="1"/>
  <c r="Q558" i="1"/>
  <c r="P558" i="1"/>
  <c r="U555" i="1" s="1"/>
  <c r="L558" i="1"/>
  <c r="K558" i="1"/>
  <c r="G558" i="1"/>
  <c r="F558" i="1"/>
  <c r="E557" i="1"/>
  <c r="C557" i="1"/>
  <c r="T556" i="1"/>
  <c r="S556" i="1"/>
  <c r="R556" i="1"/>
  <c r="Q556" i="1"/>
  <c r="P556" i="1"/>
  <c r="N556" i="1"/>
  <c r="M556" i="1"/>
  <c r="L556" i="1"/>
  <c r="O556" i="1" s="1"/>
  <c r="K556" i="1"/>
  <c r="I556" i="1"/>
  <c r="H556" i="1"/>
  <c r="G556" i="1"/>
  <c r="J556" i="1" s="1"/>
  <c r="F556" i="1"/>
  <c r="Q554" i="1"/>
  <c r="P554" i="1"/>
  <c r="L554" i="1"/>
  <c r="K554" i="1"/>
  <c r="G554" i="1"/>
  <c r="F554" i="1"/>
  <c r="E553" i="1"/>
  <c r="C553" i="1"/>
  <c r="T552" i="1"/>
  <c r="S552" i="1"/>
  <c r="R552" i="1"/>
  <c r="Q552" i="1"/>
  <c r="P552" i="1"/>
  <c r="N552" i="1"/>
  <c r="M552" i="1"/>
  <c r="L552" i="1"/>
  <c r="O552" i="1" s="1"/>
  <c r="K552" i="1"/>
  <c r="I552" i="1"/>
  <c r="H552" i="1"/>
  <c r="G552" i="1"/>
  <c r="J552" i="1" s="1"/>
  <c r="F552" i="1"/>
  <c r="U551" i="1"/>
  <c r="Q550" i="1"/>
  <c r="P550" i="1"/>
  <c r="L550" i="1"/>
  <c r="K550" i="1"/>
  <c r="G550" i="1"/>
  <c r="F550" i="1"/>
  <c r="E549" i="1"/>
  <c r="C549" i="1"/>
  <c r="S548" i="1"/>
  <c r="R548" i="1"/>
  <c r="Q548" i="1"/>
  <c r="T548" i="1" s="1"/>
  <c r="P548" i="1"/>
  <c r="N548" i="1"/>
  <c r="M548" i="1"/>
  <c r="L548" i="1"/>
  <c r="O548" i="1" s="1"/>
  <c r="K548" i="1"/>
  <c r="I548" i="1"/>
  <c r="H548" i="1"/>
  <c r="G548" i="1"/>
  <c r="J548" i="1" s="1"/>
  <c r="F548" i="1"/>
  <c r="U547" i="1"/>
  <c r="Q546" i="1"/>
  <c r="P546" i="1"/>
  <c r="U543" i="1" s="1"/>
  <c r="L546" i="1"/>
  <c r="K546" i="1"/>
  <c r="G546" i="1"/>
  <c r="F546" i="1"/>
  <c r="E545" i="1"/>
  <c r="C545" i="1"/>
  <c r="S544" i="1"/>
  <c r="R544" i="1"/>
  <c r="Q544" i="1"/>
  <c r="T544" i="1" s="1"/>
  <c r="P544" i="1"/>
  <c r="N544" i="1"/>
  <c r="M544" i="1"/>
  <c r="L544" i="1"/>
  <c r="O544" i="1" s="1"/>
  <c r="K544" i="1"/>
  <c r="I544" i="1"/>
  <c r="H544" i="1"/>
  <c r="G544" i="1"/>
  <c r="J544" i="1" s="1"/>
  <c r="F544" i="1"/>
  <c r="Q542" i="1"/>
  <c r="P542" i="1"/>
  <c r="U539" i="1" s="1"/>
  <c r="L542" i="1"/>
  <c r="K542" i="1"/>
  <c r="G542" i="1"/>
  <c r="F542" i="1"/>
  <c r="E541" i="1"/>
  <c r="C541" i="1"/>
  <c r="S540" i="1"/>
  <c r="R540" i="1"/>
  <c r="Q540" i="1"/>
  <c r="T540" i="1" s="1"/>
  <c r="P540" i="1"/>
  <c r="N540" i="1"/>
  <c r="M540" i="1"/>
  <c r="L540" i="1"/>
  <c r="O540" i="1" s="1"/>
  <c r="K540" i="1"/>
  <c r="I540" i="1"/>
  <c r="H540" i="1"/>
  <c r="G540" i="1"/>
  <c r="J540" i="1" s="1"/>
  <c r="F540" i="1"/>
  <c r="Q538" i="1"/>
  <c r="P538" i="1"/>
  <c r="L538" i="1"/>
  <c r="K538" i="1"/>
  <c r="G538" i="1"/>
  <c r="F538" i="1"/>
  <c r="U535" i="1" s="1"/>
  <c r="E537" i="1"/>
  <c r="C537" i="1"/>
  <c r="T536" i="1"/>
  <c r="S536" i="1"/>
  <c r="R536" i="1"/>
  <c r="Q536" i="1"/>
  <c r="P536" i="1"/>
  <c r="N536" i="1"/>
  <c r="M536" i="1"/>
  <c r="L536" i="1"/>
  <c r="O536" i="1" s="1"/>
  <c r="K536" i="1"/>
  <c r="J536" i="1"/>
  <c r="I536" i="1"/>
  <c r="H536" i="1"/>
  <c r="G536" i="1"/>
  <c r="F536" i="1"/>
  <c r="Q534" i="1"/>
  <c r="P534" i="1"/>
  <c r="L534" i="1"/>
  <c r="K534" i="1"/>
  <c r="G534" i="1"/>
  <c r="F534" i="1"/>
  <c r="U531" i="1" s="1"/>
  <c r="E533" i="1"/>
  <c r="C533" i="1"/>
  <c r="T532" i="1"/>
  <c r="S532" i="1"/>
  <c r="R532" i="1"/>
  <c r="Q532" i="1"/>
  <c r="P532" i="1"/>
  <c r="N532" i="1"/>
  <c r="M532" i="1"/>
  <c r="L532" i="1"/>
  <c r="O532" i="1" s="1"/>
  <c r="K532" i="1"/>
  <c r="J532" i="1"/>
  <c r="I532" i="1"/>
  <c r="H532" i="1"/>
  <c r="G532" i="1"/>
  <c r="F532" i="1"/>
  <c r="Q530" i="1"/>
  <c r="P530" i="1"/>
  <c r="L530" i="1"/>
  <c r="K530" i="1"/>
  <c r="G530" i="1"/>
  <c r="F530" i="1"/>
  <c r="U527" i="1" s="1"/>
  <c r="E529" i="1"/>
  <c r="C529" i="1"/>
  <c r="S528" i="1"/>
  <c r="R528" i="1"/>
  <c r="Q528" i="1"/>
  <c r="T528" i="1" s="1"/>
  <c r="P528" i="1"/>
  <c r="N528" i="1"/>
  <c r="M528" i="1"/>
  <c r="L528" i="1"/>
  <c r="O528" i="1" s="1"/>
  <c r="K528" i="1"/>
  <c r="J528" i="1"/>
  <c r="I528" i="1"/>
  <c r="H528" i="1"/>
  <c r="G528" i="1"/>
  <c r="F528" i="1"/>
  <c r="Q526" i="1"/>
  <c r="P526" i="1"/>
  <c r="L526" i="1"/>
  <c r="K526" i="1"/>
  <c r="G526" i="1"/>
  <c r="F526" i="1"/>
  <c r="U523" i="1" s="1"/>
  <c r="E525" i="1"/>
  <c r="C525" i="1"/>
  <c r="S524" i="1"/>
  <c r="R524" i="1"/>
  <c r="Q524" i="1"/>
  <c r="T524" i="1" s="1"/>
  <c r="P524" i="1"/>
  <c r="O524" i="1"/>
  <c r="N524" i="1"/>
  <c r="M524" i="1"/>
  <c r="L524" i="1"/>
  <c r="K524" i="1"/>
  <c r="I524" i="1"/>
  <c r="H524" i="1"/>
  <c r="G524" i="1"/>
  <c r="J524" i="1" s="1"/>
  <c r="F524" i="1"/>
  <c r="Q522" i="1"/>
  <c r="P522" i="1"/>
  <c r="L522" i="1"/>
  <c r="K522" i="1"/>
  <c r="G522" i="1"/>
  <c r="F522" i="1"/>
  <c r="U519" i="1" s="1"/>
  <c r="E521" i="1"/>
  <c r="C521" i="1"/>
  <c r="S520" i="1"/>
  <c r="R520" i="1"/>
  <c r="Q520" i="1"/>
  <c r="T520" i="1" s="1"/>
  <c r="P520" i="1"/>
  <c r="O520" i="1"/>
  <c r="N520" i="1"/>
  <c r="M520" i="1"/>
  <c r="L520" i="1"/>
  <c r="K520" i="1"/>
  <c r="I520" i="1"/>
  <c r="H520" i="1"/>
  <c r="G520" i="1"/>
  <c r="J520" i="1" s="1"/>
  <c r="F520" i="1"/>
  <c r="Q518" i="1"/>
  <c r="P518" i="1"/>
  <c r="L518" i="1"/>
  <c r="K518" i="1"/>
  <c r="G518" i="1"/>
  <c r="F518" i="1"/>
  <c r="U515" i="1" s="1"/>
  <c r="E517" i="1"/>
  <c r="C517" i="1"/>
  <c r="S516" i="1"/>
  <c r="R516" i="1"/>
  <c r="Q516" i="1"/>
  <c r="T516" i="1" s="1"/>
  <c r="P516" i="1"/>
  <c r="O516" i="1"/>
  <c r="N516" i="1"/>
  <c r="M516" i="1"/>
  <c r="L516" i="1"/>
  <c r="K516" i="1"/>
  <c r="I516" i="1"/>
  <c r="H516" i="1"/>
  <c r="G516" i="1"/>
  <c r="J516" i="1" s="1"/>
  <c r="F516" i="1"/>
  <c r="Q514" i="1"/>
  <c r="P514" i="1"/>
  <c r="U511" i="1" s="1"/>
  <c r="L514" i="1"/>
  <c r="K514" i="1"/>
  <c r="G514" i="1"/>
  <c r="F514" i="1"/>
  <c r="E513" i="1"/>
  <c r="C513" i="1"/>
  <c r="T512" i="1"/>
  <c r="S512" i="1"/>
  <c r="R512" i="1"/>
  <c r="Q512" i="1"/>
  <c r="P512" i="1"/>
  <c r="N512" i="1"/>
  <c r="M512" i="1"/>
  <c r="L512" i="1"/>
  <c r="O512" i="1" s="1"/>
  <c r="K512" i="1"/>
  <c r="J512" i="1"/>
  <c r="I512" i="1"/>
  <c r="H512" i="1"/>
  <c r="G512" i="1"/>
  <c r="F512" i="1"/>
  <c r="Q510" i="1"/>
  <c r="P510" i="1"/>
  <c r="L510" i="1"/>
  <c r="K510" i="1"/>
  <c r="G510" i="1"/>
  <c r="F510" i="1"/>
  <c r="U507" i="1" s="1"/>
  <c r="E509" i="1"/>
  <c r="C509" i="1"/>
  <c r="T508" i="1"/>
  <c r="S508" i="1"/>
  <c r="R508" i="1"/>
  <c r="Q508" i="1"/>
  <c r="P508" i="1"/>
  <c r="N508" i="1"/>
  <c r="M508" i="1"/>
  <c r="L508" i="1"/>
  <c r="O508" i="1" s="1"/>
  <c r="K508" i="1"/>
  <c r="I508" i="1"/>
  <c r="H508" i="1"/>
  <c r="G508" i="1"/>
  <c r="J508" i="1" s="1"/>
  <c r="F508" i="1"/>
  <c r="Q506" i="1"/>
  <c r="P506" i="1"/>
  <c r="L506" i="1"/>
  <c r="K506" i="1"/>
  <c r="G506" i="1"/>
  <c r="F506" i="1"/>
  <c r="U503" i="1" s="1"/>
  <c r="E505" i="1"/>
  <c r="C505" i="1"/>
  <c r="S504" i="1"/>
  <c r="R504" i="1"/>
  <c r="Q504" i="1"/>
  <c r="T504" i="1" s="1"/>
  <c r="P504" i="1"/>
  <c r="N504" i="1"/>
  <c r="M504" i="1"/>
  <c r="L504" i="1"/>
  <c r="O504" i="1" s="1"/>
  <c r="K504" i="1"/>
  <c r="I504" i="1"/>
  <c r="H504" i="1"/>
  <c r="G504" i="1"/>
  <c r="J504" i="1" s="1"/>
  <c r="F504" i="1"/>
  <c r="Q502" i="1"/>
  <c r="P502" i="1"/>
  <c r="U499" i="1" s="1"/>
  <c r="L502" i="1"/>
  <c r="K502" i="1"/>
  <c r="G502" i="1"/>
  <c r="F502" i="1"/>
  <c r="E501" i="1"/>
  <c r="C501" i="1"/>
  <c r="S500" i="1"/>
  <c r="R500" i="1"/>
  <c r="Q500" i="1"/>
  <c r="T500" i="1" s="1"/>
  <c r="P500" i="1"/>
  <c r="O500" i="1"/>
  <c r="N500" i="1"/>
  <c r="M500" i="1"/>
  <c r="L500" i="1"/>
  <c r="K500" i="1"/>
  <c r="I500" i="1"/>
  <c r="H500" i="1"/>
  <c r="G500" i="1"/>
  <c r="J500" i="1" s="1"/>
  <c r="F500" i="1"/>
  <c r="Q498" i="1"/>
  <c r="P498" i="1"/>
  <c r="U495" i="1" s="1"/>
  <c r="L498" i="1"/>
  <c r="K498" i="1"/>
  <c r="G498" i="1"/>
  <c r="F498" i="1"/>
  <c r="E497" i="1"/>
  <c r="C497" i="1"/>
  <c r="S496" i="1"/>
  <c r="R496" i="1"/>
  <c r="Q496" i="1"/>
  <c r="T496" i="1" s="1"/>
  <c r="P496" i="1"/>
  <c r="N496" i="1"/>
  <c r="M496" i="1"/>
  <c r="L496" i="1"/>
  <c r="O496" i="1" s="1"/>
  <c r="K496" i="1"/>
  <c r="I496" i="1"/>
  <c r="H496" i="1"/>
  <c r="G496" i="1"/>
  <c r="J496" i="1" s="1"/>
  <c r="F496" i="1"/>
  <c r="Q494" i="1"/>
  <c r="P494" i="1"/>
  <c r="L494" i="1"/>
  <c r="K494" i="1"/>
  <c r="G494" i="1"/>
  <c r="F494" i="1"/>
  <c r="U491" i="1" s="1"/>
  <c r="E493" i="1"/>
  <c r="C493" i="1"/>
  <c r="T492" i="1"/>
  <c r="S492" i="1"/>
  <c r="R492" i="1"/>
  <c r="Q492" i="1"/>
  <c r="P492" i="1"/>
  <c r="O492" i="1"/>
  <c r="N492" i="1"/>
  <c r="M492" i="1"/>
  <c r="L492" i="1"/>
  <c r="K492" i="1"/>
  <c r="I492" i="1"/>
  <c r="H492" i="1"/>
  <c r="G492" i="1"/>
  <c r="J492" i="1" s="1"/>
  <c r="F492" i="1"/>
  <c r="Q490" i="1"/>
  <c r="P490" i="1"/>
  <c r="L490" i="1"/>
  <c r="K490" i="1"/>
  <c r="G490" i="1"/>
  <c r="F490" i="1"/>
  <c r="U487" i="1" s="1"/>
  <c r="E489" i="1"/>
  <c r="C489" i="1"/>
  <c r="T488" i="1"/>
  <c r="S488" i="1"/>
  <c r="R488" i="1"/>
  <c r="Q488" i="1"/>
  <c r="P488" i="1"/>
  <c r="N488" i="1"/>
  <c r="M488" i="1"/>
  <c r="L488" i="1"/>
  <c r="O488" i="1" s="1"/>
  <c r="K488" i="1"/>
  <c r="J488" i="1"/>
  <c r="I488" i="1"/>
  <c r="H488" i="1"/>
  <c r="G488" i="1"/>
  <c r="F488" i="1"/>
  <c r="Q486" i="1"/>
  <c r="P486" i="1"/>
  <c r="L486" i="1"/>
  <c r="K486" i="1"/>
  <c r="G486" i="1"/>
  <c r="F486" i="1"/>
  <c r="U483" i="1" s="1"/>
  <c r="E485" i="1"/>
  <c r="C485" i="1"/>
  <c r="T484" i="1"/>
  <c r="S484" i="1"/>
  <c r="R484" i="1"/>
  <c r="Q484" i="1"/>
  <c r="P484" i="1"/>
  <c r="N484" i="1"/>
  <c r="M484" i="1"/>
  <c r="L484" i="1"/>
  <c r="O484" i="1" s="1"/>
  <c r="K484" i="1"/>
  <c r="J484" i="1"/>
  <c r="I484" i="1"/>
  <c r="H484" i="1"/>
  <c r="G484" i="1"/>
  <c r="F484" i="1"/>
  <c r="Q482" i="1"/>
  <c r="P482" i="1"/>
  <c r="L482" i="1"/>
  <c r="K482" i="1"/>
  <c r="G482" i="1"/>
  <c r="F482" i="1"/>
  <c r="U479" i="1" s="1"/>
  <c r="E481" i="1"/>
  <c r="C481" i="1"/>
  <c r="S480" i="1"/>
  <c r="R480" i="1"/>
  <c r="Q480" i="1"/>
  <c r="T480" i="1" s="1"/>
  <c r="P480" i="1"/>
  <c r="O480" i="1"/>
  <c r="N480" i="1"/>
  <c r="M480" i="1"/>
  <c r="L480" i="1"/>
  <c r="K480" i="1"/>
  <c r="I480" i="1"/>
  <c r="H480" i="1"/>
  <c r="G480" i="1"/>
  <c r="J480" i="1" s="1"/>
  <c r="F480" i="1"/>
  <c r="Q478" i="1"/>
  <c r="P478" i="1"/>
  <c r="L478" i="1"/>
  <c r="K478" i="1"/>
  <c r="G478" i="1"/>
  <c r="F478" i="1"/>
  <c r="U475" i="1" s="1"/>
  <c r="E477" i="1"/>
  <c r="C477" i="1"/>
  <c r="S476" i="1"/>
  <c r="R476" i="1"/>
  <c r="Q476" i="1"/>
  <c r="T476" i="1" s="1"/>
  <c r="P476" i="1"/>
  <c r="O476" i="1"/>
  <c r="N476" i="1"/>
  <c r="M476" i="1"/>
  <c r="L476" i="1"/>
  <c r="K476" i="1"/>
  <c r="I476" i="1"/>
  <c r="H476" i="1"/>
  <c r="G476" i="1"/>
  <c r="J476" i="1" s="1"/>
  <c r="F476" i="1"/>
  <c r="Q474" i="1"/>
  <c r="P474" i="1"/>
  <c r="L474" i="1"/>
  <c r="K474" i="1"/>
  <c r="G474" i="1"/>
  <c r="F474" i="1"/>
  <c r="U471" i="1" s="1"/>
  <c r="E473" i="1"/>
  <c r="C473" i="1"/>
  <c r="S472" i="1"/>
  <c r="R472" i="1"/>
  <c r="Q472" i="1"/>
  <c r="T472" i="1" s="1"/>
  <c r="P472" i="1"/>
  <c r="O472" i="1"/>
  <c r="N472" i="1"/>
  <c r="M472" i="1"/>
  <c r="L472" i="1"/>
  <c r="K472" i="1"/>
  <c r="I472" i="1"/>
  <c r="H472" i="1"/>
  <c r="G472" i="1"/>
  <c r="J472" i="1" s="1"/>
  <c r="F472" i="1"/>
  <c r="Q470" i="1"/>
  <c r="P470" i="1"/>
  <c r="L470" i="1"/>
  <c r="K470" i="1"/>
  <c r="G470" i="1"/>
  <c r="F470" i="1"/>
  <c r="U467" i="1" s="1"/>
  <c r="E469" i="1"/>
  <c r="C469" i="1"/>
  <c r="T468" i="1"/>
  <c r="S468" i="1"/>
  <c r="R468" i="1"/>
  <c r="Q468" i="1"/>
  <c r="P468" i="1"/>
  <c r="N468" i="1"/>
  <c r="M468" i="1"/>
  <c r="L468" i="1"/>
  <c r="O468" i="1" s="1"/>
  <c r="K468" i="1"/>
  <c r="J468" i="1"/>
  <c r="I468" i="1"/>
  <c r="H468" i="1"/>
  <c r="G468" i="1"/>
  <c r="F468" i="1"/>
  <c r="Q466" i="1"/>
  <c r="P466" i="1"/>
  <c r="L466" i="1"/>
  <c r="K466" i="1"/>
  <c r="G466" i="1"/>
  <c r="F466" i="1"/>
  <c r="E465" i="1"/>
  <c r="C465" i="1"/>
  <c r="T464" i="1"/>
  <c r="S464" i="1"/>
  <c r="R464" i="1"/>
  <c r="Q464" i="1"/>
  <c r="P464" i="1"/>
  <c r="N464" i="1"/>
  <c r="M464" i="1"/>
  <c r="L464" i="1"/>
  <c r="O464" i="1" s="1"/>
  <c r="K464" i="1"/>
  <c r="I464" i="1"/>
  <c r="H464" i="1"/>
  <c r="G464" i="1"/>
  <c r="J464" i="1" s="1"/>
  <c r="F464" i="1"/>
  <c r="U463" i="1"/>
  <c r="Q462" i="1"/>
  <c r="P462" i="1"/>
  <c r="U459" i="1" s="1"/>
  <c r="L462" i="1"/>
  <c r="K462" i="1"/>
  <c r="G462" i="1"/>
  <c r="F462" i="1"/>
  <c r="E461" i="1"/>
  <c r="C461" i="1"/>
  <c r="S460" i="1"/>
  <c r="R460" i="1"/>
  <c r="Q460" i="1"/>
  <c r="T460" i="1" s="1"/>
  <c r="P460" i="1"/>
  <c r="N460" i="1"/>
  <c r="M460" i="1"/>
  <c r="L460" i="1"/>
  <c r="O460" i="1" s="1"/>
  <c r="K460" i="1"/>
  <c r="I460" i="1"/>
  <c r="H460" i="1"/>
  <c r="G460" i="1"/>
  <c r="J460" i="1" s="1"/>
  <c r="F460" i="1"/>
  <c r="Q458" i="1"/>
  <c r="P458" i="1"/>
  <c r="U455" i="1" s="1"/>
  <c r="L458" i="1"/>
  <c r="K458" i="1"/>
  <c r="G458" i="1"/>
  <c r="F458" i="1"/>
  <c r="E457" i="1"/>
  <c r="C457" i="1"/>
  <c r="S456" i="1"/>
  <c r="R456" i="1"/>
  <c r="Q456" i="1"/>
  <c r="T456" i="1" s="1"/>
  <c r="P456" i="1"/>
  <c r="N456" i="1"/>
  <c r="M456" i="1"/>
  <c r="L456" i="1"/>
  <c r="O456" i="1" s="1"/>
  <c r="K456" i="1"/>
  <c r="I456" i="1"/>
  <c r="H456" i="1"/>
  <c r="G456" i="1"/>
  <c r="J456" i="1" s="1"/>
  <c r="F456" i="1"/>
  <c r="Q454" i="1"/>
  <c r="P454" i="1"/>
  <c r="U451" i="1" s="1"/>
  <c r="L454" i="1"/>
  <c r="K454" i="1"/>
  <c r="G454" i="1"/>
  <c r="F454" i="1"/>
  <c r="E453" i="1"/>
  <c r="C453" i="1"/>
  <c r="S452" i="1"/>
  <c r="R452" i="1"/>
  <c r="Q452" i="1"/>
  <c r="T452" i="1" s="1"/>
  <c r="P452" i="1"/>
  <c r="O452" i="1"/>
  <c r="N452" i="1"/>
  <c r="M452" i="1"/>
  <c r="L452" i="1"/>
  <c r="K452" i="1"/>
  <c r="I452" i="1"/>
  <c r="H452" i="1"/>
  <c r="G452" i="1"/>
  <c r="J452" i="1" s="1"/>
  <c r="F452" i="1"/>
  <c r="Q450" i="1"/>
  <c r="P450" i="1"/>
  <c r="L450" i="1"/>
  <c r="K450" i="1"/>
  <c r="G450" i="1"/>
  <c r="F450" i="1"/>
  <c r="U447" i="1" s="1"/>
  <c r="E449" i="1"/>
  <c r="C449" i="1"/>
  <c r="S448" i="1"/>
  <c r="R448" i="1"/>
  <c r="Q448" i="1"/>
  <c r="T448" i="1" s="1"/>
  <c r="P448" i="1"/>
  <c r="O448" i="1"/>
  <c r="N448" i="1"/>
  <c r="M448" i="1"/>
  <c r="L448" i="1"/>
  <c r="K448" i="1"/>
  <c r="I448" i="1"/>
  <c r="H448" i="1"/>
  <c r="G448" i="1"/>
  <c r="J448" i="1" s="1"/>
  <c r="F448" i="1"/>
  <c r="Q446" i="1"/>
  <c r="P446" i="1"/>
  <c r="L446" i="1"/>
  <c r="K446" i="1"/>
  <c r="G446" i="1"/>
  <c r="F446" i="1"/>
  <c r="U443" i="1" s="1"/>
  <c r="E445" i="1"/>
  <c r="C445" i="1"/>
  <c r="S444" i="1"/>
  <c r="R444" i="1"/>
  <c r="Q444" i="1"/>
  <c r="T444" i="1" s="1"/>
  <c r="P444" i="1"/>
  <c r="N444" i="1"/>
  <c r="M444" i="1"/>
  <c r="L444" i="1"/>
  <c r="O444" i="1" s="1"/>
  <c r="K444" i="1"/>
  <c r="J444" i="1"/>
  <c r="I444" i="1"/>
  <c r="H444" i="1"/>
  <c r="G444" i="1"/>
  <c r="F444" i="1"/>
  <c r="Q442" i="1"/>
  <c r="P442" i="1"/>
  <c r="L442" i="1"/>
  <c r="K442" i="1"/>
  <c r="G442" i="1"/>
  <c r="F442" i="1"/>
  <c r="U439" i="1" s="1"/>
  <c r="E441" i="1"/>
  <c r="C441" i="1"/>
  <c r="S440" i="1"/>
  <c r="R440" i="1"/>
  <c r="Q440" i="1"/>
  <c r="T440" i="1" s="1"/>
  <c r="P440" i="1"/>
  <c r="N440" i="1"/>
  <c r="M440" i="1"/>
  <c r="L440" i="1"/>
  <c r="O440" i="1" s="1"/>
  <c r="K440" i="1"/>
  <c r="J440" i="1"/>
  <c r="I440" i="1"/>
  <c r="H440" i="1"/>
  <c r="G440" i="1"/>
  <c r="F440" i="1"/>
  <c r="Q438" i="1"/>
  <c r="P438" i="1"/>
  <c r="L438" i="1"/>
  <c r="K438" i="1"/>
  <c r="G438" i="1"/>
  <c r="F438" i="1"/>
  <c r="U435" i="1" s="1"/>
  <c r="E437" i="1"/>
  <c r="C437" i="1"/>
  <c r="T436" i="1"/>
  <c r="S436" i="1"/>
  <c r="R436" i="1"/>
  <c r="Q436" i="1"/>
  <c r="P436" i="1"/>
  <c r="O436" i="1"/>
  <c r="N436" i="1"/>
  <c r="M436" i="1"/>
  <c r="L436" i="1"/>
  <c r="K436" i="1"/>
  <c r="I436" i="1"/>
  <c r="H436" i="1"/>
  <c r="G436" i="1"/>
  <c r="J436" i="1" s="1"/>
  <c r="F436" i="1"/>
  <c r="Q434" i="1"/>
  <c r="P434" i="1"/>
  <c r="L434" i="1"/>
  <c r="K434" i="1"/>
  <c r="G434" i="1"/>
  <c r="F434" i="1"/>
  <c r="U431" i="1" s="1"/>
  <c r="E433" i="1"/>
  <c r="C433" i="1"/>
  <c r="T432" i="1"/>
  <c r="S432" i="1"/>
  <c r="R432" i="1"/>
  <c r="Q432" i="1"/>
  <c r="P432" i="1"/>
  <c r="O432" i="1"/>
  <c r="N432" i="1"/>
  <c r="M432" i="1"/>
  <c r="L432" i="1"/>
  <c r="K432" i="1"/>
  <c r="I432" i="1"/>
  <c r="H432" i="1"/>
  <c r="G432" i="1"/>
  <c r="J432" i="1" s="1"/>
  <c r="F432" i="1"/>
  <c r="Q430" i="1"/>
  <c r="P430" i="1"/>
  <c r="L430" i="1"/>
  <c r="K430" i="1"/>
  <c r="G430" i="1"/>
  <c r="F430" i="1"/>
  <c r="U427" i="1" s="1"/>
  <c r="E429" i="1"/>
  <c r="C429" i="1"/>
  <c r="T428" i="1"/>
  <c r="S428" i="1"/>
  <c r="R428" i="1"/>
  <c r="Q428" i="1"/>
  <c r="P428" i="1"/>
  <c r="O428" i="1"/>
  <c r="N428" i="1"/>
  <c r="M428" i="1"/>
  <c r="L428" i="1"/>
  <c r="K428" i="1"/>
  <c r="I428" i="1"/>
  <c r="H428" i="1"/>
  <c r="G428" i="1"/>
  <c r="J428" i="1" s="1"/>
  <c r="F428" i="1"/>
  <c r="Q426" i="1"/>
  <c r="P426" i="1"/>
  <c r="L426" i="1"/>
  <c r="K426" i="1"/>
  <c r="G426" i="1"/>
  <c r="F426" i="1"/>
  <c r="U423" i="1" s="1"/>
  <c r="E425" i="1"/>
  <c r="C425" i="1"/>
  <c r="T424" i="1"/>
  <c r="S424" i="1"/>
  <c r="R424" i="1"/>
  <c r="Q424" i="1"/>
  <c r="P424" i="1"/>
  <c r="N424" i="1"/>
  <c r="M424" i="1"/>
  <c r="L424" i="1"/>
  <c r="O424" i="1" s="1"/>
  <c r="K424" i="1"/>
  <c r="J424" i="1"/>
  <c r="I424" i="1"/>
  <c r="H424" i="1"/>
  <c r="G424" i="1"/>
  <c r="F424" i="1"/>
  <c r="Q422" i="1"/>
  <c r="P422" i="1"/>
  <c r="L422" i="1"/>
  <c r="K422" i="1"/>
  <c r="G422" i="1"/>
  <c r="F422" i="1"/>
  <c r="U419" i="1" s="1"/>
  <c r="E421" i="1"/>
  <c r="C421" i="1"/>
  <c r="T420" i="1"/>
  <c r="S420" i="1"/>
  <c r="R420" i="1"/>
  <c r="Q420" i="1"/>
  <c r="P420" i="1"/>
  <c r="N420" i="1"/>
  <c r="M420" i="1"/>
  <c r="L420" i="1"/>
  <c r="O420" i="1" s="1"/>
  <c r="K420" i="1"/>
  <c r="J420" i="1"/>
  <c r="I420" i="1"/>
  <c r="H420" i="1"/>
  <c r="G420" i="1"/>
  <c r="F420" i="1"/>
  <c r="Q418" i="1"/>
  <c r="P418" i="1"/>
  <c r="L418" i="1"/>
  <c r="K418" i="1"/>
  <c r="G418" i="1"/>
  <c r="F418" i="1"/>
  <c r="U415" i="1" s="1"/>
  <c r="E417" i="1"/>
  <c r="C417" i="1"/>
  <c r="S416" i="1"/>
  <c r="R416" i="1"/>
  <c r="Q416" i="1"/>
  <c r="T416" i="1" s="1"/>
  <c r="P416" i="1"/>
  <c r="N416" i="1"/>
  <c r="M416" i="1"/>
  <c r="L416" i="1"/>
  <c r="O416" i="1" s="1"/>
  <c r="K416" i="1"/>
  <c r="J416" i="1"/>
  <c r="I416" i="1"/>
  <c r="H416" i="1"/>
  <c r="G416" i="1"/>
  <c r="F416" i="1"/>
  <c r="Q414" i="1"/>
  <c r="P414" i="1"/>
  <c r="U411" i="1" s="1"/>
  <c r="L414" i="1"/>
  <c r="K414" i="1"/>
  <c r="G414" i="1"/>
  <c r="F414" i="1"/>
  <c r="E413" i="1"/>
  <c r="C413" i="1"/>
  <c r="S412" i="1"/>
  <c r="R412" i="1"/>
  <c r="Q412" i="1"/>
  <c r="T412" i="1" s="1"/>
  <c r="P412" i="1"/>
  <c r="N412" i="1"/>
  <c r="M412" i="1"/>
  <c r="L412" i="1"/>
  <c r="O412" i="1" s="1"/>
  <c r="K412" i="1"/>
  <c r="I412" i="1"/>
  <c r="H412" i="1"/>
  <c r="G412" i="1"/>
  <c r="J412" i="1" s="1"/>
  <c r="F412" i="1"/>
  <c r="Q410" i="1"/>
  <c r="P410" i="1"/>
  <c r="U407" i="1" s="1"/>
  <c r="L410" i="1"/>
  <c r="K410" i="1"/>
  <c r="G410" i="1"/>
  <c r="F410" i="1"/>
  <c r="E409" i="1"/>
  <c r="C409" i="1"/>
  <c r="S408" i="1"/>
  <c r="R408" i="1"/>
  <c r="Q408" i="1"/>
  <c r="T408" i="1" s="1"/>
  <c r="P408" i="1"/>
  <c r="N408" i="1"/>
  <c r="M408" i="1"/>
  <c r="L408" i="1"/>
  <c r="O408" i="1" s="1"/>
  <c r="K408" i="1"/>
  <c r="I408" i="1"/>
  <c r="H408" i="1"/>
  <c r="G408" i="1"/>
  <c r="J408" i="1" s="1"/>
  <c r="F408" i="1"/>
  <c r="Q406" i="1"/>
  <c r="P406" i="1"/>
  <c r="L406" i="1"/>
  <c r="K406" i="1"/>
  <c r="G406" i="1"/>
  <c r="F406" i="1"/>
  <c r="U403" i="1" s="1"/>
  <c r="E405" i="1"/>
  <c r="C405" i="1"/>
  <c r="S404" i="1"/>
  <c r="R404" i="1"/>
  <c r="Q404" i="1"/>
  <c r="T404" i="1" s="1"/>
  <c r="P404" i="1"/>
  <c r="O404" i="1"/>
  <c r="N404" i="1"/>
  <c r="M404" i="1"/>
  <c r="L404" i="1"/>
  <c r="K404" i="1"/>
  <c r="I404" i="1"/>
  <c r="H404" i="1"/>
  <c r="G404" i="1"/>
  <c r="J404" i="1" s="1"/>
  <c r="F404" i="1"/>
  <c r="Q402" i="1"/>
  <c r="P402" i="1"/>
  <c r="L402" i="1"/>
  <c r="K402" i="1"/>
  <c r="G402" i="1"/>
  <c r="F402" i="1"/>
  <c r="U399" i="1" s="1"/>
  <c r="E401" i="1"/>
  <c r="C401" i="1"/>
  <c r="S400" i="1"/>
  <c r="R400" i="1"/>
  <c r="Q400" i="1"/>
  <c r="T400" i="1" s="1"/>
  <c r="P400" i="1"/>
  <c r="O400" i="1"/>
  <c r="N400" i="1"/>
  <c r="M400" i="1"/>
  <c r="L400" i="1"/>
  <c r="K400" i="1"/>
  <c r="J400" i="1"/>
  <c r="I400" i="1"/>
  <c r="H400" i="1"/>
  <c r="G400" i="1"/>
  <c r="F400" i="1"/>
  <c r="Q398" i="1"/>
  <c r="P398" i="1"/>
  <c r="L398" i="1"/>
  <c r="K398" i="1"/>
  <c r="G398" i="1"/>
  <c r="F398" i="1"/>
  <c r="U395" i="1" s="1"/>
  <c r="E397" i="1"/>
  <c r="C397" i="1"/>
  <c r="S396" i="1"/>
  <c r="R396" i="1"/>
  <c r="Q396" i="1"/>
  <c r="T396" i="1" s="1"/>
  <c r="P396" i="1"/>
  <c r="N396" i="1"/>
  <c r="M396" i="1"/>
  <c r="L396" i="1"/>
  <c r="O396" i="1" s="1"/>
  <c r="K396" i="1"/>
  <c r="J396" i="1"/>
  <c r="I396" i="1"/>
  <c r="H396" i="1"/>
  <c r="G396" i="1"/>
  <c r="F396" i="1"/>
  <c r="Q394" i="1"/>
  <c r="P394" i="1"/>
  <c r="L394" i="1"/>
  <c r="K394" i="1"/>
  <c r="G394" i="1"/>
  <c r="F394" i="1"/>
  <c r="U391" i="1" s="1"/>
  <c r="E393" i="1"/>
  <c r="C393" i="1"/>
  <c r="S392" i="1"/>
  <c r="R392" i="1"/>
  <c r="Q392" i="1"/>
  <c r="T392" i="1" s="1"/>
  <c r="P392" i="1"/>
  <c r="O392" i="1"/>
  <c r="N392" i="1"/>
  <c r="M392" i="1"/>
  <c r="L392" i="1"/>
  <c r="K392" i="1"/>
  <c r="I392" i="1"/>
  <c r="H392" i="1"/>
  <c r="G392" i="1"/>
  <c r="J392" i="1" s="1"/>
  <c r="F392" i="1"/>
  <c r="Q390" i="1"/>
  <c r="P390" i="1"/>
  <c r="L390" i="1"/>
  <c r="K390" i="1"/>
  <c r="G390" i="1"/>
  <c r="F390" i="1"/>
  <c r="U387" i="1" s="1"/>
  <c r="E389" i="1"/>
  <c r="C389" i="1"/>
  <c r="S388" i="1"/>
  <c r="R388" i="1"/>
  <c r="Q388" i="1"/>
  <c r="T388" i="1" s="1"/>
  <c r="P388" i="1"/>
  <c r="O388" i="1"/>
  <c r="N388" i="1"/>
  <c r="M388" i="1"/>
  <c r="L388" i="1"/>
  <c r="K388" i="1"/>
  <c r="I388" i="1"/>
  <c r="H388" i="1"/>
  <c r="G388" i="1"/>
  <c r="J388" i="1" s="1"/>
  <c r="F388" i="1"/>
  <c r="Q386" i="1"/>
  <c r="P386" i="1"/>
  <c r="L386" i="1"/>
  <c r="K386" i="1"/>
  <c r="G386" i="1"/>
  <c r="F386" i="1"/>
  <c r="U383" i="1" s="1"/>
  <c r="E385" i="1"/>
  <c r="C385" i="1"/>
  <c r="T384" i="1"/>
  <c r="S384" i="1"/>
  <c r="R384" i="1"/>
  <c r="Q384" i="1"/>
  <c r="P384" i="1"/>
  <c r="O384" i="1"/>
  <c r="N384" i="1"/>
  <c r="M384" i="1"/>
  <c r="L384" i="1"/>
  <c r="K384" i="1"/>
  <c r="I384" i="1"/>
  <c r="H384" i="1"/>
  <c r="G384" i="1"/>
  <c r="J384" i="1" s="1"/>
  <c r="F384" i="1"/>
  <c r="Q382" i="1"/>
  <c r="P382" i="1"/>
  <c r="L382" i="1"/>
  <c r="K382" i="1"/>
  <c r="G382" i="1"/>
  <c r="F382" i="1"/>
  <c r="U379" i="1" s="1"/>
  <c r="E381" i="1"/>
  <c r="C381" i="1"/>
  <c r="T380" i="1"/>
  <c r="S380" i="1"/>
  <c r="R380" i="1"/>
  <c r="Q380" i="1"/>
  <c r="P380" i="1"/>
  <c r="N380" i="1"/>
  <c r="M380" i="1"/>
  <c r="L380" i="1"/>
  <c r="O380" i="1" s="1"/>
  <c r="K380" i="1"/>
  <c r="I380" i="1"/>
  <c r="H380" i="1"/>
  <c r="G380" i="1"/>
  <c r="J380" i="1" s="1"/>
  <c r="F380" i="1"/>
  <c r="Q378" i="1"/>
  <c r="P378" i="1"/>
  <c r="L378" i="1"/>
  <c r="K378" i="1"/>
  <c r="G378" i="1"/>
  <c r="F378" i="1"/>
  <c r="U375" i="1" s="1"/>
  <c r="E377" i="1"/>
  <c r="C377" i="1"/>
  <c r="T376" i="1"/>
  <c r="S376" i="1"/>
  <c r="R376" i="1"/>
  <c r="Q376" i="1"/>
  <c r="P376" i="1"/>
  <c r="N376" i="1"/>
  <c r="M376" i="1"/>
  <c r="L376" i="1"/>
  <c r="O376" i="1" s="1"/>
  <c r="K376" i="1"/>
  <c r="I376" i="1"/>
  <c r="H376" i="1"/>
  <c r="G376" i="1"/>
  <c r="J376" i="1" s="1"/>
  <c r="F376" i="1"/>
  <c r="Q374" i="1"/>
  <c r="P374" i="1"/>
  <c r="L374" i="1"/>
  <c r="K374" i="1"/>
  <c r="G374" i="1"/>
  <c r="F374" i="1"/>
  <c r="U371" i="1" s="1"/>
  <c r="E373" i="1"/>
  <c r="C373" i="1"/>
  <c r="S372" i="1"/>
  <c r="R372" i="1"/>
  <c r="Q372" i="1"/>
  <c r="T372" i="1" s="1"/>
  <c r="P372" i="1"/>
  <c r="N372" i="1"/>
  <c r="M372" i="1"/>
  <c r="L372" i="1"/>
  <c r="O372" i="1" s="1"/>
  <c r="K372" i="1"/>
  <c r="I372" i="1"/>
  <c r="H372" i="1"/>
  <c r="G372" i="1"/>
  <c r="J372" i="1" s="1"/>
  <c r="F372" i="1"/>
  <c r="Q370" i="1"/>
  <c r="P370" i="1"/>
  <c r="U367" i="1" s="1"/>
  <c r="L370" i="1"/>
  <c r="K370" i="1"/>
  <c r="G370" i="1"/>
  <c r="F370" i="1"/>
  <c r="E369" i="1"/>
  <c r="C369" i="1"/>
  <c r="S368" i="1"/>
  <c r="R368" i="1"/>
  <c r="Q368" i="1"/>
  <c r="T368" i="1" s="1"/>
  <c r="P368" i="1"/>
  <c r="N368" i="1"/>
  <c r="M368" i="1"/>
  <c r="L368" i="1"/>
  <c r="O368" i="1" s="1"/>
  <c r="K368" i="1"/>
  <c r="J368" i="1"/>
  <c r="I368" i="1"/>
  <c r="H368" i="1"/>
  <c r="G368" i="1"/>
  <c r="F368" i="1"/>
  <c r="Q366" i="1"/>
  <c r="P366" i="1"/>
  <c r="U363" i="1" s="1"/>
  <c r="L366" i="1"/>
  <c r="K366" i="1"/>
  <c r="G366" i="1"/>
  <c r="F366" i="1"/>
  <c r="E365" i="1"/>
  <c r="C365" i="1"/>
  <c r="S364" i="1"/>
  <c r="R364" i="1"/>
  <c r="Q364" i="1"/>
  <c r="T364" i="1" s="1"/>
  <c r="P364" i="1"/>
  <c r="N364" i="1"/>
  <c r="M364" i="1"/>
  <c r="L364" i="1"/>
  <c r="O364" i="1" s="1"/>
  <c r="K364" i="1"/>
  <c r="J364" i="1"/>
  <c r="I364" i="1"/>
  <c r="H364" i="1"/>
  <c r="G364" i="1"/>
  <c r="F364" i="1"/>
  <c r="Q362" i="1"/>
  <c r="P362" i="1"/>
  <c r="L362" i="1"/>
  <c r="K362" i="1"/>
  <c r="G362" i="1"/>
  <c r="F362" i="1"/>
  <c r="U359" i="1" s="1"/>
  <c r="E361" i="1"/>
  <c r="C361" i="1"/>
  <c r="T360" i="1"/>
  <c r="S360" i="1"/>
  <c r="R360" i="1"/>
  <c r="Q360" i="1"/>
  <c r="P360" i="1"/>
  <c r="N360" i="1"/>
  <c r="M360" i="1"/>
  <c r="L360" i="1"/>
  <c r="O360" i="1" s="1"/>
  <c r="K360" i="1"/>
  <c r="I360" i="1"/>
  <c r="H360" i="1"/>
  <c r="G360" i="1"/>
  <c r="J360" i="1" s="1"/>
  <c r="F360" i="1"/>
  <c r="Q358" i="1"/>
  <c r="P358" i="1"/>
  <c r="L358" i="1"/>
  <c r="K358" i="1"/>
  <c r="G358" i="1"/>
  <c r="F358" i="1"/>
  <c r="U355" i="1" s="1"/>
  <c r="E357" i="1"/>
  <c r="C357" i="1"/>
  <c r="S356" i="1"/>
  <c r="R356" i="1"/>
  <c r="Q356" i="1"/>
  <c r="T356" i="1" s="1"/>
  <c r="P356" i="1"/>
  <c r="N356" i="1"/>
  <c r="M356" i="1"/>
  <c r="L356" i="1"/>
  <c r="O356" i="1" s="1"/>
  <c r="K356" i="1"/>
  <c r="J356" i="1"/>
  <c r="I356" i="1"/>
  <c r="H356" i="1"/>
  <c r="G356" i="1"/>
  <c r="F356" i="1"/>
  <c r="Q354" i="1"/>
  <c r="P354" i="1"/>
  <c r="L354" i="1"/>
  <c r="K354" i="1"/>
  <c r="G354" i="1"/>
  <c r="F354" i="1"/>
  <c r="U351" i="1" s="1"/>
  <c r="E353" i="1"/>
  <c r="C353" i="1"/>
  <c r="S352" i="1"/>
  <c r="R352" i="1"/>
  <c r="Q352" i="1"/>
  <c r="T352" i="1" s="1"/>
  <c r="P352" i="1"/>
  <c r="O352" i="1"/>
  <c r="N352" i="1"/>
  <c r="M352" i="1"/>
  <c r="L352" i="1"/>
  <c r="K352" i="1"/>
  <c r="J352" i="1"/>
  <c r="I352" i="1"/>
  <c r="H352" i="1"/>
  <c r="G352" i="1"/>
  <c r="F352" i="1"/>
  <c r="Q350" i="1"/>
  <c r="P350" i="1"/>
  <c r="L350" i="1"/>
  <c r="K350" i="1"/>
  <c r="G350" i="1"/>
  <c r="F350" i="1"/>
  <c r="U347" i="1" s="1"/>
  <c r="E349" i="1"/>
  <c r="C349" i="1"/>
  <c r="S348" i="1"/>
  <c r="R348" i="1"/>
  <c r="Q348" i="1"/>
  <c r="T348" i="1" s="1"/>
  <c r="P348" i="1"/>
  <c r="O348" i="1"/>
  <c r="N348" i="1"/>
  <c r="M348" i="1"/>
  <c r="L348" i="1"/>
  <c r="K348" i="1"/>
  <c r="I348" i="1"/>
  <c r="H348" i="1"/>
  <c r="G348" i="1"/>
  <c r="J348" i="1" s="1"/>
  <c r="F348" i="1"/>
  <c r="Q346" i="1"/>
  <c r="P346" i="1"/>
  <c r="U343" i="1" s="1"/>
  <c r="L346" i="1"/>
  <c r="K346" i="1"/>
  <c r="G346" i="1"/>
  <c r="F346" i="1"/>
  <c r="E345" i="1"/>
  <c r="C345" i="1"/>
  <c r="S344" i="1"/>
  <c r="R344" i="1"/>
  <c r="Q344" i="1"/>
  <c r="T344" i="1" s="1"/>
  <c r="P344" i="1"/>
  <c r="O344" i="1"/>
  <c r="N344" i="1"/>
  <c r="M344" i="1"/>
  <c r="L344" i="1"/>
  <c r="K344" i="1"/>
  <c r="I344" i="1"/>
  <c r="H344" i="1"/>
  <c r="G344" i="1"/>
  <c r="J344" i="1" s="1"/>
  <c r="F344" i="1"/>
  <c r="Q342" i="1"/>
  <c r="P342" i="1"/>
  <c r="U339" i="1" s="1"/>
  <c r="L342" i="1"/>
  <c r="K342" i="1"/>
  <c r="G342" i="1"/>
  <c r="F342" i="1"/>
  <c r="E341" i="1"/>
  <c r="C341" i="1"/>
  <c r="S340" i="1"/>
  <c r="R340" i="1"/>
  <c r="Q340" i="1"/>
  <c r="T340" i="1" s="1"/>
  <c r="P340" i="1"/>
  <c r="O340" i="1"/>
  <c r="N340" i="1"/>
  <c r="M340" i="1"/>
  <c r="L340" i="1"/>
  <c r="K340" i="1"/>
  <c r="I340" i="1"/>
  <c r="H340" i="1"/>
  <c r="G340" i="1"/>
  <c r="J340" i="1" s="1"/>
  <c r="F340" i="1"/>
  <c r="Q338" i="1"/>
  <c r="P338" i="1"/>
  <c r="L338" i="1"/>
  <c r="K338" i="1"/>
  <c r="G338" i="1"/>
  <c r="F338" i="1"/>
  <c r="E337" i="1"/>
  <c r="C337" i="1"/>
  <c r="T336" i="1"/>
  <c r="S336" i="1"/>
  <c r="R336" i="1"/>
  <c r="Q336" i="1"/>
  <c r="P336" i="1"/>
  <c r="N336" i="1"/>
  <c r="M336" i="1"/>
  <c r="L336" i="1"/>
  <c r="O336" i="1" s="1"/>
  <c r="K336" i="1"/>
  <c r="I336" i="1"/>
  <c r="H336" i="1"/>
  <c r="G336" i="1"/>
  <c r="J336" i="1" s="1"/>
  <c r="F336" i="1"/>
  <c r="U335" i="1"/>
  <c r="Q334" i="1"/>
  <c r="P334" i="1"/>
  <c r="L334" i="1"/>
  <c r="K334" i="1"/>
  <c r="G334" i="1"/>
  <c r="F334" i="1"/>
  <c r="U331" i="1" s="1"/>
  <c r="E333" i="1"/>
  <c r="C333" i="1"/>
  <c r="T332" i="1"/>
  <c r="S332" i="1"/>
  <c r="R332" i="1"/>
  <c r="Q332" i="1"/>
  <c r="P332" i="1"/>
  <c r="N332" i="1"/>
  <c r="M332" i="1"/>
  <c r="L332" i="1"/>
  <c r="O332" i="1" s="1"/>
  <c r="K332" i="1"/>
  <c r="I332" i="1"/>
  <c r="H332" i="1"/>
  <c r="G332" i="1"/>
  <c r="J332" i="1" s="1"/>
  <c r="F332" i="1"/>
  <c r="Q330" i="1"/>
  <c r="P330" i="1"/>
  <c r="L330" i="1"/>
  <c r="K330" i="1"/>
  <c r="G330" i="1"/>
  <c r="F330" i="1"/>
  <c r="U327" i="1" s="1"/>
  <c r="E329" i="1"/>
  <c r="C329" i="1"/>
  <c r="S328" i="1"/>
  <c r="R328" i="1"/>
  <c r="Q328" i="1"/>
  <c r="T328" i="1" s="1"/>
  <c r="P328" i="1"/>
  <c r="N328" i="1"/>
  <c r="M328" i="1"/>
  <c r="L328" i="1"/>
  <c r="O328" i="1" s="1"/>
  <c r="K328" i="1"/>
  <c r="I328" i="1"/>
  <c r="H328" i="1"/>
  <c r="G328" i="1"/>
  <c r="J328" i="1" s="1"/>
  <c r="F328" i="1"/>
  <c r="Q326" i="1"/>
  <c r="P326" i="1"/>
  <c r="U323" i="1" s="1"/>
  <c r="L326" i="1"/>
  <c r="K326" i="1"/>
  <c r="G326" i="1"/>
  <c r="F326" i="1"/>
  <c r="E325" i="1"/>
  <c r="C325" i="1"/>
  <c r="S324" i="1"/>
  <c r="R324" i="1"/>
  <c r="Q324" i="1"/>
  <c r="T324" i="1" s="1"/>
  <c r="P324" i="1"/>
  <c r="N324" i="1"/>
  <c r="M324" i="1"/>
  <c r="L324" i="1"/>
  <c r="O324" i="1" s="1"/>
  <c r="K324" i="1"/>
  <c r="I324" i="1"/>
  <c r="H324" i="1"/>
  <c r="G324" i="1"/>
  <c r="J324" i="1" s="1"/>
  <c r="F324" i="1"/>
  <c r="Q322" i="1"/>
  <c r="P322" i="1"/>
  <c r="U319" i="1" s="1"/>
  <c r="L322" i="1"/>
  <c r="K322" i="1"/>
  <c r="G322" i="1"/>
  <c r="F322" i="1"/>
  <c r="E321" i="1"/>
  <c r="C321" i="1"/>
  <c r="S320" i="1"/>
  <c r="R320" i="1"/>
  <c r="Q320" i="1"/>
  <c r="T320" i="1" s="1"/>
  <c r="P320" i="1"/>
  <c r="N320" i="1"/>
  <c r="M320" i="1"/>
  <c r="L320" i="1"/>
  <c r="O320" i="1" s="1"/>
  <c r="K320" i="1"/>
  <c r="J320" i="1"/>
  <c r="I320" i="1"/>
  <c r="H320" i="1"/>
  <c r="G320" i="1"/>
  <c r="F320" i="1"/>
  <c r="Q318" i="1"/>
  <c r="P318" i="1"/>
  <c r="L318" i="1"/>
  <c r="K318" i="1"/>
  <c r="G318" i="1"/>
  <c r="F318" i="1"/>
  <c r="U315" i="1" s="1"/>
  <c r="E317" i="1"/>
  <c r="C317" i="1"/>
  <c r="T316" i="1"/>
  <c r="S316" i="1"/>
  <c r="R316" i="1"/>
  <c r="Q316" i="1"/>
  <c r="P316" i="1"/>
  <c r="N316" i="1"/>
  <c r="M316" i="1"/>
  <c r="L316" i="1"/>
  <c r="O316" i="1" s="1"/>
  <c r="K316" i="1"/>
  <c r="J316" i="1"/>
  <c r="I316" i="1"/>
  <c r="H316" i="1"/>
  <c r="G316" i="1"/>
  <c r="F316" i="1"/>
  <c r="Q314" i="1"/>
  <c r="P314" i="1"/>
  <c r="L314" i="1"/>
  <c r="K314" i="1"/>
  <c r="G314" i="1"/>
  <c r="F314" i="1"/>
  <c r="U311" i="1" s="1"/>
  <c r="E313" i="1"/>
  <c r="C313" i="1"/>
  <c r="S312" i="1"/>
  <c r="R312" i="1"/>
  <c r="Q312" i="1"/>
  <c r="T312" i="1" s="1"/>
  <c r="P312" i="1"/>
  <c r="N312" i="1"/>
  <c r="M312" i="1"/>
  <c r="L312" i="1"/>
  <c r="O312" i="1" s="1"/>
  <c r="K312" i="1"/>
  <c r="J312" i="1"/>
  <c r="I312" i="1"/>
  <c r="H312" i="1"/>
  <c r="G312" i="1"/>
  <c r="F312" i="1"/>
  <c r="Q310" i="1"/>
  <c r="P310" i="1"/>
  <c r="L310" i="1"/>
  <c r="K310" i="1"/>
  <c r="G310" i="1"/>
  <c r="F310" i="1"/>
  <c r="U307" i="1" s="1"/>
  <c r="E309" i="1"/>
  <c r="C309" i="1"/>
  <c r="S308" i="1"/>
  <c r="R308" i="1"/>
  <c r="Q308" i="1"/>
  <c r="T308" i="1" s="1"/>
  <c r="P308" i="1"/>
  <c r="N308" i="1"/>
  <c r="M308" i="1"/>
  <c r="L308" i="1"/>
  <c r="O308" i="1" s="1"/>
  <c r="K308" i="1"/>
  <c r="J308" i="1"/>
  <c r="I308" i="1"/>
  <c r="H308" i="1"/>
  <c r="G308" i="1"/>
  <c r="F308" i="1"/>
  <c r="Q306" i="1"/>
  <c r="P306" i="1"/>
  <c r="L306" i="1"/>
  <c r="K306" i="1"/>
  <c r="G306" i="1"/>
  <c r="F306" i="1"/>
  <c r="U303" i="1" s="1"/>
  <c r="E305" i="1"/>
  <c r="C305" i="1"/>
  <c r="S304" i="1"/>
  <c r="R304" i="1"/>
  <c r="Q304" i="1"/>
  <c r="T304" i="1" s="1"/>
  <c r="P304" i="1"/>
  <c r="O304" i="1"/>
  <c r="N304" i="1"/>
  <c r="M304" i="1"/>
  <c r="L304" i="1"/>
  <c r="K304" i="1"/>
  <c r="I304" i="1"/>
  <c r="H304" i="1"/>
  <c r="G304" i="1"/>
  <c r="J304" i="1" s="1"/>
  <c r="F304" i="1"/>
  <c r="Q302" i="1"/>
  <c r="P302" i="1"/>
  <c r="L302" i="1"/>
  <c r="K302" i="1"/>
  <c r="G302" i="1"/>
  <c r="F302" i="1"/>
  <c r="U299" i="1" s="1"/>
  <c r="E301" i="1"/>
  <c r="C301" i="1"/>
  <c r="S300" i="1"/>
  <c r="R300" i="1"/>
  <c r="Q300" i="1"/>
  <c r="T300" i="1" s="1"/>
  <c r="P300" i="1"/>
  <c r="O300" i="1"/>
  <c r="N300" i="1"/>
  <c r="M300" i="1"/>
  <c r="L300" i="1"/>
  <c r="K300" i="1"/>
  <c r="I300" i="1"/>
  <c r="H300" i="1"/>
  <c r="G300" i="1"/>
  <c r="J300" i="1" s="1"/>
  <c r="F300" i="1"/>
  <c r="Q298" i="1"/>
  <c r="P298" i="1"/>
  <c r="U295" i="1" s="1"/>
  <c r="L298" i="1"/>
  <c r="K298" i="1"/>
  <c r="G298" i="1"/>
  <c r="F298" i="1"/>
  <c r="E297" i="1"/>
  <c r="C297" i="1"/>
  <c r="S296" i="1"/>
  <c r="R296" i="1"/>
  <c r="Q296" i="1"/>
  <c r="T296" i="1" s="1"/>
  <c r="P296" i="1"/>
  <c r="O296" i="1"/>
  <c r="N296" i="1"/>
  <c r="M296" i="1"/>
  <c r="L296" i="1"/>
  <c r="K296" i="1"/>
  <c r="I296" i="1"/>
  <c r="H296" i="1"/>
  <c r="G296" i="1"/>
  <c r="J296" i="1" s="1"/>
  <c r="F296" i="1"/>
  <c r="Q294" i="1"/>
  <c r="P294" i="1"/>
  <c r="L294" i="1"/>
  <c r="K294" i="1"/>
  <c r="G294" i="1"/>
  <c r="F294" i="1"/>
  <c r="U291" i="1" s="1"/>
  <c r="E293" i="1"/>
  <c r="C293" i="1"/>
  <c r="T292" i="1"/>
  <c r="S292" i="1"/>
  <c r="R292" i="1"/>
  <c r="Q292" i="1"/>
  <c r="P292" i="1"/>
  <c r="N292" i="1"/>
  <c r="M292" i="1"/>
  <c r="L292" i="1"/>
  <c r="O292" i="1" s="1"/>
  <c r="K292" i="1"/>
  <c r="I292" i="1"/>
  <c r="H292" i="1"/>
  <c r="G292" i="1"/>
  <c r="J292" i="1" s="1"/>
  <c r="F292" i="1"/>
  <c r="Q290" i="1"/>
  <c r="P290" i="1"/>
  <c r="L290" i="1"/>
  <c r="K290" i="1"/>
  <c r="G290" i="1"/>
  <c r="F290" i="1"/>
  <c r="U287" i="1" s="1"/>
  <c r="E289" i="1"/>
  <c r="C289" i="1"/>
  <c r="T288" i="1"/>
  <c r="S288" i="1"/>
  <c r="R288" i="1"/>
  <c r="Q288" i="1"/>
  <c r="P288" i="1"/>
  <c r="N288" i="1"/>
  <c r="M288" i="1"/>
  <c r="L288" i="1"/>
  <c r="O288" i="1" s="1"/>
  <c r="K288" i="1"/>
  <c r="I288" i="1"/>
  <c r="H288" i="1"/>
  <c r="G288" i="1"/>
  <c r="J288" i="1" s="1"/>
  <c r="F288" i="1"/>
  <c r="Q286" i="1"/>
  <c r="P286" i="1"/>
  <c r="L286" i="1"/>
  <c r="K286" i="1"/>
  <c r="G286" i="1"/>
  <c r="F286" i="1"/>
  <c r="U283" i="1" s="1"/>
  <c r="E285" i="1"/>
  <c r="C285" i="1"/>
  <c r="S284" i="1"/>
  <c r="R284" i="1"/>
  <c r="Q284" i="1"/>
  <c r="T284" i="1" s="1"/>
  <c r="P284" i="1"/>
  <c r="N284" i="1"/>
  <c r="M284" i="1"/>
  <c r="L284" i="1"/>
  <c r="O284" i="1" s="1"/>
  <c r="K284" i="1"/>
  <c r="I284" i="1"/>
  <c r="H284" i="1"/>
  <c r="G284" i="1"/>
  <c r="J284" i="1" s="1"/>
  <c r="F284" i="1"/>
  <c r="Q282" i="1"/>
  <c r="P282" i="1"/>
  <c r="U279" i="1" s="1"/>
  <c r="L282" i="1"/>
  <c r="K282" i="1"/>
  <c r="G282" i="1"/>
  <c r="F282" i="1"/>
  <c r="E281" i="1"/>
  <c r="C281" i="1"/>
  <c r="S280" i="1"/>
  <c r="R280" i="1"/>
  <c r="Q280" i="1"/>
  <c r="T280" i="1" s="1"/>
  <c r="P280" i="1"/>
  <c r="N280" i="1"/>
  <c r="M280" i="1"/>
  <c r="L280" i="1"/>
  <c r="O280" i="1" s="1"/>
  <c r="K280" i="1"/>
  <c r="I280" i="1"/>
  <c r="H280" i="1"/>
  <c r="G280" i="1"/>
  <c r="J280" i="1" s="1"/>
  <c r="F280" i="1"/>
  <c r="Q278" i="1"/>
  <c r="P278" i="1"/>
  <c r="L278" i="1"/>
  <c r="K278" i="1"/>
  <c r="G278" i="1"/>
  <c r="F278" i="1"/>
  <c r="E277" i="1"/>
  <c r="C277" i="1"/>
  <c r="S276" i="1"/>
  <c r="R276" i="1"/>
  <c r="Q276" i="1"/>
  <c r="T276" i="1" s="1"/>
  <c r="P276" i="1"/>
  <c r="N276" i="1"/>
  <c r="M276" i="1"/>
  <c r="L276" i="1"/>
  <c r="O276" i="1" s="1"/>
  <c r="K276" i="1"/>
  <c r="I276" i="1"/>
  <c r="H276" i="1"/>
  <c r="G276" i="1"/>
  <c r="J276" i="1" s="1"/>
  <c r="F276" i="1"/>
  <c r="U275" i="1"/>
  <c r="Q274" i="1"/>
  <c r="P274" i="1"/>
  <c r="L274" i="1"/>
  <c r="K274" i="1"/>
  <c r="G274" i="1"/>
  <c r="F274" i="1"/>
  <c r="U271" i="1" s="1"/>
  <c r="E273" i="1"/>
  <c r="C273" i="1"/>
  <c r="T272" i="1"/>
  <c r="S272" i="1"/>
  <c r="R272" i="1"/>
  <c r="Q272" i="1"/>
  <c r="P272" i="1"/>
  <c r="N272" i="1"/>
  <c r="M272" i="1"/>
  <c r="L272" i="1"/>
  <c r="O272" i="1" s="1"/>
  <c r="K272" i="1"/>
  <c r="I272" i="1"/>
  <c r="H272" i="1"/>
  <c r="G272" i="1"/>
  <c r="J272" i="1" s="1"/>
  <c r="F272" i="1"/>
  <c r="Q270" i="1"/>
  <c r="P270" i="1"/>
  <c r="L270" i="1"/>
  <c r="K270" i="1"/>
  <c r="G270" i="1"/>
  <c r="F270" i="1"/>
  <c r="U267" i="1" s="1"/>
  <c r="E269" i="1"/>
  <c r="C269" i="1"/>
  <c r="T268" i="1"/>
  <c r="S268" i="1"/>
  <c r="R268" i="1"/>
  <c r="Q268" i="1"/>
  <c r="P268" i="1"/>
  <c r="N268" i="1"/>
  <c r="M268" i="1"/>
  <c r="L268" i="1"/>
  <c r="O268" i="1" s="1"/>
  <c r="K268" i="1"/>
  <c r="J268" i="1"/>
  <c r="I268" i="1"/>
  <c r="H268" i="1"/>
  <c r="G268" i="1"/>
  <c r="F268" i="1"/>
  <c r="Q266" i="1"/>
  <c r="P266" i="1"/>
  <c r="L266" i="1"/>
  <c r="K266" i="1"/>
  <c r="G266" i="1"/>
  <c r="F266" i="1"/>
  <c r="U263" i="1" s="1"/>
  <c r="E265" i="1"/>
  <c r="C265" i="1"/>
  <c r="S264" i="1"/>
  <c r="R264" i="1"/>
  <c r="Q264" i="1"/>
  <c r="T264" i="1" s="1"/>
  <c r="P264" i="1"/>
  <c r="N264" i="1"/>
  <c r="M264" i="1"/>
  <c r="L264" i="1"/>
  <c r="O264" i="1" s="1"/>
  <c r="K264" i="1"/>
  <c r="J264" i="1"/>
  <c r="I264" i="1"/>
  <c r="H264" i="1"/>
  <c r="G264" i="1"/>
  <c r="F264" i="1"/>
  <c r="Q262" i="1"/>
  <c r="P262" i="1"/>
  <c r="L262" i="1"/>
  <c r="K262" i="1"/>
  <c r="G262" i="1"/>
  <c r="F262" i="1"/>
  <c r="U259" i="1" s="1"/>
  <c r="E261" i="1"/>
  <c r="C261" i="1"/>
  <c r="S260" i="1"/>
  <c r="R260" i="1"/>
  <c r="Q260" i="1"/>
  <c r="T260" i="1" s="1"/>
  <c r="P260" i="1"/>
  <c r="O260" i="1"/>
  <c r="N260" i="1"/>
  <c r="M260" i="1"/>
  <c r="L260" i="1"/>
  <c r="K260" i="1"/>
  <c r="I260" i="1"/>
  <c r="H260" i="1"/>
  <c r="G260" i="1"/>
  <c r="J260" i="1" s="1"/>
  <c r="F260" i="1"/>
  <c r="Q258" i="1"/>
  <c r="P258" i="1"/>
  <c r="L258" i="1"/>
  <c r="K258" i="1"/>
  <c r="G258" i="1"/>
  <c r="F258" i="1"/>
  <c r="U255" i="1" s="1"/>
  <c r="E257" i="1"/>
  <c r="C257" i="1"/>
  <c r="S256" i="1"/>
  <c r="R256" i="1"/>
  <c r="Q256" i="1"/>
  <c r="T256" i="1" s="1"/>
  <c r="P256" i="1"/>
  <c r="O256" i="1"/>
  <c r="N256" i="1"/>
  <c r="M256" i="1"/>
  <c r="L256" i="1"/>
  <c r="K256" i="1"/>
  <c r="I256" i="1"/>
  <c r="H256" i="1"/>
  <c r="G256" i="1"/>
  <c r="J256" i="1" s="1"/>
  <c r="F256" i="1"/>
  <c r="Q254" i="1"/>
  <c r="P254" i="1"/>
  <c r="L254" i="1"/>
  <c r="K254" i="1"/>
  <c r="G254" i="1"/>
  <c r="F254" i="1"/>
  <c r="U251" i="1" s="1"/>
  <c r="E253" i="1"/>
  <c r="C253" i="1"/>
  <c r="T252" i="1"/>
  <c r="S252" i="1"/>
  <c r="R252" i="1"/>
  <c r="Q252" i="1"/>
  <c r="P252" i="1"/>
  <c r="O252" i="1"/>
  <c r="N252" i="1"/>
  <c r="M252" i="1"/>
  <c r="L252" i="1"/>
  <c r="K252" i="1"/>
  <c r="I252" i="1"/>
  <c r="H252" i="1"/>
  <c r="G252" i="1"/>
  <c r="J252" i="1" s="1"/>
  <c r="F252" i="1"/>
  <c r="Q250" i="1"/>
  <c r="P250" i="1"/>
  <c r="L250" i="1"/>
  <c r="K250" i="1"/>
  <c r="G250" i="1"/>
  <c r="F250" i="1"/>
  <c r="E249" i="1"/>
  <c r="C249" i="1"/>
  <c r="T248" i="1"/>
  <c r="S248" i="1"/>
  <c r="R248" i="1"/>
  <c r="Q248" i="1"/>
  <c r="P248" i="1"/>
  <c r="N248" i="1"/>
  <c r="M248" i="1"/>
  <c r="L248" i="1"/>
  <c r="O248" i="1" s="1"/>
  <c r="K248" i="1"/>
  <c r="I248" i="1"/>
  <c r="H248" i="1"/>
  <c r="G248" i="1"/>
  <c r="J248" i="1" s="1"/>
  <c r="F248" i="1"/>
  <c r="U247" i="1"/>
  <c r="Q246" i="1"/>
  <c r="P246" i="1"/>
  <c r="U243" i="1" s="1"/>
  <c r="L246" i="1"/>
  <c r="K246" i="1"/>
  <c r="G246" i="1"/>
  <c r="F246" i="1"/>
  <c r="E245" i="1"/>
  <c r="C245" i="1"/>
  <c r="T244" i="1"/>
  <c r="S244" i="1"/>
  <c r="R244" i="1"/>
  <c r="Q244" i="1"/>
  <c r="P244" i="1"/>
  <c r="N244" i="1"/>
  <c r="M244" i="1"/>
  <c r="L244" i="1"/>
  <c r="O244" i="1" s="1"/>
  <c r="K244" i="1"/>
  <c r="I244" i="1"/>
  <c r="H244" i="1"/>
  <c r="G244" i="1"/>
  <c r="J244" i="1" s="1"/>
  <c r="F244" i="1"/>
  <c r="Q242" i="1"/>
  <c r="P242" i="1"/>
  <c r="U239" i="1" s="1"/>
  <c r="L242" i="1"/>
  <c r="K242" i="1"/>
  <c r="G242" i="1"/>
  <c r="F242" i="1"/>
  <c r="E241" i="1"/>
  <c r="C241" i="1"/>
  <c r="S240" i="1"/>
  <c r="R240" i="1"/>
  <c r="Q240" i="1"/>
  <c r="T240" i="1" s="1"/>
  <c r="P240" i="1"/>
  <c r="N240" i="1"/>
  <c r="M240" i="1"/>
  <c r="L240" i="1"/>
  <c r="O240" i="1" s="1"/>
  <c r="K240" i="1"/>
  <c r="I240" i="1"/>
  <c r="H240" i="1"/>
  <c r="G240" i="1"/>
  <c r="J240" i="1" s="1"/>
  <c r="F240" i="1"/>
  <c r="Q238" i="1"/>
  <c r="P238" i="1"/>
  <c r="U235" i="1" s="1"/>
  <c r="L238" i="1"/>
  <c r="K238" i="1"/>
  <c r="G238" i="1"/>
  <c r="F238" i="1"/>
  <c r="E237" i="1"/>
  <c r="C237" i="1"/>
  <c r="S236" i="1"/>
  <c r="R236" i="1"/>
  <c r="Q236" i="1"/>
  <c r="T236" i="1" s="1"/>
  <c r="P236" i="1"/>
  <c r="O236" i="1"/>
  <c r="N236" i="1"/>
  <c r="M236" i="1"/>
  <c r="L236" i="1"/>
  <c r="K236" i="1"/>
  <c r="I236" i="1"/>
  <c r="H236" i="1"/>
  <c r="G236" i="1"/>
  <c r="J236" i="1" s="1"/>
  <c r="F236" i="1"/>
  <c r="Q234" i="1"/>
  <c r="P234" i="1"/>
  <c r="U231" i="1" s="1"/>
  <c r="L234" i="1"/>
  <c r="K234" i="1"/>
  <c r="G234" i="1"/>
  <c r="F234" i="1"/>
  <c r="E233" i="1"/>
  <c r="C233" i="1"/>
  <c r="S232" i="1"/>
  <c r="R232" i="1"/>
  <c r="Q232" i="1"/>
  <c r="T232" i="1" s="1"/>
  <c r="P232" i="1"/>
  <c r="O232" i="1"/>
  <c r="N232" i="1"/>
  <c r="M232" i="1"/>
  <c r="L232" i="1"/>
  <c r="K232" i="1"/>
  <c r="I232" i="1"/>
  <c r="H232" i="1"/>
  <c r="G232" i="1"/>
  <c r="J232" i="1" s="1"/>
  <c r="F232" i="1"/>
  <c r="Q230" i="1"/>
  <c r="P230" i="1"/>
  <c r="L230" i="1"/>
  <c r="K230" i="1"/>
  <c r="G230" i="1"/>
  <c r="F230" i="1"/>
  <c r="U227" i="1" s="1"/>
  <c r="E229" i="1"/>
  <c r="C229" i="1"/>
  <c r="S228" i="1"/>
  <c r="R228" i="1"/>
  <c r="Q228" i="1"/>
  <c r="T228" i="1" s="1"/>
  <c r="P228" i="1"/>
  <c r="N228" i="1"/>
  <c r="M228" i="1"/>
  <c r="L228" i="1"/>
  <c r="O228" i="1" s="1"/>
  <c r="K228" i="1"/>
  <c r="I228" i="1"/>
  <c r="H228" i="1"/>
  <c r="G228" i="1"/>
  <c r="J228" i="1" s="1"/>
  <c r="F228" i="1"/>
  <c r="Q226" i="1"/>
  <c r="P226" i="1"/>
  <c r="L226" i="1"/>
  <c r="K226" i="1"/>
  <c r="G226" i="1"/>
  <c r="F226" i="1"/>
  <c r="U223" i="1" s="1"/>
  <c r="E225" i="1"/>
  <c r="C225" i="1"/>
  <c r="S224" i="1"/>
  <c r="R224" i="1"/>
  <c r="Q224" i="1"/>
  <c r="T224" i="1" s="1"/>
  <c r="P224" i="1"/>
  <c r="N224" i="1"/>
  <c r="M224" i="1"/>
  <c r="L224" i="1"/>
  <c r="O224" i="1" s="1"/>
  <c r="K224" i="1"/>
  <c r="J224" i="1"/>
  <c r="I224" i="1"/>
  <c r="H224" i="1"/>
  <c r="G224" i="1"/>
  <c r="F224" i="1"/>
  <c r="Q222" i="1"/>
  <c r="P222" i="1"/>
  <c r="L222" i="1"/>
  <c r="K222" i="1"/>
  <c r="G222" i="1"/>
  <c r="F222" i="1"/>
  <c r="U219" i="1" s="1"/>
  <c r="E221" i="1"/>
  <c r="C221" i="1"/>
  <c r="T220" i="1"/>
  <c r="S220" i="1"/>
  <c r="R220" i="1"/>
  <c r="Q220" i="1"/>
  <c r="P220" i="1"/>
  <c r="N220" i="1"/>
  <c r="M220" i="1"/>
  <c r="L220" i="1"/>
  <c r="O220" i="1" s="1"/>
  <c r="K220" i="1"/>
  <c r="J220" i="1"/>
  <c r="I220" i="1"/>
  <c r="H220" i="1"/>
  <c r="G220" i="1"/>
  <c r="F220" i="1"/>
  <c r="Q218" i="1"/>
  <c r="P218" i="1"/>
  <c r="L218" i="1"/>
  <c r="K218" i="1"/>
  <c r="G218" i="1"/>
  <c r="F218" i="1"/>
  <c r="U215" i="1" s="1"/>
  <c r="E217" i="1"/>
  <c r="C217" i="1"/>
  <c r="T216" i="1"/>
  <c r="S216" i="1"/>
  <c r="R216" i="1"/>
  <c r="Q216" i="1"/>
  <c r="P216" i="1"/>
  <c r="O216" i="1"/>
  <c r="N216" i="1"/>
  <c r="M216" i="1"/>
  <c r="L216" i="1"/>
  <c r="K216" i="1"/>
  <c r="I216" i="1"/>
  <c r="H216" i="1"/>
  <c r="G216" i="1"/>
  <c r="J216" i="1" s="1"/>
  <c r="F216" i="1"/>
  <c r="Q214" i="1"/>
  <c r="P214" i="1"/>
  <c r="L214" i="1"/>
  <c r="K214" i="1"/>
  <c r="G214" i="1"/>
  <c r="F214" i="1"/>
  <c r="U211" i="1" s="1"/>
  <c r="E213" i="1"/>
  <c r="C213" i="1"/>
  <c r="T212" i="1"/>
  <c r="S212" i="1"/>
  <c r="R212" i="1"/>
  <c r="Q212" i="1"/>
  <c r="P212" i="1"/>
  <c r="O212" i="1"/>
  <c r="N212" i="1"/>
  <c r="M212" i="1"/>
  <c r="L212" i="1"/>
  <c r="K212" i="1"/>
  <c r="I212" i="1"/>
  <c r="H212" i="1"/>
  <c r="G212" i="1"/>
  <c r="J212" i="1" s="1"/>
  <c r="F212" i="1"/>
  <c r="Q210" i="1"/>
  <c r="P210" i="1"/>
  <c r="L210" i="1"/>
  <c r="K210" i="1"/>
  <c r="G210" i="1"/>
  <c r="F210" i="1"/>
  <c r="U207" i="1" s="1"/>
  <c r="E209" i="1"/>
  <c r="C209" i="1"/>
  <c r="T208" i="1"/>
  <c r="S208" i="1"/>
  <c r="R208" i="1"/>
  <c r="Q208" i="1"/>
  <c r="P208" i="1"/>
  <c r="O208" i="1"/>
  <c r="N208" i="1"/>
  <c r="M208" i="1"/>
  <c r="L208" i="1"/>
  <c r="K208" i="1"/>
  <c r="I208" i="1"/>
  <c r="H208" i="1"/>
  <c r="G208" i="1"/>
  <c r="J208" i="1" s="1"/>
  <c r="F208" i="1"/>
  <c r="Q206" i="1"/>
  <c r="P206" i="1"/>
  <c r="L206" i="1"/>
  <c r="K206" i="1"/>
  <c r="G206" i="1"/>
  <c r="F206" i="1"/>
  <c r="U203" i="1" s="1"/>
  <c r="E205" i="1"/>
  <c r="C205" i="1"/>
  <c r="T204" i="1"/>
  <c r="S204" i="1"/>
  <c r="R204" i="1"/>
  <c r="Q204" i="1"/>
  <c r="P204" i="1"/>
  <c r="N204" i="1"/>
  <c r="M204" i="1"/>
  <c r="L204" i="1"/>
  <c r="O204" i="1" s="1"/>
  <c r="K204" i="1"/>
  <c r="J204" i="1"/>
  <c r="I204" i="1"/>
  <c r="H204" i="1"/>
  <c r="G204" i="1"/>
  <c r="F204" i="1"/>
  <c r="Q202" i="1"/>
  <c r="P202" i="1"/>
  <c r="L202" i="1"/>
  <c r="K202" i="1"/>
  <c r="G202" i="1"/>
  <c r="F202" i="1"/>
  <c r="U199" i="1" s="1"/>
  <c r="E201" i="1"/>
  <c r="C201" i="1"/>
  <c r="T200" i="1"/>
  <c r="S200" i="1"/>
  <c r="R200" i="1"/>
  <c r="Q200" i="1"/>
  <c r="P200" i="1"/>
  <c r="N200" i="1"/>
  <c r="M200" i="1"/>
  <c r="L200" i="1"/>
  <c r="O200" i="1" s="1"/>
  <c r="K200" i="1"/>
  <c r="I200" i="1"/>
  <c r="H200" i="1"/>
  <c r="G200" i="1"/>
  <c r="J200" i="1" s="1"/>
  <c r="F200" i="1"/>
  <c r="Q198" i="1"/>
  <c r="P198" i="1"/>
  <c r="L198" i="1"/>
  <c r="K198" i="1"/>
  <c r="G198" i="1"/>
  <c r="F198" i="1"/>
  <c r="U195" i="1" s="1"/>
  <c r="E197" i="1"/>
  <c r="C197" i="1"/>
  <c r="S196" i="1"/>
  <c r="R196" i="1"/>
  <c r="Q196" i="1"/>
  <c r="T196" i="1" s="1"/>
  <c r="P196" i="1"/>
  <c r="N196" i="1"/>
  <c r="M196" i="1"/>
  <c r="L196" i="1"/>
  <c r="O196" i="1" s="1"/>
  <c r="K196" i="1"/>
  <c r="I196" i="1"/>
  <c r="H196" i="1"/>
  <c r="G196" i="1"/>
  <c r="J196" i="1" s="1"/>
  <c r="F196" i="1"/>
  <c r="Q194" i="1"/>
  <c r="P194" i="1"/>
  <c r="U191" i="1" s="1"/>
  <c r="L194" i="1"/>
  <c r="K194" i="1"/>
  <c r="G194" i="1"/>
  <c r="F194" i="1"/>
  <c r="E193" i="1"/>
  <c r="C193" i="1"/>
  <c r="S192" i="1"/>
  <c r="R192" i="1"/>
  <c r="Q192" i="1"/>
  <c r="T192" i="1" s="1"/>
  <c r="P192" i="1"/>
  <c r="N192" i="1"/>
  <c r="M192" i="1"/>
  <c r="L192" i="1"/>
  <c r="O192" i="1" s="1"/>
  <c r="K192" i="1"/>
  <c r="I192" i="1"/>
  <c r="H192" i="1"/>
  <c r="G192" i="1"/>
  <c r="J192" i="1" s="1"/>
  <c r="F192" i="1"/>
  <c r="Q190" i="1"/>
  <c r="P190" i="1"/>
  <c r="U187" i="1" s="1"/>
  <c r="L190" i="1"/>
  <c r="K190" i="1"/>
  <c r="G190" i="1"/>
  <c r="F190" i="1"/>
  <c r="E189" i="1"/>
  <c r="C189" i="1"/>
  <c r="S188" i="1"/>
  <c r="R188" i="1"/>
  <c r="Q188" i="1"/>
  <c r="T188" i="1" s="1"/>
  <c r="P188" i="1"/>
  <c r="O188" i="1"/>
  <c r="N188" i="1"/>
  <c r="M188" i="1"/>
  <c r="L188" i="1"/>
  <c r="K188" i="1"/>
  <c r="J188" i="1"/>
  <c r="I188" i="1"/>
  <c r="H188" i="1"/>
  <c r="G188" i="1"/>
  <c r="F188" i="1"/>
  <c r="Q186" i="1"/>
  <c r="P186" i="1"/>
  <c r="L186" i="1"/>
  <c r="K186" i="1"/>
  <c r="G186" i="1"/>
  <c r="F186" i="1"/>
  <c r="U183" i="1" s="1"/>
  <c r="E185" i="1"/>
  <c r="C185" i="1"/>
  <c r="S184" i="1"/>
  <c r="R184" i="1"/>
  <c r="Q184" i="1"/>
  <c r="T184" i="1" s="1"/>
  <c r="P184" i="1"/>
  <c r="O184" i="1"/>
  <c r="N184" i="1"/>
  <c r="M184" i="1"/>
  <c r="L184" i="1"/>
  <c r="K184" i="1"/>
  <c r="I184" i="1"/>
  <c r="H184" i="1"/>
  <c r="G184" i="1"/>
  <c r="J184" i="1" s="1"/>
  <c r="F184" i="1"/>
  <c r="Q182" i="1"/>
  <c r="P182" i="1"/>
  <c r="L182" i="1"/>
  <c r="K182" i="1"/>
  <c r="G182" i="1"/>
  <c r="F182" i="1"/>
  <c r="U179" i="1" s="1"/>
  <c r="E181" i="1"/>
  <c r="C181" i="1"/>
  <c r="S180" i="1"/>
  <c r="R180" i="1"/>
  <c r="Q180" i="1"/>
  <c r="T180" i="1" s="1"/>
  <c r="P180" i="1"/>
  <c r="N180" i="1"/>
  <c r="M180" i="1"/>
  <c r="L180" i="1"/>
  <c r="O180" i="1" s="1"/>
  <c r="K180" i="1"/>
  <c r="J180" i="1"/>
  <c r="I180" i="1"/>
  <c r="H180" i="1"/>
  <c r="G180" i="1"/>
  <c r="F180" i="1"/>
  <c r="Q178" i="1"/>
  <c r="P178" i="1"/>
  <c r="L178" i="1"/>
  <c r="K178" i="1"/>
  <c r="G178" i="1"/>
  <c r="F178" i="1"/>
  <c r="U175" i="1" s="1"/>
  <c r="E177" i="1"/>
  <c r="C177" i="1"/>
  <c r="S176" i="1"/>
  <c r="R176" i="1"/>
  <c r="Q176" i="1"/>
  <c r="T176" i="1" s="1"/>
  <c r="P176" i="1"/>
  <c r="N176" i="1"/>
  <c r="M176" i="1"/>
  <c r="L176" i="1"/>
  <c r="O176" i="1" s="1"/>
  <c r="K176" i="1"/>
  <c r="J176" i="1"/>
  <c r="I176" i="1"/>
  <c r="H176" i="1"/>
  <c r="G176" i="1"/>
  <c r="F176" i="1"/>
  <c r="Q174" i="1"/>
  <c r="P174" i="1"/>
  <c r="L174" i="1"/>
  <c r="K174" i="1"/>
  <c r="G174" i="1"/>
  <c r="F174" i="1"/>
  <c r="U171" i="1" s="1"/>
  <c r="E173" i="1"/>
  <c r="C173" i="1"/>
  <c r="T172" i="1"/>
  <c r="S172" i="1"/>
  <c r="R172" i="1"/>
  <c r="Q172" i="1"/>
  <c r="P172" i="1"/>
  <c r="O172" i="1"/>
  <c r="N172" i="1"/>
  <c r="M172" i="1"/>
  <c r="L172" i="1"/>
  <c r="K172" i="1"/>
  <c r="I172" i="1"/>
  <c r="H172" i="1"/>
  <c r="G172" i="1"/>
  <c r="J172" i="1" s="1"/>
  <c r="F172" i="1"/>
  <c r="Q170" i="1"/>
  <c r="P170" i="1"/>
  <c r="L170" i="1"/>
  <c r="K170" i="1"/>
  <c r="G170" i="1"/>
  <c r="F170" i="1"/>
  <c r="U167" i="1" s="1"/>
  <c r="E169" i="1"/>
  <c r="C169" i="1"/>
  <c r="T168" i="1"/>
  <c r="S168" i="1"/>
  <c r="R168" i="1"/>
  <c r="Q168" i="1"/>
  <c r="P168" i="1"/>
  <c r="O168" i="1"/>
  <c r="N168" i="1"/>
  <c r="M168" i="1"/>
  <c r="L168" i="1"/>
  <c r="K168" i="1"/>
  <c r="I168" i="1"/>
  <c r="H168" i="1"/>
  <c r="G168" i="1"/>
  <c r="J168" i="1" s="1"/>
  <c r="F168" i="1"/>
  <c r="Q166" i="1"/>
  <c r="P166" i="1"/>
  <c r="L166" i="1"/>
  <c r="K166" i="1"/>
  <c r="G166" i="1"/>
  <c r="F166" i="1"/>
  <c r="U163" i="1" s="1"/>
  <c r="E165" i="1"/>
  <c r="C165" i="1"/>
  <c r="T164" i="1"/>
  <c r="S164" i="1"/>
  <c r="R164" i="1"/>
  <c r="Q164" i="1"/>
  <c r="P164" i="1"/>
  <c r="O164" i="1"/>
  <c r="N164" i="1"/>
  <c r="M164" i="1"/>
  <c r="L164" i="1"/>
  <c r="K164" i="1"/>
  <c r="I164" i="1"/>
  <c r="H164" i="1"/>
  <c r="G164" i="1"/>
  <c r="J164" i="1" s="1"/>
  <c r="F164" i="1"/>
  <c r="Q162" i="1"/>
  <c r="P162" i="1"/>
  <c r="L162" i="1"/>
  <c r="K162" i="1"/>
  <c r="G162" i="1"/>
  <c r="F162" i="1"/>
  <c r="U159" i="1" s="1"/>
  <c r="E161" i="1"/>
  <c r="C161" i="1"/>
  <c r="T160" i="1"/>
  <c r="S160" i="1"/>
  <c r="R160" i="1"/>
  <c r="Q160" i="1"/>
  <c r="P160" i="1"/>
  <c r="N160" i="1"/>
  <c r="M160" i="1"/>
  <c r="L160" i="1"/>
  <c r="O160" i="1" s="1"/>
  <c r="K160" i="1"/>
  <c r="I160" i="1"/>
  <c r="H160" i="1"/>
  <c r="G160" i="1"/>
  <c r="J160" i="1" s="1"/>
  <c r="F160" i="1"/>
  <c r="Q158" i="1"/>
  <c r="P158" i="1"/>
  <c r="L158" i="1"/>
  <c r="K158" i="1"/>
  <c r="G158" i="1"/>
  <c r="F158" i="1"/>
  <c r="U155" i="1" s="1"/>
  <c r="E157" i="1"/>
  <c r="C157" i="1"/>
  <c r="T156" i="1"/>
  <c r="S156" i="1"/>
  <c r="R156" i="1"/>
  <c r="Q156" i="1"/>
  <c r="P156" i="1"/>
  <c r="N156" i="1"/>
  <c r="M156" i="1"/>
  <c r="L156" i="1"/>
  <c r="O156" i="1" s="1"/>
  <c r="K156" i="1"/>
  <c r="J156" i="1"/>
  <c r="I156" i="1"/>
  <c r="H156" i="1"/>
  <c r="G156" i="1"/>
  <c r="F156" i="1"/>
  <c r="Q154" i="1"/>
  <c r="P154" i="1"/>
  <c r="L154" i="1"/>
  <c r="K154" i="1"/>
  <c r="G154" i="1"/>
  <c r="F154" i="1"/>
  <c r="U151" i="1" s="1"/>
  <c r="E153" i="1"/>
  <c r="C153" i="1"/>
  <c r="S152" i="1"/>
  <c r="R152" i="1"/>
  <c r="Q152" i="1"/>
  <c r="T152" i="1" s="1"/>
  <c r="P152" i="1"/>
  <c r="N152" i="1"/>
  <c r="M152" i="1"/>
  <c r="L152" i="1"/>
  <c r="O152" i="1" s="1"/>
  <c r="K152" i="1"/>
  <c r="J152" i="1"/>
  <c r="I152" i="1"/>
  <c r="H152" i="1"/>
  <c r="G152" i="1"/>
  <c r="F152" i="1"/>
  <c r="Q150" i="1"/>
  <c r="P150" i="1"/>
  <c r="U147" i="1" s="1"/>
  <c r="L150" i="1"/>
  <c r="K150" i="1"/>
  <c r="G150" i="1"/>
  <c r="F150" i="1"/>
  <c r="E149" i="1"/>
  <c r="C149" i="1"/>
  <c r="S148" i="1"/>
  <c r="R148" i="1"/>
  <c r="Q148" i="1"/>
  <c r="T148" i="1" s="1"/>
  <c r="P148" i="1"/>
  <c r="N148" i="1"/>
  <c r="M148" i="1"/>
  <c r="L148" i="1"/>
  <c r="O148" i="1" s="1"/>
  <c r="K148" i="1"/>
  <c r="J148" i="1"/>
  <c r="I148" i="1"/>
  <c r="H148" i="1"/>
  <c r="G148" i="1"/>
  <c r="F148" i="1"/>
  <c r="Q146" i="1"/>
  <c r="P146" i="1"/>
  <c r="U143" i="1" s="1"/>
  <c r="L146" i="1"/>
  <c r="K146" i="1"/>
  <c r="G146" i="1"/>
  <c r="F146" i="1"/>
  <c r="E145" i="1"/>
  <c r="C145" i="1"/>
  <c r="S144" i="1"/>
  <c r="R144" i="1"/>
  <c r="Q144" i="1"/>
  <c r="T144" i="1" s="1"/>
  <c r="P144" i="1"/>
  <c r="N144" i="1"/>
  <c r="M144" i="1"/>
  <c r="L144" i="1"/>
  <c r="O144" i="1" s="1"/>
  <c r="K144" i="1"/>
  <c r="J144" i="1"/>
  <c r="I144" i="1"/>
  <c r="H144" i="1"/>
  <c r="G144" i="1"/>
  <c r="F144" i="1"/>
  <c r="Q142" i="1"/>
  <c r="P142" i="1"/>
  <c r="L142" i="1"/>
  <c r="K142" i="1"/>
  <c r="G142" i="1"/>
  <c r="F142" i="1"/>
  <c r="U139" i="1" s="1"/>
  <c r="E141" i="1"/>
  <c r="C141" i="1"/>
  <c r="S140" i="1"/>
  <c r="R140" i="1"/>
  <c r="Q140" i="1"/>
  <c r="T140" i="1" s="1"/>
  <c r="P140" i="1"/>
  <c r="N140" i="1"/>
  <c r="M140" i="1"/>
  <c r="L140" i="1"/>
  <c r="O140" i="1" s="1"/>
  <c r="K140" i="1"/>
  <c r="I140" i="1"/>
  <c r="H140" i="1"/>
  <c r="G140" i="1"/>
  <c r="J140" i="1" s="1"/>
  <c r="F140" i="1"/>
  <c r="Q138" i="1"/>
  <c r="P138" i="1"/>
  <c r="L138" i="1"/>
  <c r="K138" i="1"/>
  <c r="G138" i="1"/>
  <c r="F138" i="1"/>
  <c r="U135" i="1" s="1"/>
  <c r="E137" i="1"/>
  <c r="C137" i="1"/>
  <c r="S136" i="1"/>
  <c r="R136" i="1"/>
  <c r="Q136" i="1"/>
  <c r="T136" i="1" s="1"/>
  <c r="P136" i="1"/>
  <c r="O136" i="1"/>
  <c r="N136" i="1"/>
  <c r="M136" i="1"/>
  <c r="L136" i="1"/>
  <c r="K136" i="1"/>
  <c r="J136" i="1"/>
  <c r="I136" i="1"/>
  <c r="H136" i="1"/>
  <c r="G136" i="1"/>
  <c r="F136" i="1"/>
  <c r="Q134" i="1"/>
  <c r="P134" i="1"/>
  <c r="L134" i="1"/>
  <c r="K134" i="1"/>
  <c r="G134" i="1"/>
  <c r="F134" i="1"/>
  <c r="U131" i="1" s="1"/>
  <c r="E133" i="1"/>
  <c r="C133" i="1"/>
  <c r="S132" i="1"/>
  <c r="R132" i="1"/>
  <c r="Q132" i="1"/>
  <c r="T132" i="1" s="1"/>
  <c r="P132" i="1"/>
  <c r="O132" i="1"/>
  <c r="N132" i="1"/>
  <c r="M132" i="1"/>
  <c r="L132" i="1"/>
  <c r="K132" i="1"/>
  <c r="J132" i="1"/>
  <c r="I132" i="1"/>
  <c r="H132" i="1"/>
  <c r="G132" i="1"/>
  <c r="F132" i="1"/>
  <c r="Q130" i="1"/>
  <c r="P130" i="1"/>
  <c r="L130" i="1"/>
  <c r="K130" i="1"/>
  <c r="G130" i="1"/>
  <c r="F130" i="1"/>
  <c r="U127" i="1" s="1"/>
  <c r="E129" i="1"/>
  <c r="C129" i="1"/>
  <c r="S128" i="1"/>
  <c r="R128" i="1"/>
  <c r="Q128" i="1"/>
  <c r="T128" i="1" s="1"/>
  <c r="P128" i="1"/>
  <c r="O128" i="1"/>
  <c r="N128" i="1"/>
  <c r="M128" i="1"/>
  <c r="L128" i="1"/>
  <c r="K128" i="1"/>
  <c r="I128" i="1"/>
  <c r="H128" i="1"/>
  <c r="G128" i="1"/>
  <c r="J128" i="1" s="1"/>
  <c r="F128" i="1"/>
  <c r="Q126" i="1"/>
  <c r="P126" i="1"/>
  <c r="U123" i="1" s="1"/>
  <c r="L126" i="1"/>
  <c r="K126" i="1"/>
  <c r="G126" i="1"/>
  <c r="F126" i="1"/>
  <c r="E125" i="1"/>
  <c r="C125" i="1"/>
  <c r="S124" i="1"/>
  <c r="R124" i="1"/>
  <c r="Q124" i="1"/>
  <c r="T124" i="1" s="1"/>
  <c r="P124" i="1"/>
  <c r="O124" i="1"/>
  <c r="N124" i="1"/>
  <c r="M124" i="1"/>
  <c r="L124" i="1"/>
  <c r="K124" i="1"/>
  <c r="I124" i="1"/>
  <c r="H124" i="1"/>
  <c r="G124" i="1"/>
  <c r="J124" i="1" s="1"/>
  <c r="F124" i="1"/>
  <c r="Q122" i="1"/>
  <c r="P122" i="1"/>
  <c r="L122" i="1"/>
  <c r="K122" i="1"/>
  <c r="G122" i="1"/>
  <c r="F122" i="1"/>
  <c r="E121" i="1"/>
  <c r="C121" i="1"/>
  <c r="S120" i="1"/>
  <c r="R120" i="1"/>
  <c r="Q120" i="1"/>
  <c r="T120" i="1" s="1"/>
  <c r="P120" i="1"/>
  <c r="O120" i="1"/>
  <c r="N120" i="1"/>
  <c r="M120" i="1"/>
  <c r="L120" i="1"/>
  <c r="K120" i="1"/>
  <c r="I120" i="1"/>
  <c r="H120" i="1"/>
  <c r="G120" i="1"/>
  <c r="J120" i="1" s="1"/>
  <c r="F120" i="1"/>
  <c r="U119" i="1"/>
  <c r="Q118" i="1"/>
  <c r="P118" i="1"/>
  <c r="L118" i="1"/>
  <c r="K118" i="1"/>
  <c r="G118" i="1"/>
  <c r="F118" i="1"/>
  <c r="E117" i="1"/>
  <c r="C117" i="1"/>
  <c r="T116" i="1"/>
  <c r="S116" i="1"/>
  <c r="R116" i="1"/>
  <c r="Q116" i="1"/>
  <c r="P116" i="1"/>
  <c r="N116" i="1"/>
  <c r="M116" i="1"/>
  <c r="L116" i="1"/>
  <c r="O116" i="1" s="1"/>
  <c r="K116" i="1"/>
  <c r="I116" i="1"/>
  <c r="H116" i="1"/>
  <c r="G116" i="1"/>
  <c r="J116" i="1" s="1"/>
  <c r="F116" i="1"/>
  <c r="U115" i="1"/>
  <c r="Q114" i="1"/>
  <c r="P114" i="1"/>
  <c r="L114" i="1"/>
  <c r="K114" i="1"/>
  <c r="G114" i="1"/>
  <c r="F114" i="1"/>
  <c r="U111" i="1" s="1"/>
  <c r="E113" i="1"/>
  <c r="C113" i="1"/>
  <c r="T112" i="1"/>
  <c r="S112" i="1"/>
  <c r="R112" i="1"/>
  <c r="Q112" i="1"/>
  <c r="P112" i="1"/>
  <c r="N112" i="1"/>
  <c r="M112" i="1"/>
  <c r="L112" i="1"/>
  <c r="O112" i="1" s="1"/>
  <c r="K112" i="1"/>
  <c r="I112" i="1"/>
  <c r="H112" i="1"/>
  <c r="G112" i="1"/>
  <c r="J112" i="1" s="1"/>
  <c r="F112" i="1"/>
  <c r="Q110" i="1"/>
  <c r="P110" i="1"/>
  <c r="L110" i="1"/>
  <c r="K110" i="1"/>
  <c r="G110" i="1"/>
  <c r="F110" i="1"/>
  <c r="U107" i="1" s="1"/>
  <c r="E109" i="1"/>
  <c r="C109" i="1"/>
  <c r="S108" i="1"/>
  <c r="R108" i="1"/>
  <c r="Q108" i="1"/>
  <c r="T108" i="1" s="1"/>
  <c r="P108" i="1"/>
  <c r="N108" i="1"/>
  <c r="M108" i="1"/>
  <c r="L108" i="1"/>
  <c r="O108" i="1" s="1"/>
  <c r="K108" i="1"/>
  <c r="I108" i="1"/>
  <c r="H108" i="1"/>
  <c r="G108" i="1"/>
  <c r="J108" i="1" s="1"/>
  <c r="F108" i="1"/>
  <c r="Q106" i="1"/>
  <c r="P106" i="1"/>
  <c r="U103" i="1" s="1"/>
  <c r="L106" i="1"/>
  <c r="K106" i="1"/>
  <c r="G106" i="1"/>
  <c r="F106" i="1"/>
  <c r="E105" i="1"/>
  <c r="C105" i="1"/>
  <c r="S104" i="1"/>
  <c r="R104" i="1"/>
  <c r="Q104" i="1"/>
  <c r="T104" i="1" s="1"/>
  <c r="P104" i="1"/>
  <c r="N104" i="1"/>
  <c r="M104" i="1"/>
  <c r="L104" i="1"/>
  <c r="O104" i="1" s="1"/>
  <c r="K104" i="1"/>
  <c r="J104" i="1"/>
  <c r="I104" i="1"/>
  <c r="H104" i="1"/>
  <c r="G104" i="1"/>
  <c r="F104" i="1"/>
  <c r="Q102" i="1"/>
  <c r="P102" i="1"/>
  <c r="U99" i="1" s="1"/>
  <c r="L102" i="1"/>
  <c r="K102" i="1"/>
  <c r="G102" i="1"/>
  <c r="F102" i="1"/>
  <c r="E101" i="1"/>
  <c r="C101" i="1"/>
  <c r="S100" i="1"/>
  <c r="R100" i="1"/>
  <c r="Q100" i="1"/>
  <c r="T100" i="1" s="1"/>
  <c r="P100" i="1"/>
  <c r="N100" i="1"/>
  <c r="M100" i="1"/>
  <c r="L100" i="1"/>
  <c r="O100" i="1" s="1"/>
  <c r="K100" i="1"/>
  <c r="J100" i="1"/>
  <c r="I100" i="1"/>
  <c r="H100" i="1"/>
  <c r="G100" i="1"/>
  <c r="F100" i="1"/>
  <c r="Q98" i="1"/>
  <c r="P98" i="1"/>
  <c r="L98" i="1"/>
  <c r="K98" i="1"/>
  <c r="G98" i="1"/>
  <c r="F98" i="1"/>
  <c r="U95" i="1" s="1"/>
  <c r="E97" i="1"/>
  <c r="C97" i="1"/>
  <c r="S96" i="1"/>
  <c r="R96" i="1"/>
  <c r="Q96" i="1"/>
  <c r="T96" i="1" s="1"/>
  <c r="P96" i="1"/>
  <c r="N96" i="1"/>
  <c r="M96" i="1"/>
  <c r="L96" i="1"/>
  <c r="O96" i="1" s="1"/>
  <c r="K96" i="1"/>
  <c r="I96" i="1"/>
  <c r="H96" i="1"/>
  <c r="G96" i="1"/>
  <c r="J96" i="1" s="1"/>
  <c r="F96" i="1"/>
  <c r="Q94" i="1"/>
  <c r="P94" i="1"/>
  <c r="L94" i="1"/>
  <c r="K94" i="1"/>
  <c r="G94" i="1"/>
  <c r="F94" i="1"/>
  <c r="U91" i="1" s="1"/>
  <c r="E93" i="1"/>
  <c r="C93" i="1"/>
  <c r="S92" i="1"/>
  <c r="R92" i="1"/>
  <c r="Q92" i="1"/>
  <c r="T92" i="1" s="1"/>
  <c r="P92" i="1"/>
  <c r="N92" i="1"/>
  <c r="M92" i="1"/>
  <c r="L92" i="1"/>
  <c r="O92" i="1" s="1"/>
  <c r="K92" i="1"/>
  <c r="J92" i="1"/>
  <c r="I92" i="1"/>
  <c r="H92" i="1"/>
  <c r="G92" i="1"/>
  <c r="F92" i="1"/>
  <c r="Q90" i="1"/>
  <c r="P90" i="1"/>
  <c r="L90" i="1"/>
  <c r="K90" i="1"/>
  <c r="G90" i="1"/>
  <c r="F90" i="1"/>
  <c r="U87" i="1" s="1"/>
  <c r="E89" i="1"/>
  <c r="C89" i="1"/>
  <c r="S88" i="1"/>
  <c r="R88" i="1"/>
  <c r="Q88" i="1"/>
  <c r="T88" i="1" s="1"/>
  <c r="P88" i="1"/>
  <c r="O88" i="1"/>
  <c r="N88" i="1"/>
  <c r="M88" i="1"/>
  <c r="L88" i="1"/>
  <c r="K88" i="1"/>
  <c r="J88" i="1"/>
  <c r="I88" i="1"/>
  <c r="H88" i="1"/>
  <c r="G88" i="1"/>
  <c r="F88" i="1"/>
  <c r="Q86" i="1"/>
  <c r="P86" i="1"/>
  <c r="L86" i="1"/>
  <c r="K86" i="1"/>
  <c r="G86" i="1"/>
  <c r="F86" i="1"/>
  <c r="U83" i="1" s="1"/>
  <c r="E85" i="1"/>
  <c r="C85" i="1"/>
  <c r="S84" i="1"/>
  <c r="R84" i="1"/>
  <c r="Q84" i="1"/>
  <c r="T84" i="1" s="1"/>
  <c r="P84" i="1"/>
  <c r="O84" i="1"/>
  <c r="N84" i="1"/>
  <c r="M84" i="1"/>
  <c r="L84" i="1"/>
  <c r="K84" i="1"/>
  <c r="I84" i="1"/>
  <c r="H84" i="1"/>
  <c r="G84" i="1"/>
  <c r="J84" i="1" s="1"/>
  <c r="F84" i="1"/>
  <c r="Q82" i="1"/>
  <c r="P82" i="1"/>
  <c r="L82" i="1"/>
  <c r="K82" i="1"/>
  <c r="G82" i="1"/>
  <c r="F82" i="1"/>
  <c r="U79" i="1" s="1"/>
  <c r="E81" i="1"/>
  <c r="C81" i="1"/>
  <c r="S80" i="1"/>
  <c r="R80" i="1"/>
  <c r="Q80" i="1"/>
  <c r="T80" i="1" s="1"/>
  <c r="P80" i="1"/>
  <c r="O80" i="1"/>
  <c r="N80" i="1"/>
  <c r="M80" i="1"/>
  <c r="L80" i="1"/>
  <c r="K80" i="1"/>
  <c r="I80" i="1"/>
  <c r="H80" i="1"/>
  <c r="G80" i="1"/>
  <c r="J80" i="1" s="1"/>
  <c r="F80" i="1"/>
  <c r="Q78" i="1"/>
  <c r="P78" i="1"/>
  <c r="L78" i="1"/>
  <c r="K78" i="1"/>
  <c r="G78" i="1"/>
  <c r="F78" i="1"/>
  <c r="U75" i="1" s="1"/>
  <c r="E77" i="1"/>
  <c r="C77" i="1"/>
  <c r="S76" i="1"/>
  <c r="R76" i="1"/>
  <c r="Q76" i="1"/>
  <c r="T76" i="1" s="1"/>
  <c r="P76" i="1"/>
  <c r="O76" i="1"/>
  <c r="N76" i="1"/>
  <c r="M76" i="1"/>
  <c r="L76" i="1"/>
  <c r="K76" i="1"/>
  <c r="I76" i="1"/>
  <c r="H76" i="1"/>
  <c r="G76" i="1"/>
  <c r="J76" i="1" s="1"/>
  <c r="F76" i="1"/>
  <c r="Q74" i="1"/>
  <c r="P74" i="1"/>
  <c r="L74" i="1"/>
  <c r="K74" i="1"/>
  <c r="G74" i="1"/>
  <c r="F74" i="1"/>
  <c r="U71" i="1" s="1"/>
  <c r="E73" i="1"/>
  <c r="C73" i="1"/>
  <c r="T72" i="1"/>
  <c r="S72" i="1"/>
  <c r="R72" i="1"/>
  <c r="Q72" i="1"/>
  <c r="P72" i="1"/>
  <c r="N72" i="1"/>
  <c r="M72" i="1"/>
  <c r="L72" i="1"/>
  <c r="O72" i="1" s="1"/>
  <c r="K72" i="1"/>
  <c r="I72" i="1"/>
  <c r="H72" i="1"/>
  <c r="G72" i="1"/>
  <c r="J72" i="1" s="1"/>
  <c r="F72" i="1"/>
  <c r="Q70" i="1"/>
  <c r="P70" i="1"/>
  <c r="L70" i="1"/>
  <c r="K70" i="1"/>
  <c r="G70" i="1"/>
  <c r="F70" i="1"/>
  <c r="U67" i="1" s="1"/>
  <c r="E69" i="1"/>
  <c r="C69" i="1"/>
  <c r="T68" i="1"/>
  <c r="S68" i="1"/>
  <c r="R68" i="1"/>
  <c r="Q68" i="1"/>
  <c r="P68" i="1"/>
  <c r="N68" i="1"/>
  <c r="M68" i="1"/>
  <c r="L68" i="1"/>
  <c r="O68" i="1" s="1"/>
  <c r="K68" i="1"/>
  <c r="I68" i="1"/>
  <c r="H68" i="1"/>
  <c r="G68" i="1"/>
  <c r="J68" i="1" s="1"/>
  <c r="F68" i="1"/>
  <c r="Q66" i="1"/>
  <c r="P66" i="1"/>
  <c r="L66" i="1"/>
  <c r="K66" i="1"/>
  <c r="G66" i="1"/>
  <c r="F66" i="1"/>
  <c r="U63" i="1" s="1"/>
  <c r="E65" i="1"/>
  <c r="C65" i="1"/>
  <c r="S64" i="1"/>
  <c r="R64" i="1"/>
  <c r="Q64" i="1"/>
  <c r="T64" i="1" s="1"/>
  <c r="P64" i="1"/>
  <c r="N64" i="1"/>
  <c r="M64" i="1"/>
  <c r="L64" i="1"/>
  <c r="O64" i="1" s="1"/>
  <c r="K64" i="1"/>
  <c r="I64" i="1"/>
  <c r="H64" i="1"/>
  <c r="G64" i="1"/>
  <c r="J64" i="1" s="1"/>
  <c r="F64" i="1"/>
  <c r="Q62" i="1"/>
  <c r="P62" i="1"/>
  <c r="L62" i="1"/>
  <c r="K62" i="1"/>
  <c r="G62" i="1"/>
  <c r="F62" i="1"/>
  <c r="E61" i="1"/>
  <c r="C61" i="1"/>
  <c r="S60" i="1"/>
  <c r="R60" i="1"/>
  <c r="Q60" i="1"/>
  <c r="T60" i="1" s="1"/>
  <c r="P60" i="1"/>
  <c r="N60" i="1"/>
  <c r="M60" i="1"/>
  <c r="L60" i="1"/>
  <c r="O60" i="1" s="1"/>
  <c r="K60" i="1"/>
  <c r="I60" i="1"/>
  <c r="H60" i="1"/>
  <c r="G60" i="1"/>
  <c r="J60" i="1" s="1"/>
  <c r="F60" i="1"/>
  <c r="U59" i="1"/>
  <c r="Q58" i="1"/>
  <c r="P58" i="1"/>
  <c r="U55" i="1" s="1"/>
  <c r="L58" i="1"/>
  <c r="K58" i="1"/>
  <c r="G58" i="1"/>
  <c r="F58" i="1"/>
  <c r="E57" i="1"/>
  <c r="C57" i="1"/>
  <c r="S56" i="1"/>
  <c r="R56" i="1"/>
  <c r="Q56" i="1"/>
  <c r="T56" i="1" s="1"/>
  <c r="P56" i="1"/>
  <c r="O56" i="1"/>
  <c r="N56" i="1"/>
  <c r="M56" i="1"/>
  <c r="L56" i="1"/>
  <c r="K56" i="1"/>
  <c r="I56" i="1"/>
  <c r="H56" i="1"/>
  <c r="G56" i="1"/>
  <c r="J56" i="1" s="1"/>
  <c r="F56" i="1"/>
  <c r="Q54" i="1"/>
  <c r="P54" i="1"/>
  <c r="L54" i="1"/>
  <c r="K54" i="1"/>
  <c r="G54" i="1"/>
  <c r="F54" i="1"/>
  <c r="U51" i="1" s="1"/>
  <c r="E53" i="1"/>
  <c r="C53" i="1"/>
  <c r="T52" i="1"/>
  <c r="S52" i="1"/>
  <c r="R52" i="1"/>
  <c r="Q52" i="1"/>
  <c r="P52" i="1"/>
  <c r="N52" i="1"/>
  <c r="M52" i="1"/>
  <c r="L52" i="1"/>
  <c r="O52" i="1" s="1"/>
  <c r="K52" i="1"/>
  <c r="J52" i="1"/>
  <c r="I52" i="1"/>
  <c r="H52" i="1"/>
  <c r="G52" i="1"/>
  <c r="F52" i="1"/>
  <c r="Q50" i="1"/>
  <c r="P50" i="1"/>
  <c r="L50" i="1"/>
  <c r="K50" i="1"/>
  <c r="G50" i="1"/>
  <c r="F50" i="1"/>
  <c r="U47" i="1" s="1"/>
  <c r="E49" i="1"/>
  <c r="C49" i="1"/>
  <c r="S48" i="1"/>
  <c r="R48" i="1"/>
  <c r="Q48" i="1"/>
  <c r="T48" i="1" s="1"/>
  <c r="P48" i="1"/>
  <c r="N48" i="1"/>
  <c r="M48" i="1"/>
  <c r="L48" i="1"/>
  <c r="O48" i="1" s="1"/>
  <c r="K48" i="1"/>
  <c r="J48" i="1"/>
  <c r="I48" i="1"/>
  <c r="H48" i="1"/>
  <c r="G48" i="1"/>
  <c r="F48" i="1"/>
  <c r="Q46" i="1"/>
  <c r="P46" i="1"/>
  <c r="L46" i="1"/>
  <c r="K46" i="1"/>
  <c r="G46" i="1"/>
  <c r="F46" i="1"/>
  <c r="U43" i="1" s="1"/>
  <c r="E45" i="1"/>
  <c r="C45" i="1"/>
  <c r="S44" i="1"/>
  <c r="R44" i="1"/>
  <c r="Q44" i="1"/>
  <c r="T44" i="1" s="1"/>
  <c r="P44" i="1"/>
  <c r="N44" i="1"/>
  <c r="M44" i="1"/>
  <c r="L44" i="1"/>
  <c r="O44" i="1" s="1"/>
  <c r="K44" i="1"/>
  <c r="J44" i="1"/>
  <c r="I44" i="1"/>
  <c r="H44" i="1"/>
  <c r="G44" i="1"/>
  <c r="F44" i="1"/>
  <c r="Q42" i="1"/>
  <c r="P42" i="1"/>
  <c r="L42" i="1"/>
  <c r="K42" i="1"/>
  <c r="G42" i="1"/>
  <c r="F42" i="1"/>
  <c r="U39" i="1" s="1"/>
  <c r="E41" i="1"/>
  <c r="C41" i="1"/>
  <c r="T40" i="1"/>
  <c r="S40" i="1"/>
  <c r="R40" i="1"/>
  <c r="Q40" i="1"/>
  <c r="P40" i="1"/>
  <c r="O40" i="1"/>
  <c r="N40" i="1"/>
  <c r="M40" i="1"/>
  <c r="L40" i="1"/>
  <c r="K40" i="1"/>
  <c r="I40" i="1"/>
  <c r="H40" i="1"/>
  <c r="G40" i="1"/>
  <c r="J40" i="1" s="1"/>
  <c r="F40" i="1"/>
  <c r="Q38" i="1"/>
  <c r="P38" i="1"/>
  <c r="L38" i="1"/>
  <c r="K38" i="1"/>
  <c r="G38" i="1"/>
  <c r="F38" i="1"/>
  <c r="U35" i="1" s="1"/>
  <c r="E37" i="1"/>
  <c r="C37" i="1"/>
  <c r="T36" i="1"/>
  <c r="S36" i="1"/>
  <c r="R36" i="1"/>
  <c r="Q36" i="1"/>
  <c r="P36" i="1"/>
  <c r="O36" i="1"/>
  <c r="N36" i="1"/>
  <c r="M36" i="1"/>
  <c r="L36" i="1"/>
  <c r="K36" i="1"/>
  <c r="I36" i="1"/>
  <c r="H36" i="1"/>
  <c r="G36" i="1"/>
  <c r="J36" i="1" s="1"/>
  <c r="F36" i="1"/>
  <c r="Q34" i="1"/>
  <c r="P34" i="1"/>
  <c r="U31" i="1" s="1"/>
  <c r="L34" i="1"/>
  <c r="K34" i="1"/>
  <c r="G34" i="1"/>
  <c r="F34" i="1"/>
  <c r="E33" i="1"/>
  <c r="C33" i="1"/>
  <c r="S32" i="1"/>
  <c r="R32" i="1"/>
  <c r="Q32" i="1"/>
  <c r="T32" i="1" s="1"/>
  <c r="P32" i="1"/>
  <c r="O32" i="1"/>
  <c r="N32" i="1"/>
  <c r="M32" i="1"/>
  <c r="L32" i="1"/>
  <c r="K32" i="1"/>
  <c r="I32" i="1"/>
  <c r="H32" i="1"/>
  <c r="G32" i="1"/>
  <c r="J32" i="1" s="1"/>
  <c r="F32" i="1"/>
  <c r="Q30" i="1"/>
  <c r="P30" i="1"/>
  <c r="U27" i="1" s="1"/>
  <c r="L30" i="1"/>
  <c r="K30" i="1"/>
  <c r="G30" i="1"/>
  <c r="F30" i="1"/>
  <c r="E29" i="1"/>
  <c r="C29" i="1"/>
  <c r="T28" i="1"/>
  <c r="S28" i="1"/>
  <c r="R28" i="1"/>
  <c r="Q28" i="1"/>
  <c r="P28" i="1"/>
  <c r="N28" i="1"/>
  <c r="M28" i="1"/>
  <c r="L28" i="1"/>
  <c r="O28" i="1" s="1"/>
  <c r="K28" i="1"/>
  <c r="I28" i="1"/>
  <c r="H28" i="1"/>
  <c r="G28" i="1"/>
  <c r="J28" i="1" s="1"/>
  <c r="F28" i="1"/>
  <c r="Q26" i="1"/>
  <c r="P26" i="1"/>
  <c r="U23" i="1" s="1"/>
  <c r="L26" i="1"/>
  <c r="K26" i="1"/>
  <c r="G26" i="1"/>
  <c r="F26" i="1"/>
  <c r="E25" i="1"/>
  <c r="C25" i="1"/>
  <c r="T24" i="1"/>
  <c r="S24" i="1"/>
  <c r="R24" i="1"/>
  <c r="Q24" i="1"/>
  <c r="P24" i="1"/>
  <c r="N24" i="1"/>
  <c r="M24" i="1"/>
  <c r="L24" i="1"/>
  <c r="O24" i="1" s="1"/>
  <c r="K24" i="1"/>
  <c r="I24" i="1"/>
  <c r="H24" i="1"/>
  <c r="G24" i="1"/>
  <c r="J24" i="1" s="1"/>
  <c r="F24" i="1"/>
  <c r="Q22" i="1"/>
  <c r="P22" i="1"/>
  <c r="U19" i="1" s="1"/>
  <c r="L22" i="1"/>
  <c r="K22" i="1"/>
  <c r="G22" i="1"/>
  <c r="F22" i="1"/>
  <c r="E21" i="1"/>
  <c r="C21" i="1"/>
  <c r="S20" i="1"/>
  <c r="R20" i="1"/>
  <c r="Q20" i="1"/>
  <c r="T20" i="1" s="1"/>
  <c r="P20" i="1"/>
  <c r="N20" i="1"/>
  <c r="M20" i="1"/>
  <c r="L20" i="1"/>
  <c r="O20" i="1" s="1"/>
  <c r="K20" i="1"/>
  <c r="I20" i="1"/>
  <c r="H20" i="1"/>
  <c r="G20" i="1"/>
  <c r="J20" i="1" s="1"/>
  <c r="F20" i="1"/>
  <c r="Q18" i="1"/>
  <c r="P18" i="1"/>
  <c r="U15" i="1" s="1"/>
  <c r="L18" i="1"/>
  <c r="K18" i="1"/>
  <c r="G18" i="1"/>
  <c r="F18" i="1"/>
  <c r="E17" i="1"/>
  <c r="C17" i="1"/>
  <c r="S16" i="1"/>
  <c r="R16" i="1"/>
  <c r="Q16" i="1"/>
  <c r="T16" i="1" s="1"/>
  <c r="P16" i="1"/>
  <c r="O16" i="1"/>
  <c r="N16" i="1"/>
  <c r="M16" i="1"/>
  <c r="L16" i="1"/>
  <c r="K16" i="1"/>
  <c r="I16" i="1"/>
  <c r="H16" i="1"/>
  <c r="G16" i="1"/>
  <c r="J16" i="1" s="1"/>
  <c r="F16" i="1"/>
  <c r="Q14" i="1"/>
  <c r="P14" i="1"/>
  <c r="L14" i="1"/>
  <c r="K14" i="1"/>
  <c r="G14" i="1"/>
  <c r="F14" i="1"/>
  <c r="E13" i="1"/>
  <c r="C13" i="1"/>
  <c r="S12" i="1"/>
  <c r="R12" i="1"/>
  <c r="Q12" i="1"/>
  <c r="T12" i="1" s="1"/>
  <c r="P12" i="1"/>
  <c r="O12" i="1"/>
  <c r="N12" i="1"/>
  <c r="M12" i="1"/>
  <c r="L12" i="1"/>
  <c r="K12" i="1"/>
  <c r="I12" i="1"/>
  <c r="H12" i="1"/>
  <c r="G12" i="1"/>
  <c r="J12" i="1" s="1"/>
  <c r="F12" i="1"/>
  <c r="U11" i="1"/>
</calcChain>
</file>

<file path=xl/sharedStrings.xml><?xml version="1.0" encoding="utf-8"?>
<sst xmlns="http://schemas.openxmlformats.org/spreadsheetml/2006/main" count="72" uniqueCount="28">
  <si>
    <t>暗渠排水工事計画切深一覧表</t>
  </si>
  <si>
    <t/>
  </si>
  <si>
    <t>〇〇</t>
    <phoneticPr fontId="5"/>
  </si>
  <si>
    <t>渠番号</t>
  </si>
  <si>
    <t>配線延長</t>
  </si>
  <si>
    <t>配線間隔</t>
  </si>
  <si>
    <t>上　　　流　（C）</t>
    <phoneticPr fontId="3"/>
  </si>
  <si>
    <t>中　　　流　（B）</t>
    <phoneticPr fontId="3"/>
  </si>
  <si>
    <t>下　　　流　（A）</t>
    <phoneticPr fontId="3"/>
  </si>
  <si>
    <t>備考</t>
  </si>
  <si>
    <t>設　計</t>
  </si>
  <si>
    <t>実　測</t>
  </si>
  <si>
    <t>差</t>
  </si>
  <si>
    <t>設計</t>
  </si>
  <si>
    <t>実測</t>
    <rPh sb="0" eb="2">
      <t>ジッソク</t>
    </rPh>
    <phoneticPr fontId="3"/>
  </si>
  <si>
    <t>設計延長
(ｍ)</t>
    <phoneticPr fontId="5"/>
  </si>
  <si>
    <t>規格値 
㎜</t>
  </si>
  <si>
    <t>設計延長
(ｍ)</t>
  </si>
  <si>
    <t>地　盤　高</t>
  </si>
  <si>
    <t>±50</t>
  </si>
  <si>
    <t>勾配</t>
  </si>
  <si>
    <t>疎水高</t>
  </si>
  <si>
    <t>疎水厚</t>
  </si>
  <si>
    <t>実測延長
(ｍ)</t>
  </si>
  <si>
    <t>-0.2
 -1000</t>
  </si>
  <si>
    <t>±750</t>
  </si>
  <si>
    <t>掘削高</t>
  </si>
  <si>
    <t>埋設深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</si>
</sst>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quot;圃場番号　　&quot;@"/>
    <numFmt numFmtId="177" formatCode="&quot;面積　　　&quot;0.00&quot;ha&quot;"/>
    <numFmt numFmtId="178" formatCode="&quot;受益者　　&quot;@"/>
    <numFmt numFmtId="179" formatCode="&quot;測定者　　&quot;@"/>
    <numFmt numFmtId="180" formatCode="0.00_ "/>
    <numFmt numFmtId="181" formatCode="0.000_ "/>
    <numFmt numFmtId="182" formatCode="&quot;1/&quot;0"/>
    <numFmt numFmtId="183" formatCode="\φ0"/>
    <numFmt numFmtId="184" formatCode="0.000"/>
  </numFmts>
  <fonts count="9" x14ac:knownFonts="1">
    <font>
      <sz val="11"/>
      <color theme="1"/>
      <name val="游ゴシック"/>
      <family val="2"/>
      <charset val="128"/>
      <scheme val="minor"/>
    </font>
    <font>
      <sz val="11"/>
      <color theme="1"/>
      <name val="游ゴシック"/>
      <family val="2"/>
      <charset val="128"/>
      <scheme val="minor"/>
    </font>
    <font>
      <sz val="16"/>
      <name val="ＭＳ Ｐゴシック"/>
      <family val="3"/>
      <charset val="128"/>
    </font>
    <font>
      <sz val="6"/>
      <name val="游ゴシック"/>
      <family val="2"/>
      <charset val="128"/>
      <scheme val="minor"/>
    </font>
    <font>
      <sz val="9"/>
      <name val="ＭＳ Ｐゴシック"/>
      <family val="3"/>
      <charset val="128"/>
    </font>
    <font>
      <sz val="6"/>
      <name val="ＭＳ Ｐゴシック"/>
      <family val="3"/>
      <charset val="128"/>
    </font>
    <font>
      <sz val="8"/>
      <name val="ＭＳ Ｐゴシック"/>
      <family val="3"/>
      <charset val="128"/>
    </font>
    <font>
      <sz val="8"/>
      <color rgb="FFFF0000"/>
      <name val="ＭＳ Ｐゴシック"/>
      <family val="3"/>
      <charset val="128"/>
    </font>
    <font>
      <sz val="8"/>
      <color indexed="30"/>
      <name val="ＭＳ Ｐゴシック"/>
      <family val="3"/>
      <charset val="128"/>
    </font>
  </fonts>
  <fills count="3">
    <fill>
      <patternFill patternType="none"/>
    </fill>
    <fill>
      <patternFill patternType="gray125"/>
    </fill>
    <fill>
      <patternFill patternType="solid">
        <fgColor indexed="27"/>
        <bgColor indexed="41"/>
      </patternFill>
    </fill>
  </fills>
  <borders count="68">
    <border>
      <left/>
      <right/>
      <top/>
      <bottom/>
      <diagonal/>
    </border>
    <border>
      <left/>
      <right/>
      <top/>
      <bottom style="thin">
        <color indexed="8"/>
      </bottom>
      <diagonal/>
    </border>
    <border>
      <left/>
      <right/>
      <top/>
      <bottom style="thin">
        <color indexed="64"/>
      </bottom>
      <diagonal/>
    </border>
    <border>
      <left style="thin">
        <color indexed="64"/>
      </left>
      <right style="thin">
        <color indexed="8"/>
      </right>
      <top style="thin">
        <color indexed="64"/>
      </top>
      <bottom/>
      <diagonal/>
    </border>
    <border>
      <left style="thin">
        <color indexed="8"/>
      </left>
      <right/>
      <top style="thin">
        <color indexed="64"/>
      </top>
      <bottom/>
      <diagonal/>
    </border>
    <border>
      <left/>
      <right style="thin">
        <color indexed="8"/>
      </right>
      <top style="thin">
        <color indexed="64"/>
      </top>
      <bottom/>
      <diagonal/>
    </border>
    <border>
      <left/>
      <right/>
      <top style="thin">
        <color indexed="64"/>
      </top>
      <bottom/>
      <diagonal/>
    </border>
    <border>
      <left style="thin">
        <color indexed="64"/>
      </left>
      <right/>
      <top style="thin">
        <color indexed="64"/>
      </top>
      <bottom style="hair">
        <color indexed="8"/>
      </bottom>
      <diagonal/>
    </border>
    <border>
      <left/>
      <right/>
      <top style="thin">
        <color indexed="64"/>
      </top>
      <bottom style="hair">
        <color indexed="8"/>
      </bottom>
      <diagonal/>
    </border>
    <border>
      <left/>
      <right style="thin">
        <color indexed="64"/>
      </right>
      <top style="thin">
        <color indexed="64"/>
      </top>
      <bottom style="hair">
        <color indexed="8"/>
      </bottom>
      <diagonal/>
    </border>
    <border>
      <left/>
      <right style="thin">
        <color indexed="8"/>
      </right>
      <top style="thin">
        <color indexed="64"/>
      </top>
      <bottom style="hair">
        <color indexed="8"/>
      </bottom>
      <diagonal/>
    </border>
    <border>
      <left style="thin">
        <color indexed="8"/>
      </left>
      <right/>
      <top style="thin">
        <color indexed="64"/>
      </top>
      <bottom style="hair">
        <color indexed="8"/>
      </bottom>
      <diagonal/>
    </border>
    <border>
      <left style="thin">
        <color indexed="64"/>
      </left>
      <right style="thin">
        <color indexed="8"/>
      </right>
      <top/>
      <bottom/>
      <diagonal/>
    </border>
    <border>
      <left style="thin">
        <color indexed="8"/>
      </left>
      <right/>
      <top/>
      <bottom style="hair">
        <color indexed="8"/>
      </bottom>
      <diagonal/>
    </border>
    <border>
      <left/>
      <right style="thin">
        <color indexed="8"/>
      </right>
      <top/>
      <bottom style="hair">
        <color indexed="8"/>
      </bottom>
      <diagonal/>
    </border>
    <border>
      <left/>
      <right/>
      <top/>
      <bottom style="hair">
        <color indexed="8"/>
      </bottom>
      <diagonal/>
    </border>
    <border>
      <left style="thin">
        <color indexed="64"/>
      </left>
      <right style="hair">
        <color indexed="8"/>
      </right>
      <top style="hair">
        <color indexed="8"/>
      </top>
      <bottom/>
      <diagonal/>
    </border>
    <border>
      <left style="hair">
        <color indexed="8"/>
      </left>
      <right style="hair">
        <color indexed="8"/>
      </right>
      <top style="hair">
        <color indexed="8"/>
      </top>
      <bottom/>
      <diagonal/>
    </border>
    <border>
      <left style="hair">
        <color indexed="8"/>
      </left>
      <right style="thin">
        <color indexed="64"/>
      </right>
      <top style="hair">
        <color indexed="8"/>
      </top>
      <bottom/>
      <diagonal/>
    </border>
    <border>
      <left/>
      <right style="hair">
        <color indexed="8"/>
      </right>
      <top style="hair">
        <color indexed="8"/>
      </top>
      <bottom/>
      <diagonal/>
    </border>
    <border>
      <left style="hair">
        <color indexed="8"/>
      </left>
      <right style="thin">
        <color indexed="8"/>
      </right>
      <top style="hair">
        <color indexed="8"/>
      </top>
      <bottom/>
      <diagonal/>
    </border>
    <border>
      <left style="thin">
        <color indexed="8"/>
      </left>
      <right style="hair">
        <color indexed="8"/>
      </right>
      <top style="hair">
        <color indexed="8"/>
      </top>
      <bottom/>
      <diagonal/>
    </border>
    <border>
      <left style="hair">
        <color indexed="8"/>
      </left>
      <right/>
      <top style="hair">
        <color indexed="8"/>
      </top>
      <bottom/>
      <diagonal/>
    </border>
    <border>
      <left style="thin">
        <color auto="1"/>
      </left>
      <right/>
      <top style="hair">
        <color indexed="8"/>
      </top>
      <bottom style="thin">
        <color indexed="8"/>
      </bottom>
      <diagonal/>
    </border>
    <border>
      <left/>
      <right style="thin">
        <color indexed="64"/>
      </right>
      <top style="hair">
        <color indexed="8"/>
      </top>
      <bottom style="thin">
        <color indexed="8"/>
      </bottom>
      <diagonal/>
    </border>
    <border>
      <left style="thin">
        <color indexed="64"/>
      </left>
      <right/>
      <top style="thin">
        <color indexed="8"/>
      </top>
      <bottom style="hair">
        <color indexed="8"/>
      </bottom>
      <diagonal/>
    </border>
    <border>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64"/>
      </right>
      <top style="thin">
        <color indexed="8"/>
      </top>
      <bottom style="hair">
        <color indexed="8"/>
      </bottom>
      <diagonal/>
    </border>
    <border>
      <left/>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top style="thin">
        <color indexed="8"/>
      </top>
      <bottom style="hair">
        <color indexed="8"/>
      </bottom>
      <diagonal/>
    </border>
    <border>
      <left style="hair">
        <color indexed="8"/>
      </left>
      <right/>
      <top style="thin">
        <color indexed="8"/>
      </top>
      <bottom style="hair">
        <color indexed="8"/>
      </bottom>
      <diagonal/>
    </border>
    <border>
      <left/>
      <right style="thin">
        <color indexed="64"/>
      </right>
      <top style="thin">
        <color indexed="8"/>
      </top>
      <bottom style="hair">
        <color indexed="8"/>
      </bottom>
      <diagonal/>
    </border>
    <border>
      <left style="thin">
        <color indexed="8"/>
      </left>
      <right style="hair">
        <color indexed="8"/>
      </right>
      <top/>
      <bottom style="hair">
        <color indexed="8"/>
      </bottom>
      <diagonal/>
    </border>
    <border>
      <left style="hair">
        <color indexed="8"/>
      </left>
      <right style="thin">
        <color indexed="8"/>
      </right>
      <top/>
      <bottom style="hair">
        <color indexed="8"/>
      </bottom>
      <diagonal/>
    </border>
    <border>
      <left style="hair">
        <color indexed="8"/>
      </left>
      <right/>
      <top/>
      <bottom style="hair">
        <color indexed="8"/>
      </bottom>
      <diagonal/>
    </border>
    <border>
      <left style="thin">
        <color indexed="64"/>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64"/>
      </right>
      <top style="hair">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thin">
        <color indexed="8"/>
      </left>
      <right style="hair">
        <color indexed="8"/>
      </right>
      <top style="hair">
        <color indexed="8"/>
      </top>
      <bottom style="hair">
        <color indexed="8"/>
      </bottom>
      <diagonal/>
    </border>
    <border>
      <left style="thin">
        <color indexed="8"/>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thin">
        <color indexed="8"/>
      </right>
      <top/>
      <bottom style="thin">
        <color indexed="64"/>
      </bottom>
      <diagonal/>
    </border>
    <border>
      <left style="thin">
        <color indexed="8"/>
      </left>
      <right style="hair">
        <color indexed="8"/>
      </right>
      <top/>
      <bottom style="thin">
        <color indexed="64"/>
      </bottom>
      <diagonal/>
    </border>
    <border>
      <left style="hair">
        <color indexed="8"/>
      </left>
      <right style="thin">
        <color indexed="8"/>
      </right>
      <top/>
      <bottom style="thin">
        <color indexed="64"/>
      </bottom>
      <diagonal/>
    </border>
    <border>
      <left style="hair">
        <color indexed="8"/>
      </left>
      <right/>
      <top/>
      <bottom style="thin">
        <color indexed="64"/>
      </bottom>
      <diagonal/>
    </border>
    <border>
      <left style="thin">
        <color indexed="64"/>
      </left>
      <right style="hair">
        <color indexed="8"/>
      </right>
      <top style="hair">
        <color indexed="8"/>
      </top>
      <bottom style="thin">
        <color indexed="64"/>
      </bottom>
      <diagonal/>
    </border>
    <border>
      <left style="hair">
        <color indexed="8"/>
      </left>
      <right style="hair">
        <color indexed="8"/>
      </right>
      <top style="hair">
        <color indexed="8"/>
      </top>
      <bottom style="thin">
        <color indexed="64"/>
      </bottom>
      <diagonal/>
    </border>
    <border>
      <left style="hair">
        <color indexed="8"/>
      </left>
      <right style="thin">
        <color indexed="64"/>
      </right>
      <top style="hair">
        <color indexed="8"/>
      </top>
      <bottom style="thin">
        <color indexed="64"/>
      </bottom>
      <diagonal/>
    </border>
    <border>
      <left/>
      <right style="hair">
        <color indexed="8"/>
      </right>
      <top style="hair">
        <color indexed="8"/>
      </top>
      <bottom style="thin">
        <color indexed="64"/>
      </bottom>
      <diagonal/>
    </border>
    <border>
      <left style="hair">
        <color indexed="8"/>
      </left>
      <right/>
      <top style="hair">
        <color indexed="8"/>
      </top>
      <bottom style="thin">
        <color indexed="64"/>
      </bottom>
      <diagonal/>
    </border>
    <border>
      <left style="thin">
        <color indexed="8"/>
      </left>
      <right style="hair">
        <color indexed="8"/>
      </right>
      <top style="hair">
        <color indexed="8"/>
      </top>
      <bottom style="thin">
        <color indexed="64"/>
      </bottom>
      <diagonal/>
    </border>
    <border>
      <left style="thin">
        <color indexed="8"/>
      </left>
      <right/>
      <top style="hair">
        <color indexed="8"/>
      </top>
      <bottom style="thin">
        <color indexed="64"/>
      </bottom>
      <diagonal/>
    </border>
    <border>
      <left/>
      <right style="thin">
        <color indexed="64"/>
      </right>
      <top style="hair">
        <color indexed="8"/>
      </top>
      <bottom style="thin">
        <color indexed="64"/>
      </bottom>
      <diagonal/>
    </border>
    <border>
      <left style="thin">
        <color indexed="8"/>
      </left>
      <right style="hair">
        <color indexed="8"/>
      </right>
      <top/>
      <bottom/>
      <diagonal/>
    </border>
    <border>
      <left style="hair">
        <color indexed="8"/>
      </left>
      <right style="thin">
        <color indexed="8"/>
      </right>
      <top/>
      <bottom/>
      <diagonal/>
    </border>
    <border>
      <left style="hair">
        <color indexed="8"/>
      </left>
      <right/>
      <top/>
      <bottom/>
      <diagonal/>
    </border>
    <border>
      <left/>
      <right style="hair">
        <color indexed="8"/>
      </right>
      <top style="thin">
        <color indexed="64"/>
      </top>
      <bottom style="hair">
        <color indexed="8"/>
      </bottom>
      <diagonal/>
    </border>
    <border>
      <left style="hair">
        <color indexed="8"/>
      </left>
      <right style="hair">
        <color indexed="8"/>
      </right>
      <top style="thin">
        <color indexed="64"/>
      </top>
      <bottom style="hair">
        <color indexed="8"/>
      </bottom>
      <diagonal/>
    </border>
    <border>
      <left style="hair">
        <color indexed="8"/>
      </left>
      <right/>
      <top style="thin">
        <color indexed="64"/>
      </top>
      <bottom style="hair">
        <color indexed="8"/>
      </bottom>
      <diagonal/>
    </border>
    <border>
      <left/>
      <right style="thin">
        <color indexed="64"/>
      </right>
      <top/>
      <bottom style="hair">
        <color indexed="8"/>
      </bottom>
      <diagonal/>
    </border>
    <border>
      <left style="thin">
        <color indexed="64"/>
      </left>
      <right style="thin">
        <color indexed="8"/>
      </right>
      <top/>
      <bottom style="hair">
        <color indexed="8"/>
      </bottom>
      <diagonal/>
    </border>
    <border>
      <left style="thin">
        <color indexed="64"/>
      </left>
      <right/>
      <top style="hair">
        <color indexed="8"/>
      </top>
      <bottom style="hair">
        <color indexed="8"/>
      </bottom>
      <diagonal/>
    </border>
    <border>
      <left style="thin">
        <color indexed="64"/>
      </left>
      <right/>
      <top style="hair">
        <color indexed="8"/>
      </top>
      <bottom style="thin">
        <color indexed="64"/>
      </bottom>
      <diagonal/>
    </border>
    <border>
      <left style="thin">
        <color indexed="64"/>
      </left>
      <right/>
      <top/>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111">
    <xf numFmtId="0" fontId="0" fillId="0" borderId="0" xfId="0">
      <alignment vertical="center"/>
    </xf>
    <xf numFmtId="0" fontId="2"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176" fontId="4" fillId="2" borderId="1" xfId="0" applyNumberFormat="1" applyFont="1" applyFill="1" applyBorder="1" applyAlignment="1">
      <alignment horizontal="center" vertical="center"/>
    </xf>
    <xf numFmtId="177" fontId="4" fillId="2" borderId="1" xfId="0" applyNumberFormat="1" applyFont="1" applyFill="1" applyBorder="1" applyAlignment="1">
      <alignment horizontal="left" vertical="center"/>
    </xf>
    <xf numFmtId="178" fontId="4" fillId="2" borderId="1" xfId="0" applyNumberFormat="1" applyFont="1" applyFill="1" applyBorder="1" applyAlignment="1">
      <alignment horizontal="left" vertical="center"/>
    </xf>
    <xf numFmtId="179" fontId="4" fillId="2" borderId="1" xfId="0" applyNumberFormat="1" applyFont="1" applyFill="1" applyBorder="1" applyAlignment="1">
      <alignment horizontal="left" vertical="center"/>
    </xf>
    <xf numFmtId="179" fontId="5" fillId="0" borderId="0" xfId="0" applyNumberFormat="1" applyFont="1" applyAlignment="1">
      <alignment horizontal="left" vertical="center"/>
    </xf>
    <xf numFmtId="0" fontId="5"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1"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xf>
    <xf numFmtId="0" fontId="6" fillId="0" borderId="38" xfId="0" applyFont="1" applyBorder="1" applyAlignment="1">
      <alignment horizontal="center" vertical="center"/>
    </xf>
    <xf numFmtId="0" fontId="6" fillId="0" borderId="39" xfId="0" applyFont="1" applyBorder="1" applyAlignment="1">
      <alignment horizontal="center" vertical="center"/>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43" xfId="0" applyFont="1" applyBorder="1" applyAlignment="1">
      <alignment horizontal="center" vertical="center"/>
    </xf>
    <xf numFmtId="0" fontId="6" fillId="0" borderId="44" xfId="0" applyFont="1" applyBorder="1" applyAlignment="1">
      <alignment horizontal="center" vertical="center"/>
    </xf>
    <xf numFmtId="49" fontId="6" fillId="0" borderId="20" xfId="0" applyNumberFormat="1" applyFont="1" applyBorder="1" applyAlignment="1">
      <alignment horizontal="center" vertical="center" wrapText="1"/>
    </xf>
    <xf numFmtId="0" fontId="6" fillId="0" borderId="22" xfId="0" applyFont="1" applyBorder="1" applyAlignment="1">
      <alignment horizontal="center" vertical="center"/>
    </xf>
    <xf numFmtId="0" fontId="6" fillId="0" borderId="45" xfId="0" applyFont="1" applyBorder="1" applyAlignment="1">
      <alignment horizontal="center" vertical="center"/>
    </xf>
    <xf numFmtId="0" fontId="6" fillId="0" borderId="46" xfId="0" applyFont="1" applyBorder="1" applyAlignment="1">
      <alignment horizontal="center" vertical="center" wrapText="1"/>
    </xf>
    <xf numFmtId="49" fontId="6" fillId="0" borderId="47" xfId="0" applyNumberFormat="1" applyFont="1" applyBorder="1" applyAlignment="1">
      <alignment horizontal="center" vertical="center" wrapText="1"/>
    </xf>
    <xf numFmtId="0" fontId="6" fillId="0" borderId="48" xfId="0" applyFont="1" applyBorder="1" applyAlignment="1">
      <alignment horizontal="center" vertical="center"/>
    </xf>
    <xf numFmtId="0" fontId="6" fillId="0" borderId="49" xfId="0" applyFont="1" applyBorder="1" applyAlignment="1">
      <alignment horizontal="center" vertical="center"/>
    </xf>
    <xf numFmtId="0" fontId="6" fillId="0" borderId="50" xfId="0" applyFont="1" applyBorder="1" applyAlignment="1">
      <alignment horizontal="center" vertical="center"/>
    </xf>
    <xf numFmtId="0" fontId="6" fillId="0" borderId="51" xfId="0" applyFont="1" applyBorder="1" applyAlignment="1">
      <alignment horizontal="center" vertical="center"/>
    </xf>
    <xf numFmtId="0" fontId="6" fillId="0" borderId="52" xfId="0" applyFont="1" applyBorder="1" applyAlignment="1">
      <alignment horizontal="center" vertical="center"/>
    </xf>
    <xf numFmtId="0" fontId="6" fillId="0" borderId="53" xfId="0" applyFont="1" applyBorder="1" applyAlignment="1">
      <alignment horizontal="center" vertical="center"/>
    </xf>
    <xf numFmtId="0" fontId="6" fillId="0" borderId="54" xfId="0" applyFont="1" applyBorder="1" applyAlignment="1">
      <alignment horizontal="center" vertical="center"/>
    </xf>
    <xf numFmtId="0" fontId="6" fillId="0" borderId="55" xfId="0" applyFont="1" applyBorder="1" applyAlignment="1">
      <alignment horizontal="center" vertical="center"/>
    </xf>
    <xf numFmtId="0" fontId="6" fillId="0" borderId="56" xfId="0" applyFont="1" applyBorder="1" applyAlignment="1">
      <alignment horizontal="center" vertical="center"/>
    </xf>
    <xf numFmtId="180" fontId="6" fillId="2" borderId="57" xfId="0" applyNumberFormat="1" applyFont="1" applyFill="1" applyBorder="1" applyAlignment="1">
      <alignment horizontal="center" vertical="center"/>
    </xf>
    <xf numFmtId="180" fontId="6" fillId="0" borderId="58" xfId="0" applyNumberFormat="1" applyFont="1" applyBorder="1" applyAlignment="1">
      <alignment horizontal="center" vertical="center"/>
    </xf>
    <xf numFmtId="180" fontId="6" fillId="0" borderId="59" xfId="0" applyNumberFormat="1" applyFont="1" applyBorder="1" applyAlignment="1">
      <alignment horizontal="center" vertical="center"/>
    </xf>
    <xf numFmtId="181" fontId="6" fillId="2" borderId="7" xfId="0" applyNumberFormat="1" applyFont="1" applyFill="1" applyBorder="1" applyAlignment="1">
      <alignment horizontal="center" vertical="center"/>
    </xf>
    <xf numFmtId="181" fontId="6" fillId="2" borderId="60" xfId="0" applyNumberFormat="1" applyFont="1" applyFill="1" applyBorder="1" applyAlignment="1">
      <alignment horizontal="center" vertical="center"/>
    </xf>
    <xf numFmtId="181" fontId="6" fillId="0" borderId="61" xfId="0" applyNumberFormat="1" applyFont="1" applyBorder="1" applyAlignment="1">
      <alignment horizontal="center" vertical="center"/>
    </xf>
    <xf numFmtId="181" fontId="7" fillId="0" borderId="61" xfId="0" applyNumberFormat="1" applyFont="1" applyBorder="1" applyAlignment="1">
      <alignment horizontal="center" vertical="center"/>
    </xf>
    <xf numFmtId="181" fontId="6" fillId="0" borderId="62" xfId="0" applyNumberFormat="1" applyFont="1" applyBorder="1" applyAlignment="1">
      <alignment horizontal="center" vertical="center"/>
    </xf>
    <xf numFmtId="182" fontId="6" fillId="0" borderId="13" xfId="0" applyNumberFormat="1" applyFont="1" applyBorder="1" applyAlignment="1">
      <alignment horizontal="center" vertical="center"/>
    </xf>
    <xf numFmtId="182" fontId="6" fillId="0" borderId="63" xfId="0" applyNumberFormat="1" applyFont="1" applyBorder="1" applyAlignment="1">
      <alignment horizontal="center" vertical="center"/>
    </xf>
    <xf numFmtId="0" fontId="6" fillId="0" borderId="64" xfId="0" applyFont="1" applyBorder="1" applyAlignment="1">
      <alignment horizontal="center" vertical="center"/>
    </xf>
    <xf numFmtId="180" fontId="6" fillId="2" borderId="34" xfId="0" applyNumberFormat="1" applyFont="1" applyFill="1" applyBorder="1" applyAlignment="1">
      <alignment horizontal="center" vertical="center"/>
    </xf>
    <xf numFmtId="180" fontId="6" fillId="0" borderId="35" xfId="0" applyNumberFormat="1" applyFont="1" applyBorder="1" applyAlignment="1">
      <alignment horizontal="center" vertical="center"/>
    </xf>
    <xf numFmtId="180" fontId="6" fillId="0" borderId="36" xfId="0" applyNumberFormat="1" applyFont="1" applyBorder="1" applyAlignment="1">
      <alignment horizontal="center" vertical="center"/>
    </xf>
    <xf numFmtId="181" fontId="6" fillId="2" borderId="37" xfId="0" applyNumberFormat="1" applyFont="1" applyFill="1" applyBorder="1" applyAlignment="1">
      <alignment horizontal="center" vertical="center"/>
    </xf>
    <xf numFmtId="181" fontId="6" fillId="2" borderId="38" xfId="0" applyNumberFormat="1" applyFont="1" applyFill="1" applyBorder="1" applyAlignment="1">
      <alignment horizontal="center" vertical="center"/>
    </xf>
    <xf numFmtId="181" fontId="6" fillId="0" borderId="38" xfId="0" applyNumberFormat="1" applyFont="1" applyBorder="1" applyAlignment="1">
      <alignment horizontal="center" vertical="center"/>
    </xf>
    <xf numFmtId="181" fontId="6" fillId="0" borderId="41" xfId="0" applyNumberFormat="1" applyFont="1" applyBorder="1" applyAlignment="1">
      <alignment horizontal="center" vertical="center"/>
    </xf>
    <xf numFmtId="181" fontId="7" fillId="2" borderId="38" xfId="0" applyNumberFormat="1" applyFont="1" applyFill="1" applyBorder="1" applyAlignment="1">
      <alignment horizontal="center" vertical="center"/>
    </xf>
    <xf numFmtId="38" fontId="6" fillId="0" borderId="37" xfId="1" applyFont="1" applyFill="1" applyBorder="1" applyAlignment="1" applyProtection="1">
      <alignment horizontal="right" vertical="center"/>
    </xf>
    <xf numFmtId="38" fontId="6" fillId="0" borderId="39" xfId="1" applyFont="1" applyFill="1" applyBorder="1" applyAlignment="1" applyProtection="1">
      <alignment vertical="center"/>
    </xf>
    <xf numFmtId="183" fontId="6" fillId="0" borderId="65" xfId="0" applyNumberFormat="1" applyFont="1" applyBorder="1" applyAlignment="1">
      <alignment horizontal="center" vertical="center"/>
    </xf>
    <xf numFmtId="180" fontId="7" fillId="2" borderId="21" xfId="0" applyNumberFormat="1" applyFont="1" applyFill="1" applyBorder="1" applyAlignment="1">
      <alignment horizontal="center" vertical="center"/>
    </xf>
    <xf numFmtId="180" fontId="6" fillId="0" borderId="20" xfId="0" applyNumberFormat="1" applyFont="1" applyBorder="1" applyAlignment="1">
      <alignment horizontal="center" vertical="center"/>
    </xf>
    <xf numFmtId="180" fontId="6" fillId="0" borderId="22" xfId="0" applyNumberFormat="1" applyFont="1" applyBorder="1" applyAlignment="1">
      <alignment horizontal="center" vertical="center"/>
    </xf>
    <xf numFmtId="181" fontId="6" fillId="0" borderId="37" xfId="0" applyNumberFormat="1" applyFont="1" applyBorder="1" applyAlignment="1">
      <alignment horizontal="center" vertical="center"/>
    </xf>
    <xf numFmtId="181" fontId="7" fillId="0" borderId="38" xfId="0" applyNumberFormat="1" applyFont="1" applyBorder="1" applyAlignment="1">
      <alignment horizontal="center" vertical="center"/>
    </xf>
    <xf numFmtId="184" fontId="6" fillId="0" borderId="37" xfId="0" applyNumberFormat="1" applyFont="1" applyBorder="1" applyAlignment="1">
      <alignment horizontal="right" vertical="center"/>
    </xf>
    <xf numFmtId="184" fontId="6" fillId="0" borderId="39" xfId="0" applyNumberFormat="1" applyFont="1" applyBorder="1">
      <alignment vertical="center"/>
    </xf>
    <xf numFmtId="49" fontId="6" fillId="0" borderId="66" xfId="0" applyNumberFormat="1" applyFont="1" applyBorder="1" applyAlignment="1">
      <alignment horizontal="center" vertical="center"/>
    </xf>
    <xf numFmtId="180" fontId="7" fillId="2" borderId="46" xfId="0" applyNumberFormat="1" applyFont="1" applyFill="1" applyBorder="1" applyAlignment="1">
      <alignment horizontal="center" vertical="center"/>
    </xf>
    <xf numFmtId="180" fontId="6" fillId="0" borderId="47" xfId="0" applyNumberFormat="1" applyFont="1" applyBorder="1" applyAlignment="1">
      <alignment horizontal="center" vertical="center"/>
    </xf>
    <xf numFmtId="180" fontId="6" fillId="0" borderId="48" xfId="0" applyNumberFormat="1" applyFont="1" applyBorder="1" applyAlignment="1">
      <alignment horizontal="center" vertical="center"/>
    </xf>
    <xf numFmtId="181" fontId="7" fillId="0" borderId="49" xfId="0" applyNumberFormat="1" applyFont="1" applyBorder="1" applyAlignment="1">
      <alignment horizontal="center" vertical="center"/>
    </xf>
    <xf numFmtId="181" fontId="7" fillId="0" borderId="50" xfId="0" applyNumberFormat="1" applyFont="1" applyBorder="1" applyAlignment="1">
      <alignment horizontal="center" vertical="center"/>
    </xf>
    <xf numFmtId="181" fontId="8" fillId="2" borderId="50" xfId="0" applyNumberFormat="1" applyFont="1" applyFill="1" applyBorder="1" applyAlignment="1">
      <alignment horizontal="center" vertical="center"/>
    </xf>
    <xf numFmtId="181" fontId="6" fillId="0" borderId="53" xfId="0" applyNumberFormat="1" applyFont="1" applyBorder="1" applyAlignment="1">
      <alignment horizontal="center" vertical="center"/>
    </xf>
    <xf numFmtId="181" fontId="6" fillId="0" borderId="49" xfId="0" applyNumberFormat="1" applyFont="1" applyBorder="1" applyAlignment="1">
      <alignment horizontal="center" vertical="center"/>
    </xf>
    <xf numFmtId="181" fontId="7" fillId="2" borderId="50" xfId="0" applyNumberFormat="1" applyFont="1" applyFill="1" applyBorder="1" applyAlignment="1">
      <alignment horizontal="center" vertical="center"/>
    </xf>
    <xf numFmtId="180" fontId="6" fillId="0" borderId="49" xfId="0" applyNumberFormat="1" applyFont="1" applyBorder="1" applyAlignment="1">
      <alignment horizontal="right" vertical="center"/>
    </xf>
    <xf numFmtId="180" fontId="6" fillId="0" borderId="51" xfId="0" applyNumberFormat="1" applyFont="1" applyBorder="1">
      <alignment vertical="center"/>
    </xf>
    <xf numFmtId="0" fontId="0" fillId="0" borderId="67" xfId="0" applyBorder="1">
      <alignmen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theme" Target="theme/theme1.xml"/><Relationship Id="rId8" Type="http://schemas.openxmlformats.org/officeDocument/2006/relationships/externalLink" Target="externalLinks/externalLink7.xml"/><Relationship Id="rId3"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Users/yokoy/&#26377;&#38480;&#20250;&#31038;&#27178;&#23665;&#28204;&#37327;&#35373;&#35336;&#20107;&#21209;&#25152;%20Dropbox/&#26377;&#38480;&#20250;&#31038;&#27178;&#23665;&#28204;&#37327;&#35373;&#35336;&#20107;&#21209;&#25152;%20&#12481;&#12540;&#12512;%20&#12501;&#12457;&#12523;&#12480;/A_&#28204;&#37327;&#20107;&#26989;/&#9632;&#26263;&#28192;&#35336;&#31639;&#26360;/&#26263;&#28192;&#35336;&#31639;&#26360;230530.xlsm" TargetMode="External"/><Relationship Id="rId2" Type="http://schemas.openxmlformats.org/officeDocument/2006/relationships/externalLinkPath" Target="file:///C:\Users\yokoy\&#26377;&#38480;&#20250;&#31038;&#27178;&#23665;&#28204;&#37327;&#35373;&#35336;&#20107;&#21209;&#25152;%20Dropbox\&#26377;&#38480;&#20250;&#31038;&#27178;&#23665;&#28204;&#37327;&#35373;&#35336;&#20107;&#21209;&#25152;%20&#12481;&#12540;&#12512;%20&#12501;&#12457;&#12523;&#12480;\A_&#28204;&#37327;&#20107;&#26989;\&#9632;&#26263;&#28192;&#35336;&#31639;&#26360;\&#26263;&#28192;&#35336;&#31639;&#26360;230530.xlsm" TargetMode="External"/><Relationship Id="rId1" Type="http://schemas.openxmlformats.org/officeDocument/2006/relationships/externalLinkPath" Target="/Users/yokoy/&#26377;&#38480;&#20250;&#31038;&#27178;&#23665;&#28204;&#37327;&#35373;&#35336;&#20107;&#21209;&#25152;%20Dropbox/&#26377;&#38480;&#20250;&#31038;&#27178;&#23665;&#28204;&#37327;&#35373;&#35336;&#20107;&#21209;&#25152;%20&#12481;&#12540;&#12512;%20&#12501;&#12457;&#12523;&#12480;/A_&#28204;&#37327;&#20107;&#26989;/&#9632;&#26263;&#28192;&#35336;&#31639;&#26360;/&#26263;&#28192;&#35336;&#31639;&#26360;23053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ASC2\data\&#29694;&#22580;\&#23500;&#33391;&#37326;\&#26448;&#26009;\&#25968;&#37327;&#35336;&#31639;&#2636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My%20Documents\&#20116;&#23798;&#35373;&#35336;\&#24314;&#35373;&#30465;&#23567;&#20986;&#24029;&#27211;&#65288;&#20116;&#23798;&#35373;&#35336;&#65289;\&#23567;&#20986;&#24029;&#272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Documents%20and%20Settings\ASC2\My%20Documents\My%20Documents\&#22303;&#31309;&#65294;&#27861;&#38754;\&#22303;&#31309;&#35336;&#31639;&#65288;&#65313;&#65300;&#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20843;&#22580;&#12480;&#12512;&#22823;&#27810;&#27211;&#65288;&#24314;&#35373;&#29872;&#22659;&#65289;\&#22823;&#27810;&#27211;&#22303;&#2403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V20(PC9821)\&#20304;&#34276;\&#36020;&#29983;&#20081;&#20837;\&#20837;&#33337;&#22496;&#38957;&#24185;&#32218;\&#35443;&#32048;&#35373;&#35336;\&#26032;&#31309;&#31639;\&#25913;&#24037;&#2010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atayama\&#31119;&#20303;&#22899;&#28288;&#21029;&#32218;\Documents%20and%20Settings\ASC2\My%20Documents\My%20Documents\&#22303;&#31309;&#65294;&#27861;&#38754;\&#22303;&#31309;&#35336;&#31639;&#65288;&#65313;&#65300;&#652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21335;&#65297;&#65301;&#21495;\&#25968;&#37327;\My%20Documents\&#38283;&#30330;&#25968;&#37327;&#32207;&#25324;&#34920;&#12381;&#12398;&#2018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V20(PC9821)\&#20304;&#34276;\&#36020;&#29983;&#20081;&#20837;\&#20837;&#33337;&#22496;&#38957;&#24185;&#32218;\&#35443;&#32048;&#35373;&#35336;\&#26032;&#31309;&#31639;\&#26087;&#26465;&#2021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F\&#24179;&#25104;&#65297;&#65299;&#24180;&#24230;\21167%20&#26481;&#23665;&#23500;&#33391;&#37326;&#32218;\&#22259;&#38754;\&#40595;&#37111;&#22320;&#21306;\&#25968;&#37327;\00.&#32257;&#3070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23665;&#23822;\&#12362;&#20181;&#20107;\JSC\&#26377;&#24133;&#24615;&#3302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Katayama\&#31119;&#20303;&#22899;&#28288;&#21029;&#32218;\Documents%20and%20Settings\ASC2\data\&#29694;&#22580;\&#23500;&#33391;&#37326;\&#26448;&#26009;\&#25968;&#37327;&#35336;&#31639;&#2636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ate\e\01.&#12489;&#65293;&#12467;&#12531;&#12288;&#26045;&#35373;&#37096;\2.&#27224;&#12288;&#27663;\&#25240;&#24029;\1.&#25104;&#26524;&#21697;\1.&#25968;&#37327;&#35336;&#31639;&#26360;\&#22303;&#31309;&#38598;&#3533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atayama\&#31119;&#20303;&#22899;&#28288;&#21029;&#32218;\&#21335;&#65297;&#65301;&#21495;\&#25968;&#37327;\My%20Documents\&#38283;&#30330;&#25968;&#37327;&#32207;&#25324;&#34920;&#12381;&#12398;&#2018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V200\b\&#22303;&#31309;&#38598;&#353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ILESERVER1\&#24403;&#26399;&#26989;&#21209;&#65411;&#65438;&#65392;&#65408;\16&#26399;\&#26989;&#21209;&#26413;&#24140;\US1008&#26408;&#21476;&#20869;&#24029;\&#25968;&#37327;&#35336;&#31639;\&#25968;&#37327;&#35336;&#31639;\&#24029;&#34920;&#32764;&#22721;U&#22411;0-0-B..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20489;&#30693;\&#26485;&#33276;&#25968;&#37327;\WINDOWS\&#65411;&#65438;&#65405;&#65400;&#65412;&#65391;&#65420;&#65439;\&#20849;&#26377;&#12501;&#12449;&#12452;&#12523;\&#20849;&#26377;&#65297;\H13&#23721;&#19977;&#25104;&#26524;\&#26412;&#32218;&#25968;&#37327;(SP=7080&#65374;SP=7589&#65289;\001&#36947;&#36335;&#22303;&#2403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ate\e\03.&#12489;&#65293;&#12467;&#12531;&#12288;&#38450;&#23550;\&#30495;&#27583;&#12288;&#27663;\&#22303;&#31309;&#38598;&#3533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F\&#24179;&#25104;&#65297;&#65299;&#24180;&#24230;\21167%20&#26481;&#23665;&#23500;&#33391;&#37326;&#32218;\&#25968;&#37327;&#35519;&#26360;\&#23665;&#37096;\08.&#27083;&#36896;&#29289;&#25764;&#21435;&#24037;\00.&#25490;&#27700;&#2403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ts-wxl311\&#26989;&#21209;&#12501;&#12449;&#12452;&#12523;\Excel\&#23567;&#27197;&#23450;&#23665;&#28179;&#32218;\&#36947;&#36335;&#25913;&#33391;\06&#38450;&#35703;&#26613;&#24037;\&#38450;&#27490;&#26613;&#2403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26989;&#21209;&#12501;&#12449;&#12452;&#12523;\&#24179;&#25104;17&#24180;&#24230;&#26989;&#21209;05\05-11%20&#21271;&#35211;&#32622;&#25144;&#32218;&#31777;&#26131;&#35373;&#35336;\0511&#25991;&#26360;\&#26368;&#26032;&#29256;\&#26032;&#35215;Microsoft%20Excel%20&#12527;&#12540;&#12463;&#12471;&#12540;&#1248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er\&#26989;&#21209;&#12501;&#12449;&#12452;&#12523;\&#24179;&#25104;13&#24180;&#24230;&#26989;&#21209;01\01-50&#22679;&#27611;&#35373;&#35336;\&#25991;&#26360;&#12487;&#12540;&#12479;&#12540;\&#26368;&#26032;&#29256;\Box.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F\&#24179;&#25104;&#65297;&#65299;&#24180;&#24230;\22035%20&#23721;&#20869;&#27934;&#29242;&#32218;\&#25968;&#37327;&#35519;&#26360;\03.&#27861;&#38754;&#24037;\&#36947;&#36335;&#22303;&#2403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12469;&#12531;&#12503;&#12523;\H14&#25913;&#33391;&#25968;&#37327;&#35519;&#2636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37096;&#38263;\&#20313;&#24066;&#36196;&#20117;&#24029;\&#25968;&#37327;&#20313;&#24066;\&#20313;&#24066;&#36196;&#20117;&#24029;&#32218;&#12288;&#26448;&#26009;H1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Tc001bs12\&#24773;&#22577;&#31649;&#29702;\My%20Documents\&#25968;&#37327;&#38598;&#35336;&#34920;\(03)&#27147;&#38272;&#12539;&#27147;&#3164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001bs12\&#24773;&#22577;&#31649;&#29702;\My%20Documents\&#25968;&#37327;&#38598;&#35336;&#34920;\&#9315;-1_&#27700;&#36335;&#24037;&#201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6-266\d\&#26705;&#21407;\&#22633;&#35895;&#25968;&#37327;&#35519;&#26360;(&#28417;&#28207;&#21306;&#2249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ELL&#25216;&#34899;&#31532;&#19968;\C\My%20Documents\&#22633;&#35895;&#25968;&#37327;&#35519;&#26360;(&#28417;&#28207;&#21306;&#22495;)&#32244;&#32722;&#2999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ERVER\&#26989;&#21209;&#12501;&#12449;&#12452;&#12523;\&#24179;&#25104;13&#24180;&#24230;&#26989;&#21209;\01-44&#36960;&#36605;&#38596;&#27494;\&#25991;&#26360;&#12487;&#12540;&#12479;&#12540;\&#26087;&#29256;\&#25968;&#37327;0144-K1-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ELL&#25216;&#34899;&#31532;&#19968;\C\My%20Documents\&#22633;&#35895;&#22303;&#31309;&#25968;&#3732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c001bs12\&#24773;&#22577;&#31649;&#29702;\My%20Documents\&#25968;&#37327;&#38598;&#35336;&#34920;\(16)_&#36947;&#36335;&#25913;&#3339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oboku2\&#12508;&#12522;&#12517;&#12540;&#12512;%20(f)\&#35373;&#35336;\&#12484;&#12540;&#12523;\&#32294;&#26045;&#24037;&#3964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手順書"/>
      <sheetName val="配線表"/>
      <sheetName val="座標データ"/>
      <sheetName val="杭打座標"/>
      <sheetName val="実測シート"/>
      <sheetName val="暗渠計算書"/>
      <sheetName val="水理計算書"/>
      <sheetName val="測定結果一覧表"/>
      <sheetName val="表紙印刷"/>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数量集計表"/>
      <sheetName val="内訳"/>
      <sheetName val="精算"/>
      <sheetName val="土積計算書(全体)"/>
      <sheetName val="作業土工集計"/>
      <sheetName val="管土積計算"/>
      <sheetName val="路肩工"/>
      <sheetName val="法面集計表"/>
      <sheetName val="切土法面仕上"/>
      <sheetName val="切土法面仕上 (2)"/>
      <sheetName val="盛土法面仕上"/>
      <sheetName val="盛土法面仕上 (2)"/>
      <sheetName val="小段仕上"/>
      <sheetName val="すきとり集計"/>
      <sheetName val="盛すきとり"/>
      <sheetName val="切すきとり "/>
      <sheetName val="排水工"/>
      <sheetName val="管渠当"/>
      <sheetName val="300B延長"/>
      <sheetName val="V300延長"/>
      <sheetName val="側溝当"/>
      <sheetName val="縦断路床"/>
      <sheetName val="路肩排水"/>
      <sheetName val="桝当"/>
      <sheetName val="路盤集計"/>
      <sheetName val="本線路盤工"/>
      <sheetName val="終点摺付"/>
      <sheetName val="起点摺付"/>
      <sheetName val="凍抑下層L"/>
      <sheetName val="凍抑下層R"/>
      <sheetName val="路盤工ｍ当"/>
      <sheetName val="舗装工集計"/>
      <sheetName val="舗装工"/>
      <sheetName val="取付集計表"/>
      <sheetName val="取付"/>
      <sheetName val="取付略図"/>
      <sheetName val="付属施設集計"/>
      <sheetName val="区画線"/>
      <sheetName val="スノーポール"/>
      <sheetName val="標識"/>
      <sheetName val="撤去"/>
      <sheetName val="撤去延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ｺﾝｸﾘ-ﾄＡ-1"/>
      <sheetName val="踏掛版A-1"/>
      <sheetName val="ｺﾝｸﾘ-ﾄＡ-2"/>
      <sheetName val="踏掛版A-2"/>
      <sheetName val="ｺﾝｸﾘ-ﾄＡ-2こわし"/>
      <sheetName val="ｺﾝｸﾘ-ﾄＷ-1"/>
      <sheetName val="鉄筋工"/>
      <sheetName val="縦断管調書"/>
      <sheetName val="寸法入力"/>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積計算"/>
      <sheetName val="土積集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工Ａ-1"/>
      <sheetName val="土工Ａ-2"/>
      <sheetName val="土工Ｐ1P"/>
      <sheetName val="土工Ｐ2P"/>
      <sheetName val="土工Ｗ1"/>
      <sheetName val="土工Ｗ2"/>
      <sheetName val="一般土工W12"/>
      <sheetName val="土工総括表"/>
      <sheetName val="ｺﾝｸﾘ-ﾄＡ-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単　価"/>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積計算"/>
      <sheetName val="土積集計"/>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数量総括表"/>
      <sheetName val="集計表"/>
      <sheetName val="数量計算書"/>
      <sheetName val="当り数量調書"/>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供用日数"/>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表紙"/>
      <sheetName val="2.調書"/>
      <sheetName val="3.延長調書"/>
    </sheetNames>
    <sheetDataSet>
      <sheetData sheetId="0" refreshError="1"/>
      <sheetData sheetId="1" refreshError="1"/>
      <sheetData sheetId="2">
        <row r="62">
          <cell r="B62">
            <v>264.73000000000047</v>
          </cell>
          <cell r="G62">
            <v>262.74000000000069</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odule1"/>
      <sheetName val="有幅性能"/>
      <sheetName val="供用日数"/>
    </sheetNames>
    <definedNames>
      <definedName name="MENSEKI"/>
      <definedName name="NIJIM"/>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数量集計表"/>
      <sheetName val="内訳"/>
      <sheetName val="精算"/>
      <sheetName val="土積計算書(全体)"/>
      <sheetName val="作業土工集計"/>
      <sheetName val="管土積計算"/>
      <sheetName val="路肩工"/>
      <sheetName val="法面集計表"/>
      <sheetName val="切土法面仕上"/>
      <sheetName val="切土法面仕上 (2)"/>
      <sheetName val="盛土法面仕上"/>
      <sheetName val="盛土法面仕上 (2)"/>
      <sheetName val="小段仕上"/>
      <sheetName val="すきとり集計"/>
      <sheetName val="盛すきとり"/>
      <sheetName val="切すきとり "/>
      <sheetName val="排水工"/>
      <sheetName val="管渠当"/>
      <sheetName val="300B延長"/>
      <sheetName val="V300延長"/>
      <sheetName val="側溝当"/>
      <sheetName val="縦断路床"/>
      <sheetName val="路肩排水"/>
      <sheetName val="桝当"/>
      <sheetName val="路盤集計"/>
      <sheetName val="本線路盤工"/>
      <sheetName val="終点摺付"/>
      <sheetName val="起点摺付"/>
      <sheetName val="凍抑下層L"/>
      <sheetName val="凍抑下層R"/>
      <sheetName val="路盤工ｍ当"/>
      <sheetName val="舗装工集計"/>
      <sheetName val="舗装工"/>
      <sheetName val="取付集計表"/>
      <sheetName val="取付"/>
      <sheetName val="取付略図"/>
      <sheetName val="付属施設集計"/>
      <sheetName val="区画線"/>
      <sheetName val="スノーポール"/>
      <sheetName val="標識"/>
      <sheetName val="撤去"/>
      <sheetName val="撤去延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積集計"/>
      <sheetName val="土積集計 (2)"/>
    </sheetNames>
    <sheetDataSet>
      <sheetData sheetId="0"/>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数量総括表"/>
      <sheetName val="集計表"/>
      <sheetName val="数量計算書"/>
      <sheetName val="当り数量調書"/>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積集計"/>
      <sheetName val="土積集計 (2)"/>
    </sheetNames>
    <sheetDataSet>
      <sheetData sheetId="0"/>
      <sheetData sheetId="1">
        <row r="1">
          <cell r="A1" t="str">
            <v>土　　　積　　　集　　　積　　　表</v>
          </cell>
        </row>
        <row r="2">
          <cell r="B2" t="str">
            <v>切　　　土</v>
          </cell>
          <cell r="E2" t="str">
            <v>盛　　　　　　　　　　　　　　　土</v>
          </cell>
          <cell r="S2" t="str">
            <v>運　　搬　　捨　　土</v>
          </cell>
        </row>
        <row r="3">
          <cell r="A3" t="str">
            <v>土　質</v>
          </cell>
          <cell r="E3" t="str">
            <v>総盛土</v>
          </cell>
          <cell r="F3" t="str">
            <v>横　断　流　用　土</v>
          </cell>
          <cell r="I3" t="str">
            <v>縦　 断　 流　 用　 土</v>
          </cell>
          <cell r="M3" t="str">
            <v>流　 用　 土</v>
          </cell>
          <cell r="Q3" t="str">
            <v>運搬盛土</v>
          </cell>
          <cell r="S3" t="str">
            <v>捨　　土</v>
          </cell>
          <cell r="U3" t="str">
            <v>盛　　土</v>
          </cell>
          <cell r="W3" t="str">
            <v>摘　要</v>
          </cell>
        </row>
        <row r="4">
          <cell r="B4" t="str">
            <v>実切土</v>
          </cell>
          <cell r="C4" t="str">
            <v>流用率</v>
          </cell>
          <cell r="D4" t="str">
            <v>補正土量</v>
          </cell>
          <cell r="F4" t="str">
            <v>土 量</v>
          </cell>
          <cell r="G4" t="str">
            <v>流用率</v>
          </cell>
          <cell r="H4" t="str">
            <v>実切土量</v>
          </cell>
          <cell r="I4" t="str">
            <v>距 離</v>
          </cell>
          <cell r="J4" t="str">
            <v>土 量</v>
          </cell>
          <cell r="K4" t="str">
            <v>流用率</v>
          </cell>
          <cell r="L4" t="str">
            <v>実切土量</v>
          </cell>
          <cell r="M4" t="str">
            <v>距 離</v>
          </cell>
          <cell r="N4" t="str">
            <v>土 量</v>
          </cell>
          <cell r="O4" t="str">
            <v>流用率</v>
          </cell>
          <cell r="P4" t="str">
            <v>実切土量</v>
          </cell>
          <cell r="Q4" t="str">
            <v>距 離</v>
          </cell>
          <cell r="R4" t="str">
            <v>土量</v>
          </cell>
          <cell r="S4" t="str">
            <v>距 離</v>
          </cell>
          <cell r="T4" t="str">
            <v>土 量</v>
          </cell>
          <cell r="U4" t="str">
            <v>流用率</v>
          </cell>
          <cell r="V4" t="str">
            <v>実切土量</v>
          </cell>
        </row>
        <row r="31">
          <cell r="A31" t="str">
            <v>土　　　積　　　精　　　算　　　表</v>
          </cell>
        </row>
        <row r="39">
          <cell r="A39" t="str">
            <v>精</v>
          </cell>
        </row>
        <row r="52">
          <cell r="A52" t="str">
            <v>算</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U-0-0-Ｂ入力"/>
      <sheetName val="計算書"/>
      <sheetName val="数量内訳書"/>
    </sheetNames>
    <sheetDataSet>
      <sheetData sheetId="0" refreshError="1"/>
      <sheetData sheetId="1">
        <row r="7">
          <cell r="E7">
            <v>1</v>
          </cell>
        </row>
        <row r="9">
          <cell r="E9">
            <v>2</v>
          </cell>
          <cell r="L9" t="str">
            <v>鉄筋σck＝21N/mm^2</v>
          </cell>
        </row>
        <row r="10">
          <cell r="E10">
            <v>0.35</v>
          </cell>
        </row>
        <row r="11">
          <cell r="E11">
            <v>2.7</v>
          </cell>
        </row>
        <row r="13">
          <cell r="E13">
            <v>0.4</v>
          </cell>
        </row>
        <row r="16">
          <cell r="E16">
            <v>6.22</v>
          </cell>
        </row>
        <row r="17">
          <cell r="E17">
            <v>6.42</v>
          </cell>
        </row>
        <row r="19">
          <cell r="S19">
            <v>1.1180000000000001</v>
          </cell>
        </row>
        <row r="20">
          <cell r="E20">
            <v>3.21</v>
          </cell>
        </row>
        <row r="21">
          <cell r="E21">
            <v>0</v>
          </cell>
        </row>
        <row r="23">
          <cell r="E23">
            <v>0</v>
          </cell>
        </row>
        <row r="26">
          <cell r="E26">
            <v>0.3</v>
          </cell>
        </row>
      </sheetData>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集計表"/>
      <sheetName val="土積集計表"/>
      <sheetName val="切盛土集計"/>
      <sheetName val="計算書"/>
      <sheetName val="土積"/>
      <sheetName val="2次施工土積"/>
      <sheetName val="土積 (盛土)"/>
      <sheetName val="内法（車）"/>
      <sheetName val="路床（車）"/>
      <sheetName val="路床（歩）"/>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積集計"/>
      <sheetName val="土積集計 (2)"/>
    </sheetNames>
    <sheetDataSet>
      <sheetData sheetId="0"/>
      <sheetData sheetId="1">
        <row r="1">
          <cell r="A1" t="str">
            <v>土　　　積　　　集　　　積　　　表</v>
          </cell>
        </row>
        <row r="2">
          <cell r="B2" t="str">
            <v>切　　　土</v>
          </cell>
          <cell r="E2" t="str">
            <v>盛　　　　　　　　　　　　　　　土</v>
          </cell>
          <cell r="S2" t="str">
            <v>運　　搬　　捨　　土</v>
          </cell>
        </row>
        <row r="3">
          <cell r="A3" t="str">
            <v>土　質</v>
          </cell>
          <cell r="E3" t="str">
            <v>総盛土</v>
          </cell>
          <cell r="F3" t="str">
            <v>横　断　流　用　土</v>
          </cell>
          <cell r="I3" t="str">
            <v>縦　 断　 流　 用　 土</v>
          </cell>
          <cell r="M3" t="str">
            <v>流　 用　 土</v>
          </cell>
          <cell r="Q3" t="str">
            <v>運搬盛土</v>
          </cell>
          <cell r="S3" t="str">
            <v>捨　　土</v>
          </cell>
          <cell r="U3" t="str">
            <v>盛　　土</v>
          </cell>
          <cell r="W3" t="str">
            <v>摘　要</v>
          </cell>
        </row>
        <row r="4">
          <cell r="B4" t="str">
            <v>実切土</v>
          </cell>
          <cell r="C4" t="str">
            <v>流用率</v>
          </cell>
          <cell r="D4" t="str">
            <v>補正土量</v>
          </cell>
          <cell r="F4" t="str">
            <v>土 量</v>
          </cell>
          <cell r="G4" t="str">
            <v>流用率</v>
          </cell>
          <cell r="H4" t="str">
            <v>実切土量</v>
          </cell>
          <cell r="I4" t="str">
            <v>距 離</v>
          </cell>
          <cell r="J4" t="str">
            <v>土 量</v>
          </cell>
          <cell r="K4" t="str">
            <v>流用率</v>
          </cell>
          <cell r="L4" t="str">
            <v>実切土量</v>
          </cell>
          <cell r="M4" t="str">
            <v>距 離</v>
          </cell>
          <cell r="N4" t="str">
            <v>土 量</v>
          </cell>
          <cell r="O4" t="str">
            <v>流用率</v>
          </cell>
          <cell r="P4" t="str">
            <v>実切土量</v>
          </cell>
          <cell r="Q4" t="str">
            <v>距 離</v>
          </cell>
          <cell r="R4" t="str">
            <v>土量</v>
          </cell>
          <cell r="S4" t="str">
            <v>距 離</v>
          </cell>
          <cell r="T4" t="str">
            <v>土 量</v>
          </cell>
          <cell r="U4" t="str">
            <v>流用率</v>
          </cell>
          <cell r="V4" t="str">
            <v>実切土量</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表紙"/>
      <sheetName val="2.内訳数量"/>
      <sheetName val="Sheet1"/>
      <sheetName val="3.調書"/>
      <sheetName val="4.路排排水"/>
      <sheetName val="5.集水桝"/>
    </sheetNames>
    <sheetDataSet>
      <sheetData sheetId="0"/>
      <sheetData sheetId="1" refreshError="1"/>
      <sheetData sheetId="2"/>
      <sheetData sheetId="3" refreshError="1"/>
      <sheetData sheetId="4">
        <row r="36">
          <cell r="F36">
            <v>22</v>
          </cell>
          <cell r="G36">
            <v>11.700000000000003</v>
          </cell>
        </row>
      </sheetData>
      <sheetData sheetId="5">
        <row r="65">
          <cell r="F65">
            <v>26</v>
          </cell>
          <cell r="H65">
            <v>12.04</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入力欄"/>
      <sheetName val="集計"/>
      <sheetName val="延長３"/>
      <sheetName val="補正延長Ｌ"/>
    </sheetNames>
    <sheetDataSet>
      <sheetData sheetId="0" refreshError="1"/>
      <sheetData sheetId="1" refreshError="1"/>
      <sheetData sheetId="2" refreshError="1"/>
      <sheetData sheetId="3">
        <row r="1">
          <cell r="D1" t="str">
            <v>歩　道　柵　Ｐ　種</v>
          </cell>
          <cell r="M1" t="str">
            <v>延長調書</v>
          </cell>
        </row>
        <row r="2">
          <cell r="A2" t="str">
            <v>左側</v>
          </cell>
          <cell r="M2" t="str">
            <v>右側</v>
          </cell>
        </row>
        <row r="3">
          <cell r="A3" t="str">
            <v>測　点</v>
          </cell>
          <cell r="B3" t="str">
            <v>延長</v>
          </cell>
          <cell r="E3" t="str">
            <v>配置間隔</v>
          </cell>
          <cell r="M3" t="str">
            <v>測　点</v>
          </cell>
          <cell r="N3" t="str">
            <v>延長</v>
          </cell>
          <cell r="O3">
            <v>0</v>
          </cell>
          <cell r="P3">
            <v>0</v>
          </cell>
          <cell r="Q3" t="str">
            <v>配置間隔</v>
          </cell>
        </row>
        <row r="5">
          <cell r="A5">
            <v>0</v>
          </cell>
          <cell r="F5">
            <v>0</v>
          </cell>
          <cell r="G5" t="str">
            <v/>
          </cell>
          <cell r="H5">
            <v>0</v>
          </cell>
          <cell r="I5" t="str">
            <v/>
          </cell>
          <cell r="J5">
            <v>0</v>
          </cell>
          <cell r="K5" t="str">
            <v/>
          </cell>
          <cell r="L5">
            <v>0</v>
          </cell>
          <cell r="M5">
            <v>200</v>
          </cell>
          <cell r="R5">
            <v>512</v>
          </cell>
          <cell r="S5" t="str">
            <v>@</v>
          </cell>
          <cell r="T5">
            <v>1.5</v>
          </cell>
          <cell r="U5" t="str">
            <v/>
          </cell>
          <cell r="V5">
            <v>0</v>
          </cell>
          <cell r="W5" t="str">
            <v/>
          </cell>
          <cell r="X5">
            <v>0</v>
          </cell>
        </row>
        <row r="6">
          <cell r="F6">
            <v>0</v>
          </cell>
          <cell r="G6" t="str">
            <v/>
          </cell>
          <cell r="H6">
            <v>0</v>
          </cell>
          <cell r="I6" t="str">
            <v/>
          </cell>
          <cell r="J6">
            <v>0</v>
          </cell>
          <cell r="K6" t="str">
            <v/>
          </cell>
          <cell r="L6">
            <v>0</v>
          </cell>
          <cell r="Q6" t="str">
            <v/>
          </cell>
          <cell r="R6">
            <v>0</v>
          </cell>
          <cell r="S6" t="str">
            <v/>
          </cell>
          <cell r="T6">
            <v>0</v>
          </cell>
          <cell r="U6" t="str">
            <v/>
          </cell>
          <cell r="V6">
            <v>0</v>
          </cell>
          <cell r="W6" t="str">
            <v/>
          </cell>
          <cell r="X6">
            <v>0</v>
          </cell>
        </row>
        <row r="7">
          <cell r="A7">
            <v>0</v>
          </cell>
          <cell r="B7">
            <v>0</v>
          </cell>
          <cell r="F7">
            <v>0</v>
          </cell>
          <cell r="G7" t="str">
            <v/>
          </cell>
          <cell r="H7">
            <v>0</v>
          </cell>
          <cell r="I7" t="str">
            <v/>
          </cell>
          <cell r="J7">
            <v>0</v>
          </cell>
          <cell r="K7" t="str">
            <v/>
          </cell>
          <cell r="L7">
            <v>0</v>
          </cell>
          <cell r="M7">
            <v>968</v>
          </cell>
          <cell r="N7">
            <v>768</v>
          </cell>
          <cell r="O7">
            <v>512</v>
          </cell>
          <cell r="Q7" t="str">
            <v/>
          </cell>
          <cell r="R7">
            <v>0</v>
          </cell>
          <cell r="S7" t="str">
            <v/>
          </cell>
          <cell r="T7">
            <v>0</v>
          </cell>
          <cell r="U7" t="str">
            <v/>
          </cell>
          <cell r="V7">
            <v>0</v>
          </cell>
          <cell r="W7" t="str">
            <v/>
          </cell>
          <cell r="X7">
            <v>0</v>
          </cell>
        </row>
        <row r="11">
          <cell r="A11">
            <v>0</v>
          </cell>
          <cell r="F11">
            <v>0</v>
          </cell>
          <cell r="G11" t="str">
            <v/>
          </cell>
          <cell r="H11">
            <v>0</v>
          </cell>
          <cell r="I11" t="str">
            <v/>
          </cell>
          <cell r="J11">
            <v>0</v>
          </cell>
          <cell r="K11" t="str">
            <v/>
          </cell>
          <cell r="L11">
            <v>0</v>
          </cell>
          <cell r="M11">
            <v>1130</v>
          </cell>
          <cell r="P11">
            <v>0</v>
          </cell>
          <cell r="R11">
            <v>26</v>
          </cell>
          <cell r="S11" t="str">
            <v>@</v>
          </cell>
          <cell r="T11">
            <v>1.5</v>
          </cell>
          <cell r="U11" t="str">
            <v/>
          </cell>
          <cell r="V11">
            <v>0</v>
          </cell>
          <cell r="W11" t="str">
            <v/>
          </cell>
          <cell r="X11">
            <v>0</v>
          </cell>
        </row>
        <row r="12">
          <cell r="F12">
            <v>0</v>
          </cell>
          <cell r="G12" t="str">
            <v/>
          </cell>
          <cell r="H12">
            <v>0</v>
          </cell>
          <cell r="I12" t="str">
            <v/>
          </cell>
          <cell r="J12">
            <v>0</v>
          </cell>
          <cell r="K12" t="str">
            <v/>
          </cell>
          <cell r="L12">
            <v>0</v>
          </cell>
          <cell r="R12">
            <v>1</v>
          </cell>
          <cell r="S12" t="str">
            <v>@</v>
          </cell>
          <cell r="T12">
            <v>1</v>
          </cell>
          <cell r="U12" t="str">
            <v/>
          </cell>
          <cell r="V12">
            <v>0</v>
          </cell>
          <cell r="W12" t="str">
            <v/>
          </cell>
          <cell r="X12">
            <v>0</v>
          </cell>
        </row>
        <row r="13">
          <cell r="A13">
            <v>0</v>
          </cell>
          <cell r="B13">
            <v>0</v>
          </cell>
          <cell r="F13">
            <v>0</v>
          </cell>
          <cell r="G13" t="str">
            <v/>
          </cell>
          <cell r="H13">
            <v>0</v>
          </cell>
          <cell r="I13" t="str">
            <v/>
          </cell>
          <cell r="J13">
            <v>0</v>
          </cell>
          <cell r="K13" t="str">
            <v/>
          </cell>
          <cell r="L13">
            <v>0</v>
          </cell>
          <cell r="M13">
            <v>1170</v>
          </cell>
          <cell r="N13">
            <v>40</v>
          </cell>
          <cell r="O13">
            <v>27</v>
          </cell>
          <cell r="Q13" t="str">
            <v/>
          </cell>
          <cell r="R13">
            <v>0</v>
          </cell>
          <cell r="S13" t="str">
            <v/>
          </cell>
          <cell r="T13">
            <v>0</v>
          </cell>
          <cell r="U13" t="str">
            <v/>
          </cell>
          <cell r="V13">
            <v>0</v>
          </cell>
          <cell r="W13" t="str">
            <v/>
          </cell>
          <cell r="X13">
            <v>0</v>
          </cell>
        </row>
        <row r="17">
          <cell r="A17">
            <v>0</v>
          </cell>
          <cell r="F17">
            <v>0</v>
          </cell>
          <cell r="G17" t="str">
            <v/>
          </cell>
          <cell r="H17">
            <v>0</v>
          </cell>
          <cell r="I17" t="str">
            <v/>
          </cell>
          <cell r="J17">
            <v>0</v>
          </cell>
          <cell r="K17" t="str">
            <v/>
          </cell>
          <cell r="L17">
            <v>0</v>
          </cell>
          <cell r="M17">
            <v>1185</v>
          </cell>
          <cell r="P17">
            <v>0</v>
          </cell>
          <cell r="R17">
            <v>76</v>
          </cell>
          <cell r="S17" t="str">
            <v>@</v>
          </cell>
          <cell r="T17">
            <v>1.5</v>
          </cell>
          <cell r="U17" t="str">
            <v/>
          </cell>
          <cell r="V17">
            <v>0</v>
          </cell>
          <cell r="W17" t="str">
            <v/>
          </cell>
          <cell r="X17">
            <v>0</v>
          </cell>
        </row>
        <row r="18">
          <cell r="F18">
            <v>0</v>
          </cell>
          <cell r="G18" t="str">
            <v/>
          </cell>
          <cell r="H18">
            <v>0</v>
          </cell>
          <cell r="I18" t="str">
            <v/>
          </cell>
          <cell r="J18">
            <v>0</v>
          </cell>
          <cell r="K18" t="str">
            <v/>
          </cell>
          <cell r="L18">
            <v>0</v>
          </cell>
          <cell r="R18">
            <v>1</v>
          </cell>
          <cell r="S18" t="str">
            <v>@</v>
          </cell>
          <cell r="T18">
            <v>1</v>
          </cell>
          <cell r="U18" t="str">
            <v/>
          </cell>
          <cell r="V18">
            <v>0</v>
          </cell>
          <cell r="W18" t="str">
            <v/>
          </cell>
          <cell r="X18">
            <v>0</v>
          </cell>
        </row>
        <row r="19">
          <cell r="A19">
            <v>0</v>
          </cell>
          <cell r="B19">
            <v>0</v>
          </cell>
          <cell r="F19">
            <v>0</v>
          </cell>
          <cell r="G19" t="str">
            <v/>
          </cell>
          <cell r="H19">
            <v>0</v>
          </cell>
          <cell r="I19" t="str">
            <v/>
          </cell>
          <cell r="J19">
            <v>0</v>
          </cell>
          <cell r="K19" t="str">
            <v/>
          </cell>
          <cell r="L19">
            <v>0</v>
          </cell>
          <cell r="M19">
            <v>1300</v>
          </cell>
          <cell r="N19">
            <v>115</v>
          </cell>
          <cell r="O19">
            <v>77</v>
          </cell>
          <cell r="Q19" t="str">
            <v/>
          </cell>
          <cell r="R19">
            <v>0</v>
          </cell>
          <cell r="S19" t="str">
            <v/>
          </cell>
          <cell r="T19">
            <v>0</v>
          </cell>
          <cell r="U19" t="str">
            <v/>
          </cell>
          <cell r="V19">
            <v>0</v>
          </cell>
          <cell r="W19" t="str">
            <v/>
          </cell>
          <cell r="X19">
            <v>0</v>
          </cell>
        </row>
        <row r="23">
          <cell r="A23">
            <v>0</v>
          </cell>
          <cell r="D23">
            <v>0</v>
          </cell>
          <cell r="F23">
            <v>0</v>
          </cell>
          <cell r="G23" t="str">
            <v/>
          </cell>
          <cell r="H23">
            <v>0</v>
          </cell>
          <cell r="I23" t="str">
            <v/>
          </cell>
          <cell r="J23">
            <v>0</v>
          </cell>
          <cell r="K23" t="str">
            <v/>
          </cell>
          <cell r="L23">
            <v>0</v>
          </cell>
          <cell r="M23">
            <v>0</v>
          </cell>
          <cell r="P23">
            <v>0</v>
          </cell>
          <cell r="R23">
            <v>0</v>
          </cell>
          <cell r="S23" t="str">
            <v/>
          </cell>
          <cell r="T23">
            <v>0</v>
          </cell>
          <cell r="U23" t="str">
            <v/>
          </cell>
          <cell r="V23">
            <v>0</v>
          </cell>
          <cell r="W23" t="str">
            <v/>
          </cell>
          <cell r="X23">
            <v>0</v>
          </cell>
        </row>
        <row r="24">
          <cell r="F24">
            <v>0</v>
          </cell>
          <cell r="G24" t="str">
            <v/>
          </cell>
          <cell r="H24">
            <v>0</v>
          </cell>
          <cell r="I24" t="str">
            <v/>
          </cell>
          <cell r="J24">
            <v>0</v>
          </cell>
          <cell r="K24" t="str">
            <v/>
          </cell>
          <cell r="L24">
            <v>0</v>
          </cell>
          <cell r="Q24" t="str">
            <v/>
          </cell>
          <cell r="R24">
            <v>0</v>
          </cell>
          <cell r="S24" t="str">
            <v/>
          </cell>
          <cell r="T24">
            <v>0</v>
          </cell>
          <cell r="U24" t="str">
            <v/>
          </cell>
          <cell r="V24">
            <v>0</v>
          </cell>
          <cell r="W24" t="str">
            <v/>
          </cell>
          <cell r="X24">
            <v>0</v>
          </cell>
        </row>
        <row r="25">
          <cell r="A25">
            <v>0</v>
          </cell>
          <cell r="B25">
            <v>0</v>
          </cell>
          <cell r="C25" t="str">
            <v/>
          </cell>
          <cell r="D25">
            <v>0</v>
          </cell>
          <cell r="F25">
            <v>0</v>
          </cell>
          <cell r="G25" t="str">
            <v/>
          </cell>
          <cell r="H25">
            <v>0</v>
          </cell>
          <cell r="I25" t="str">
            <v/>
          </cell>
          <cell r="J25">
            <v>0</v>
          </cell>
          <cell r="K25" t="str">
            <v/>
          </cell>
          <cell r="L25">
            <v>0</v>
          </cell>
          <cell r="M25">
            <v>0</v>
          </cell>
          <cell r="N25">
            <v>0</v>
          </cell>
          <cell r="O25" t="str">
            <v/>
          </cell>
          <cell r="P25" t="str">
            <v/>
          </cell>
          <cell r="Q25" t="str">
            <v/>
          </cell>
          <cell r="R25">
            <v>0</v>
          </cell>
          <cell r="S25" t="str">
            <v/>
          </cell>
          <cell r="T25">
            <v>0</v>
          </cell>
          <cell r="U25" t="str">
            <v/>
          </cell>
          <cell r="V25">
            <v>0</v>
          </cell>
          <cell r="W25" t="str">
            <v/>
          </cell>
          <cell r="X25">
            <v>0</v>
          </cell>
        </row>
        <row r="29">
          <cell r="A29">
            <v>0</v>
          </cell>
          <cell r="D29">
            <v>0</v>
          </cell>
          <cell r="F29">
            <v>0</v>
          </cell>
          <cell r="G29" t="str">
            <v/>
          </cell>
          <cell r="H29">
            <v>0</v>
          </cell>
          <cell r="I29" t="str">
            <v/>
          </cell>
          <cell r="J29">
            <v>0</v>
          </cell>
          <cell r="K29" t="str">
            <v/>
          </cell>
          <cell r="L29">
            <v>0</v>
          </cell>
          <cell r="M29">
            <v>0</v>
          </cell>
          <cell r="P29">
            <v>0</v>
          </cell>
          <cell r="R29">
            <v>0</v>
          </cell>
          <cell r="S29" t="str">
            <v/>
          </cell>
          <cell r="T29">
            <v>0</v>
          </cell>
          <cell r="U29" t="str">
            <v/>
          </cell>
          <cell r="V29">
            <v>0</v>
          </cell>
          <cell r="W29" t="str">
            <v/>
          </cell>
          <cell r="X29">
            <v>0</v>
          </cell>
        </row>
        <row r="30">
          <cell r="F30">
            <v>0</v>
          </cell>
          <cell r="G30" t="str">
            <v/>
          </cell>
          <cell r="H30">
            <v>0</v>
          </cell>
          <cell r="I30" t="str">
            <v/>
          </cell>
          <cell r="J30">
            <v>0</v>
          </cell>
          <cell r="K30" t="str">
            <v/>
          </cell>
          <cell r="L30">
            <v>0</v>
          </cell>
          <cell r="Q30" t="str">
            <v/>
          </cell>
          <cell r="R30">
            <v>0</v>
          </cell>
          <cell r="S30" t="str">
            <v/>
          </cell>
          <cell r="T30">
            <v>0</v>
          </cell>
          <cell r="U30" t="str">
            <v/>
          </cell>
          <cell r="V30">
            <v>0</v>
          </cell>
          <cell r="W30" t="str">
            <v/>
          </cell>
          <cell r="X30">
            <v>0</v>
          </cell>
        </row>
        <row r="31">
          <cell r="A31">
            <v>0</v>
          </cell>
          <cell r="B31">
            <v>0</v>
          </cell>
          <cell r="C31" t="str">
            <v/>
          </cell>
          <cell r="D31">
            <v>0</v>
          </cell>
          <cell r="F31">
            <v>0</v>
          </cell>
          <cell r="G31" t="str">
            <v/>
          </cell>
          <cell r="H31">
            <v>0</v>
          </cell>
          <cell r="I31" t="str">
            <v/>
          </cell>
          <cell r="J31">
            <v>0</v>
          </cell>
          <cell r="K31" t="str">
            <v/>
          </cell>
          <cell r="L31">
            <v>0</v>
          </cell>
          <cell r="M31">
            <v>0</v>
          </cell>
          <cell r="N31">
            <v>0</v>
          </cell>
          <cell r="O31" t="str">
            <v/>
          </cell>
          <cell r="P31" t="str">
            <v/>
          </cell>
          <cell r="Q31" t="str">
            <v/>
          </cell>
          <cell r="R31">
            <v>0</v>
          </cell>
          <cell r="S31" t="str">
            <v/>
          </cell>
          <cell r="T31">
            <v>0</v>
          </cell>
          <cell r="U31" t="str">
            <v/>
          </cell>
          <cell r="V31">
            <v>0</v>
          </cell>
          <cell r="W31" t="str">
            <v/>
          </cell>
          <cell r="X31">
            <v>0</v>
          </cell>
        </row>
        <row r="35">
          <cell r="D35">
            <v>0</v>
          </cell>
          <cell r="E35" t="str">
            <v/>
          </cell>
          <cell r="P35">
            <v>0</v>
          </cell>
          <cell r="Q35" t="str">
            <v/>
          </cell>
        </row>
        <row r="36">
          <cell r="A36" t="str">
            <v>小　　計</v>
          </cell>
          <cell r="B36">
            <v>0</v>
          </cell>
          <cell r="C36">
            <v>0</v>
          </cell>
          <cell r="D36">
            <v>0</v>
          </cell>
          <cell r="E36" t="str">
            <v/>
          </cell>
          <cell r="M36" t="str">
            <v>小　　計</v>
          </cell>
          <cell r="N36">
            <v>923</v>
          </cell>
          <cell r="O36">
            <v>616</v>
          </cell>
        </row>
        <row r="41">
          <cell r="A41" t="str">
            <v>左側</v>
          </cell>
          <cell r="M41" t="str">
            <v>右側</v>
          </cell>
        </row>
        <row r="42">
          <cell r="A42" t="str">
            <v>測　点</v>
          </cell>
          <cell r="B42" t="str">
            <v>延長</v>
          </cell>
          <cell r="E42" t="str">
            <v>配置間隔</v>
          </cell>
          <cell r="M42" t="str">
            <v>測　点</v>
          </cell>
          <cell r="N42" t="str">
            <v>延長</v>
          </cell>
          <cell r="O42">
            <v>0</v>
          </cell>
          <cell r="P42">
            <v>0</v>
          </cell>
          <cell r="Q42" t="str">
            <v>配置間隔</v>
          </cell>
        </row>
        <row r="44">
          <cell r="A44">
            <v>0</v>
          </cell>
          <cell r="D44">
            <v>0</v>
          </cell>
          <cell r="F44">
            <v>0</v>
          </cell>
          <cell r="G44" t="str">
            <v/>
          </cell>
          <cell r="H44">
            <v>0</v>
          </cell>
          <cell r="I44" t="str">
            <v/>
          </cell>
          <cell r="J44">
            <v>0</v>
          </cell>
          <cell r="K44" t="str">
            <v/>
          </cell>
          <cell r="L44">
            <v>0</v>
          </cell>
          <cell r="M44">
            <v>0</v>
          </cell>
          <cell r="P44">
            <v>0</v>
          </cell>
          <cell r="R44">
            <v>0</v>
          </cell>
          <cell r="S44" t="str">
            <v/>
          </cell>
          <cell r="T44">
            <v>0</v>
          </cell>
          <cell r="U44" t="str">
            <v/>
          </cell>
          <cell r="V44">
            <v>0</v>
          </cell>
          <cell r="W44" t="str">
            <v/>
          </cell>
          <cell r="X44">
            <v>0</v>
          </cell>
        </row>
        <row r="45">
          <cell r="F45">
            <v>0</v>
          </cell>
          <cell r="G45" t="str">
            <v/>
          </cell>
          <cell r="H45">
            <v>0</v>
          </cell>
          <cell r="I45" t="str">
            <v/>
          </cell>
          <cell r="J45">
            <v>0</v>
          </cell>
          <cell r="K45" t="str">
            <v/>
          </cell>
          <cell r="L45">
            <v>0</v>
          </cell>
          <cell r="Q45" t="str">
            <v/>
          </cell>
          <cell r="R45">
            <v>0</v>
          </cell>
          <cell r="S45" t="str">
            <v/>
          </cell>
          <cell r="T45">
            <v>0</v>
          </cell>
          <cell r="U45" t="str">
            <v/>
          </cell>
          <cell r="V45">
            <v>0</v>
          </cell>
          <cell r="W45" t="str">
            <v/>
          </cell>
          <cell r="X45">
            <v>0</v>
          </cell>
        </row>
        <row r="46">
          <cell r="A46">
            <v>0</v>
          </cell>
          <cell r="B46">
            <v>0</v>
          </cell>
          <cell r="C46" t="str">
            <v/>
          </cell>
          <cell r="D46">
            <v>0</v>
          </cell>
          <cell r="F46">
            <v>0</v>
          </cell>
          <cell r="G46" t="str">
            <v/>
          </cell>
          <cell r="H46">
            <v>0</v>
          </cell>
          <cell r="I46" t="str">
            <v/>
          </cell>
          <cell r="J46">
            <v>0</v>
          </cell>
          <cell r="K46" t="str">
            <v/>
          </cell>
          <cell r="L46">
            <v>0</v>
          </cell>
          <cell r="M46">
            <v>0</v>
          </cell>
          <cell r="N46">
            <v>0</v>
          </cell>
          <cell r="O46" t="str">
            <v/>
          </cell>
          <cell r="P46">
            <v>0</v>
          </cell>
          <cell r="Q46" t="str">
            <v/>
          </cell>
          <cell r="R46">
            <v>0</v>
          </cell>
          <cell r="S46" t="str">
            <v/>
          </cell>
          <cell r="T46">
            <v>0</v>
          </cell>
          <cell r="U46" t="str">
            <v/>
          </cell>
          <cell r="V46">
            <v>0</v>
          </cell>
          <cell r="W46" t="str">
            <v/>
          </cell>
          <cell r="X46">
            <v>0</v>
          </cell>
        </row>
        <row r="50">
          <cell r="A50">
            <v>0</v>
          </cell>
          <cell r="D50">
            <v>0</v>
          </cell>
          <cell r="F50">
            <v>0</v>
          </cell>
          <cell r="G50" t="str">
            <v/>
          </cell>
          <cell r="H50">
            <v>0</v>
          </cell>
          <cell r="I50" t="str">
            <v/>
          </cell>
          <cell r="J50">
            <v>0</v>
          </cell>
          <cell r="K50" t="str">
            <v/>
          </cell>
          <cell r="L50">
            <v>0</v>
          </cell>
          <cell r="M50">
            <v>0</v>
          </cell>
          <cell r="P50">
            <v>0</v>
          </cell>
          <cell r="R50">
            <v>0</v>
          </cell>
          <cell r="S50" t="str">
            <v/>
          </cell>
          <cell r="T50">
            <v>0</v>
          </cell>
          <cell r="U50" t="str">
            <v/>
          </cell>
          <cell r="V50">
            <v>0</v>
          </cell>
          <cell r="W50" t="str">
            <v/>
          </cell>
          <cell r="X50">
            <v>0</v>
          </cell>
        </row>
        <row r="51">
          <cell r="F51">
            <v>0</v>
          </cell>
          <cell r="G51" t="str">
            <v/>
          </cell>
          <cell r="H51">
            <v>0</v>
          </cell>
          <cell r="I51" t="str">
            <v/>
          </cell>
          <cell r="J51">
            <v>0</v>
          </cell>
          <cell r="K51" t="str">
            <v/>
          </cell>
          <cell r="L51">
            <v>0</v>
          </cell>
          <cell r="Q51" t="str">
            <v/>
          </cell>
          <cell r="R51">
            <v>0</v>
          </cell>
          <cell r="S51" t="str">
            <v/>
          </cell>
          <cell r="T51">
            <v>0</v>
          </cell>
          <cell r="U51" t="str">
            <v/>
          </cell>
          <cell r="V51">
            <v>0</v>
          </cell>
          <cell r="W51" t="str">
            <v/>
          </cell>
          <cell r="X51">
            <v>0</v>
          </cell>
        </row>
        <row r="52">
          <cell r="A52">
            <v>0</v>
          </cell>
          <cell r="B52">
            <v>0</v>
          </cell>
          <cell r="C52" t="str">
            <v/>
          </cell>
          <cell r="D52">
            <v>0</v>
          </cell>
          <cell r="F52">
            <v>0</v>
          </cell>
          <cell r="G52" t="str">
            <v/>
          </cell>
          <cell r="H52">
            <v>0</v>
          </cell>
          <cell r="I52" t="str">
            <v/>
          </cell>
          <cell r="J52">
            <v>0</v>
          </cell>
          <cell r="K52" t="str">
            <v/>
          </cell>
          <cell r="L52">
            <v>0</v>
          </cell>
          <cell r="M52">
            <v>0</v>
          </cell>
          <cell r="N52">
            <v>0</v>
          </cell>
          <cell r="O52" t="str">
            <v/>
          </cell>
          <cell r="P52">
            <v>0</v>
          </cell>
          <cell r="Q52" t="str">
            <v/>
          </cell>
          <cell r="R52">
            <v>0</v>
          </cell>
          <cell r="S52" t="str">
            <v/>
          </cell>
          <cell r="T52">
            <v>0</v>
          </cell>
          <cell r="U52" t="str">
            <v/>
          </cell>
          <cell r="V52">
            <v>0</v>
          </cell>
          <cell r="W52" t="str">
            <v/>
          </cell>
          <cell r="X52">
            <v>0</v>
          </cell>
        </row>
        <row r="56">
          <cell r="A56">
            <v>0</v>
          </cell>
          <cell r="D56">
            <v>0</v>
          </cell>
          <cell r="F56">
            <v>0</v>
          </cell>
          <cell r="G56" t="str">
            <v/>
          </cell>
          <cell r="H56">
            <v>0</v>
          </cell>
          <cell r="I56" t="str">
            <v/>
          </cell>
          <cell r="J56">
            <v>0</v>
          </cell>
          <cell r="K56" t="str">
            <v/>
          </cell>
          <cell r="L56">
            <v>0</v>
          </cell>
          <cell r="M56">
            <v>0</v>
          </cell>
          <cell r="P56">
            <v>0</v>
          </cell>
          <cell r="R56">
            <v>0</v>
          </cell>
          <cell r="S56" t="str">
            <v/>
          </cell>
          <cell r="T56">
            <v>0</v>
          </cell>
          <cell r="U56" t="str">
            <v/>
          </cell>
          <cell r="V56">
            <v>0</v>
          </cell>
          <cell r="W56" t="str">
            <v/>
          </cell>
          <cell r="X56">
            <v>0</v>
          </cell>
        </row>
        <row r="57">
          <cell r="F57">
            <v>0</v>
          </cell>
          <cell r="G57" t="str">
            <v/>
          </cell>
          <cell r="H57">
            <v>0</v>
          </cell>
          <cell r="I57" t="str">
            <v/>
          </cell>
          <cell r="J57">
            <v>0</v>
          </cell>
          <cell r="K57" t="str">
            <v/>
          </cell>
          <cell r="L57">
            <v>0</v>
          </cell>
          <cell r="Q57" t="str">
            <v/>
          </cell>
          <cell r="R57">
            <v>0</v>
          </cell>
          <cell r="S57" t="str">
            <v/>
          </cell>
          <cell r="T57">
            <v>0</v>
          </cell>
          <cell r="U57" t="str">
            <v/>
          </cell>
          <cell r="V57">
            <v>0</v>
          </cell>
          <cell r="W57" t="str">
            <v/>
          </cell>
          <cell r="X57">
            <v>0</v>
          </cell>
        </row>
        <row r="58">
          <cell r="A58">
            <v>0</v>
          </cell>
          <cell r="B58">
            <v>0</v>
          </cell>
          <cell r="C58" t="str">
            <v/>
          </cell>
          <cell r="D58">
            <v>0</v>
          </cell>
          <cell r="F58">
            <v>0</v>
          </cell>
          <cell r="G58" t="str">
            <v/>
          </cell>
          <cell r="H58">
            <v>0</v>
          </cell>
          <cell r="I58" t="str">
            <v/>
          </cell>
          <cell r="J58">
            <v>0</v>
          </cell>
          <cell r="K58" t="str">
            <v/>
          </cell>
          <cell r="L58">
            <v>0</v>
          </cell>
          <cell r="M58">
            <v>0</v>
          </cell>
          <cell r="N58">
            <v>0</v>
          </cell>
          <cell r="O58" t="str">
            <v/>
          </cell>
          <cell r="P58">
            <v>0</v>
          </cell>
          <cell r="Q58" t="str">
            <v/>
          </cell>
          <cell r="R58">
            <v>0</v>
          </cell>
          <cell r="S58" t="str">
            <v/>
          </cell>
          <cell r="T58">
            <v>0</v>
          </cell>
          <cell r="U58" t="str">
            <v/>
          </cell>
          <cell r="V58">
            <v>0</v>
          </cell>
          <cell r="W58" t="str">
            <v/>
          </cell>
          <cell r="X58">
            <v>0</v>
          </cell>
        </row>
        <row r="62">
          <cell r="A62">
            <v>0</v>
          </cell>
          <cell r="D62">
            <v>0</v>
          </cell>
          <cell r="F62">
            <v>0</v>
          </cell>
          <cell r="G62" t="str">
            <v/>
          </cell>
          <cell r="H62">
            <v>0</v>
          </cell>
          <cell r="I62" t="str">
            <v/>
          </cell>
          <cell r="J62">
            <v>0</v>
          </cell>
          <cell r="K62" t="str">
            <v/>
          </cell>
          <cell r="L62">
            <v>0</v>
          </cell>
          <cell r="M62">
            <v>0</v>
          </cell>
          <cell r="P62">
            <v>0</v>
          </cell>
          <cell r="R62">
            <v>0</v>
          </cell>
          <cell r="S62" t="str">
            <v/>
          </cell>
          <cell r="T62">
            <v>0</v>
          </cell>
          <cell r="U62" t="str">
            <v/>
          </cell>
          <cell r="V62">
            <v>0</v>
          </cell>
          <cell r="W62" t="str">
            <v/>
          </cell>
          <cell r="X62">
            <v>0</v>
          </cell>
        </row>
        <row r="63">
          <cell r="F63">
            <v>0</v>
          </cell>
          <cell r="G63" t="str">
            <v/>
          </cell>
          <cell r="H63">
            <v>0</v>
          </cell>
          <cell r="I63" t="str">
            <v/>
          </cell>
          <cell r="J63">
            <v>0</v>
          </cell>
          <cell r="K63" t="str">
            <v/>
          </cell>
          <cell r="L63">
            <v>0</v>
          </cell>
          <cell r="Q63" t="str">
            <v/>
          </cell>
          <cell r="R63">
            <v>0</v>
          </cell>
          <cell r="S63" t="str">
            <v/>
          </cell>
          <cell r="T63">
            <v>0</v>
          </cell>
          <cell r="U63" t="str">
            <v/>
          </cell>
          <cell r="V63">
            <v>0</v>
          </cell>
          <cell r="W63" t="str">
            <v/>
          </cell>
          <cell r="X63">
            <v>0</v>
          </cell>
        </row>
        <row r="64">
          <cell r="A64">
            <v>0</v>
          </cell>
          <cell r="B64">
            <v>0</v>
          </cell>
          <cell r="C64" t="str">
            <v/>
          </cell>
          <cell r="D64">
            <v>0</v>
          </cell>
          <cell r="F64">
            <v>0</v>
          </cell>
          <cell r="G64" t="str">
            <v/>
          </cell>
          <cell r="H64">
            <v>0</v>
          </cell>
          <cell r="I64" t="str">
            <v/>
          </cell>
          <cell r="J64">
            <v>0</v>
          </cell>
          <cell r="K64" t="str">
            <v/>
          </cell>
          <cell r="L64">
            <v>0</v>
          </cell>
          <cell r="M64">
            <v>0</v>
          </cell>
          <cell r="N64">
            <v>0</v>
          </cell>
          <cell r="O64" t="str">
            <v/>
          </cell>
          <cell r="P64">
            <v>0</v>
          </cell>
          <cell r="Q64" t="str">
            <v/>
          </cell>
          <cell r="R64">
            <v>0</v>
          </cell>
          <cell r="S64" t="str">
            <v/>
          </cell>
          <cell r="T64">
            <v>0</v>
          </cell>
          <cell r="U64" t="str">
            <v/>
          </cell>
          <cell r="V64">
            <v>0</v>
          </cell>
          <cell r="W64" t="str">
            <v/>
          </cell>
          <cell r="X64">
            <v>0</v>
          </cell>
        </row>
        <row r="68">
          <cell r="D68">
            <v>0</v>
          </cell>
          <cell r="E68" t="str">
            <v/>
          </cell>
          <cell r="P68">
            <v>0</v>
          </cell>
          <cell r="Q68" t="str">
            <v/>
          </cell>
        </row>
        <row r="69">
          <cell r="A69" t="str">
            <v>小　　計</v>
          </cell>
          <cell r="B69">
            <v>0</v>
          </cell>
          <cell r="C69">
            <v>0</v>
          </cell>
          <cell r="D69">
            <v>0</v>
          </cell>
          <cell r="E69" t="str">
            <v/>
          </cell>
          <cell r="M69" t="str">
            <v>小　　計</v>
          </cell>
          <cell r="N69">
            <v>0</v>
          </cell>
          <cell r="O69">
            <v>0</v>
          </cell>
          <cell r="P69">
            <v>0</v>
          </cell>
          <cell r="Q69" t="str">
            <v/>
          </cell>
        </row>
        <row r="72">
          <cell r="D72">
            <v>0</v>
          </cell>
          <cell r="E72" t="str">
            <v/>
          </cell>
          <cell r="P72">
            <v>0</v>
          </cell>
          <cell r="Q72" t="str">
            <v/>
          </cell>
        </row>
        <row r="73">
          <cell r="A73" t="str">
            <v>合　　計</v>
          </cell>
          <cell r="B73">
            <v>0</v>
          </cell>
          <cell r="C73">
            <v>0</v>
          </cell>
          <cell r="D73">
            <v>0</v>
          </cell>
          <cell r="E73" t="str">
            <v/>
          </cell>
          <cell r="M73" t="str">
            <v>合　　計</v>
          </cell>
          <cell r="N73">
            <v>923</v>
          </cell>
          <cell r="O73">
            <v>616</v>
          </cell>
          <cell r="P73">
            <v>0</v>
          </cell>
          <cell r="Q73" t="str">
            <v/>
          </cell>
        </row>
        <row r="76">
          <cell r="D76">
            <v>0</v>
          </cell>
          <cell r="E76" t="str">
            <v/>
          </cell>
        </row>
        <row r="77">
          <cell r="A77" t="str">
            <v>左右合計</v>
          </cell>
          <cell r="B77">
            <v>923</v>
          </cell>
          <cell r="C77">
            <v>616</v>
          </cell>
          <cell r="D77">
            <v>0</v>
          </cell>
          <cell r="E77" t="str">
            <v/>
          </cell>
        </row>
        <row r="79">
          <cell r="X79" t="str">
            <v/>
          </cell>
        </row>
      </sheetData>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新規Microsoft Excel ワークシート"/>
      <sheetName val="表紙"/>
      <sheetName val="総括表"/>
      <sheetName val="内訳数量表"/>
      <sheetName val="土工計算書"/>
      <sheetName val="A1本管土　土留"/>
      <sheetName val="A1本管掘削断面"/>
      <sheetName val="A1本管　土留計算書"/>
      <sheetName val="A1汚水取付土工集"/>
      <sheetName val="A1汚水取付土工算出基礎"/>
      <sheetName val="取付管基礎断面"/>
      <sheetName val="1号マン数量"/>
      <sheetName val="簡易マンホール"/>
      <sheetName val="取壊し復旧集計"/>
      <sheetName val="本管・取付管取壊し調書"/>
      <sheetName val="本管・取付管舗装復旧調書"/>
      <sheetName val="縁石復旧調書"/>
      <sheetName val="○土積精算"/>
      <sheetName val="○土積表"/>
      <sheetName val="○作業残土"/>
      <sheetName val="○整形集計"/>
      <sheetName val="○盛土法面仕上げ"/>
      <sheetName val="○内法仕上げバス停区間"/>
      <sheetName val="○不陸整正バス停区間"/>
      <sheetName val="○法面工"/>
      <sheetName val="○擁璧工 "/>
      <sheetName val="○擁璧工作業土工"/>
      <sheetName val="○排水工"/>
      <sheetName val="○側溝工"/>
      <sheetName val="○桝工"/>
      <sheetName val="○桝個所調書"/>
      <sheetName val="○路盤工"/>
      <sheetName val="○バス停区間車道路盤工"/>
      <sheetName val="○歩道路盤工"/>
      <sheetName val="○舗装工"/>
      <sheetName val="○バス停区間車道舗装工"/>
      <sheetName val="○歩道舗装工"/>
      <sheetName val="○付属施設工"/>
      <sheetName val="○縁石"/>
      <sheetName val="○縁石当"/>
      <sheetName val="○転落防止"/>
      <sheetName val="○転落防止柵箇所調書"/>
      <sheetName val="○撤去工"/>
      <sheetName val="数量計算調書見出し"/>
      <sheetName val="土積精算"/>
      <sheetName val="作業残土，流用距離"/>
      <sheetName val="○切り土法面仕上げ"/>
      <sheetName val="小段仕上"/>
      <sheetName val="不陸整正 (歩道)"/>
      <sheetName val="側溝延長調書"/>
      <sheetName val="曲補（排水）"/>
      <sheetName val="×側当"/>
      <sheetName val="×桝当"/>
      <sheetName val="標識工"/>
      <sheetName val="標識個所調書"/>
      <sheetName val="曲補（縁石）"/>
      <sheetName val="附帯作工箇所調書"/>
      <sheetName val="準備工"/>
      <sheetName val="伐開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定規図"/>
      <sheetName val="総括表"/>
      <sheetName val="土積精算"/>
      <sheetName val="土積表"/>
      <sheetName val="整形集計"/>
      <sheetName val="法面仕上げ"/>
      <sheetName val="内法仕上げ"/>
      <sheetName val="小段仕上げ"/>
      <sheetName val="不陸整正工"/>
      <sheetName val="作業残土処理工"/>
      <sheetName val="横断管渠工"/>
      <sheetName val="横断管当"/>
      <sheetName val="排水工"/>
      <sheetName val="縦断管渠工"/>
      <sheetName val="縦断管延長調書"/>
      <sheetName val="縦断管当"/>
      <sheetName val="桝工"/>
      <sheetName val="桝個所調書"/>
      <sheetName val="桝当"/>
      <sheetName val="路盤工"/>
      <sheetName val="車道路盤工（L）"/>
      <sheetName val="車道路盤工（R)"/>
      <sheetName val="舗装工"/>
      <sheetName val="舗装工（L)"/>
      <sheetName val="舗装工（R)"/>
      <sheetName val="付属施設工"/>
      <sheetName val="縁石"/>
      <sheetName val="縁石当"/>
      <sheetName val="撤去工"/>
      <sheetName val="起点工"/>
      <sheetName val="終点工"/>
      <sheetName val="表紙２"/>
      <sheetName val="工事数量総括表"/>
      <sheetName val="体系化集計"/>
      <sheetName val="体系化集計 (2)"/>
      <sheetName val="土量配分表"/>
      <sheetName val="平均距離"/>
      <sheetName val="土積計算"/>
      <sheetName val="作業土工集計"/>
      <sheetName val="法面工"/>
      <sheetName val="不陸整正"/>
      <sheetName val="切土法面"/>
      <sheetName val="盛土法面"/>
      <sheetName val="ステップ"/>
      <sheetName val="舗装・路盤集"/>
      <sheetName val="舗装工延長調書"/>
      <sheetName val="路盤工延長調書"/>
      <sheetName val="積ブロック集"/>
      <sheetName val="積ブロック"/>
      <sheetName val="ブロック土積"/>
      <sheetName val="横断管渠"/>
      <sheetName val="桝工集"/>
      <sheetName val="雨水桝箇所"/>
      <sheetName val="Uトラ集 "/>
      <sheetName val="縦排水"/>
      <sheetName val="水路BOX"/>
      <sheetName val="V水路計"/>
      <sheetName val="V水路延長"/>
      <sheetName val="V曲線補正"/>
      <sheetName val="遮断式暗渠"/>
      <sheetName val="暗渠延長"/>
      <sheetName val="暗渠曲線補正"/>
      <sheetName val="旧水路処理"/>
      <sheetName val="旧水路処理延長"/>
      <sheetName val="水路処理土量"/>
      <sheetName val="防護柵集"/>
      <sheetName val="防護柵延長"/>
      <sheetName val="防曲線補正"/>
      <sheetName val="切断延長"/>
      <sheetName val="舗装取壊し面積"/>
      <sheetName val="伐開集"/>
      <sheetName val="切土伐開"/>
      <sheetName val="盛土伐開"/>
      <sheetName val="横断管集"/>
      <sheetName val="土積集計"/>
      <sheetName val="BOX"/>
      <sheetName val="BOX桝"/>
      <sheetName val="取付集計表"/>
      <sheetName val="町道内訳"/>
      <sheetName val="縁石集 "/>
      <sheetName val="縁石延長"/>
      <sheetName val="縁石補正"/>
      <sheetName val="Uトラ計"/>
      <sheetName val="Uトラフ延長"/>
      <sheetName val="U曲線補正"/>
    </sheetNames>
    <sheetDataSet>
      <sheetData sheetId="0">
        <row r="2">
          <cell r="B2" t="str">
            <v>平　成　16　年　度　　　　　　　　　　　　　　　　　　　　　　　　　　　東 幸 町 線　道 路 整 備 実 測 線 調 査 業 務</v>
          </cell>
        </row>
        <row r="3">
          <cell r="B3" t="str">
            <v>区間　SP=268.59～SP=343.89　　　延長　L=75.30m</v>
          </cell>
        </row>
        <row r="5">
          <cell r="B5" t="str">
            <v>レベル　1　名称　：　道 路 改 良</v>
          </cell>
        </row>
        <row r="7">
          <cell r="B7" t="str">
            <v>数　量　計　算　書</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表紙"/>
      <sheetName val="2.調書"/>
      <sheetName val="3.土積集"/>
      <sheetName val="4.土積計"/>
      <sheetName val="B"/>
    </sheetNames>
    <sheetDataSet>
      <sheetData sheetId="0" refreshError="1"/>
      <sheetData sheetId="1" refreshError="1"/>
      <sheetData sheetId="2" refreshError="1"/>
      <sheetData sheetId="3"/>
      <sheetData sheetId="4">
        <row r="1">
          <cell r="A1" t="str">
            <v>a</v>
          </cell>
          <cell r="B1" t="str">
            <v>b</v>
          </cell>
          <cell r="C1" t="str">
            <v>c</v>
          </cell>
          <cell r="D1" t="str">
            <v>d</v>
          </cell>
          <cell r="E1" t="str">
            <v>e</v>
          </cell>
          <cell r="F1" t="str">
            <v>f</v>
          </cell>
          <cell r="G1" t="str">
            <v>g</v>
          </cell>
          <cell r="H1" t="str">
            <v>h</v>
          </cell>
          <cell r="I1" t="str">
            <v>I</v>
          </cell>
        </row>
        <row r="2">
          <cell r="A2" t="str">
            <v>ｺｰﾄﾞ</v>
          </cell>
          <cell r="B2" t="str">
            <v>側点</v>
          </cell>
          <cell r="C2" t="str">
            <v>GH</v>
          </cell>
          <cell r="D2" t="str">
            <v>FH</v>
          </cell>
          <cell r="E2" t="str">
            <v>BH/CH</v>
          </cell>
          <cell r="F2" t="str">
            <v>BA</v>
          </cell>
          <cell r="G2" t="str">
            <v>CA</v>
          </cell>
          <cell r="H2" t="str">
            <v>MCA</v>
          </cell>
          <cell r="I2" t="str">
            <v>MBA</v>
          </cell>
        </row>
        <row r="3">
          <cell r="A3">
            <v>1</v>
          </cell>
          <cell r="B3">
            <v>682.93</v>
          </cell>
          <cell r="C3">
            <v>271.99</v>
          </cell>
          <cell r="D3">
            <v>271.83</v>
          </cell>
          <cell r="E3">
            <v>0.16000000000002501</v>
          </cell>
          <cell r="F3">
            <v>7.7</v>
          </cell>
          <cell r="G3">
            <v>0.1</v>
          </cell>
          <cell r="H3">
            <v>7.65</v>
          </cell>
          <cell r="I3">
            <v>0.1</v>
          </cell>
        </row>
        <row r="4">
          <cell r="A4">
            <v>2</v>
          </cell>
          <cell r="B4">
            <v>700</v>
          </cell>
          <cell r="C4">
            <v>273.39999999999998</v>
          </cell>
          <cell r="D4">
            <v>273.3</v>
          </cell>
          <cell r="E4">
            <v>9.9999999999965894E-2</v>
          </cell>
          <cell r="F4">
            <v>7.6</v>
          </cell>
          <cell r="G4">
            <v>0.1</v>
          </cell>
          <cell r="H4">
            <v>7.1</v>
          </cell>
          <cell r="I4">
            <v>0.3</v>
          </cell>
        </row>
        <row r="5">
          <cell r="A5">
            <v>3</v>
          </cell>
          <cell r="B5">
            <v>720</v>
          </cell>
          <cell r="C5">
            <v>274.89999999999998</v>
          </cell>
          <cell r="D5">
            <v>274.86</v>
          </cell>
          <cell r="E5">
            <v>3.999999999996362E-2</v>
          </cell>
          <cell r="F5">
            <v>6.6</v>
          </cell>
          <cell r="G5">
            <v>0.5</v>
          </cell>
          <cell r="H5">
            <v>6.45</v>
          </cell>
          <cell r="I5">
            <v>0.45</v>
          </cell>
        </row>
        <row r="6">
          <cell r="A6">
            <v>4</v>
          </cell>
          <cell r="B6">
            <v>740</v>
          </cell>
          <cell r="C6">
            <v>276.25</v>
          </cell>
          <cell r="D6">
            <v>276.25</v>
          </cell>
          <cell r="E6">
            <v>0</v>
          </cell>
          <cell r="F6">
            <v>6.3</v>
          </cell>
          <cell r="G6">
            <v>0.4</v>
          </cell>
          <cell r="H6">
            <v>6.35</v>
          </cell>
          <cell r="I6">
            <v>0.35</v>
          </cell>
        </row>
        <row r="7">
          <cell r="A7">
            <v>5</v>
          </cell>
          <cell r="B7">
            <v>760</v>
          </cell>
          <cell r="C7">
            <v>277.58</v>
          </cell>
          <cell r="D7">
            <v>277.62</v>
          </cell>
          <cell r="E7">
            <v>4.0000000000020464E-2</v>
          </cell>
          <cell r="F7">
            <v>6.4</v>
          </cell>
          <cell r="G7">
            <v>0.3</v>
          </cell>
          <cell r="H7">
            <v>6.45</v>
          </cell>
          <cell r="I7">
            <v>0.25</v>
          </cell>
        </row>
        <row r="8">
          <cell r="A8">
            <v>6</v>
          </cell>
          <cell r="B8">
            <v>780</v>
          </cell>
          <cell r="C8">
            <v>278.97000000000003</v>
          </cell>
          <cell r="D8">
            <v>278.99</v>
          </cell>
          <cell r="E8">
            <v>1.999999999998181E-2</v>
          </cell>
          <cell r="F8">
            <v>6.5</v>
          </cell>
          <cell r="G8">
            <v>0.2</v>
          </cell>
          <cell r="H8">
            <v>6.8</v>
          </cell>
          <cell r="I8">
            <v>0.1</v>
          </cell>
        </row>
        <row r="9">
          <cell r="A9">
            <v>7</v>
          </cell>
          <cell r="B9">
            <v>800</v>
          </cell>
          <cell r="C9">
            <v>280.39999999999998</v>
          </cell>
          <cell r="D9">
            <v>280.36</v>
          </cell>
          <cell r="E9">
            <v>3.999999999996362E-2</v>
          </cell>
          <cell r="F9">
            <v>7.1</v>
          </cell>
          <cell r="G9">
            <v>0</v>
          </cell>
          <cell r="H9">
            <v>6.95</v>
          </cell>
          <cell r="I9">
            <v>0.3</v>
          </cell>
        </row>
        <row r="10">
          <cell r="A10">
            <v>8</v>
          </cell>
          <cell r="B10">
            <v>820</v>
          </cell>
          <cell r="C10">
            <v>281.79000000000002</v>
          </cell>
          <cell r="D10">
            <v>281.73</v>
          </cell>
          <cell r="E10">
            <v>6.0000000000002274E-2</v>
          </cell>
          <cell r="F10">
            <v>6.8</v>
          </cell>
          <cell r="G10">
            <v>0.6</v>
          </cell>
          <cell r="H10">
            <v>6.9</v>
          </cell>
          <cell r="I10">
            <v>0.5</v>
          </cell>
        </row>
        <row r="11">
          <cell r="A11">
            <v>9</v>
          </cell>
          <cell r="B11">
            <v>840</v>
          </cell>
          <cell r="C11">
            <v>283.13</v>
          </cell>
          <cell r="D11">
            <v>283.08999999999997</v>
          </cell>
          <cell r="E11">
            <v>4.0000000000020464E-2</v>
          </cell>
          <cell r="F11">
            <v>7</v>
          </cell>
          <cell r="G11">
            <v>0.4</v>
          </cell>
          <cell r="H11">
            <v>6.75</v>
          </cell>
          <cell r="I11">
            <v>1.05</v>
          </cell>
        </row>
        <row r="12">
          <cell r="A12">
            <v>10</v>
          </cell>
          <cell r="B12">
            <v>860</v>
          </cell>
          <cell r="C12">
            <v>284.5</v>
          </cell>
          <cell r="D12">
            <v>284.45999999999998</v>
          </cell>
          <cell r="E12">
            <v>4.0000000000020464E-2</v>
          </cell>
          <cell r="F12">
            <v>6.5</v>
          </cell>
          <cell r="G12">
            <v>1.7</v>
          </cell>
          <cell r="H12">
            <v>6.55</v>
          </cell>
          <cell r="I12">
            <v>1.3</v>
          </cell>
        </row>
        <row r="13">
          <cell r="A13">
            <v>11</v>
          </cell>
          <cell r="B13">
            <v>880</v>
          </cell>
          <cell r="C13">
            <v>285.83999999999997</v>
          </cell>
          <cell r="D13">
            <v>285.83</v>
          </cell>
          <cell r="E13">
            <v>9.9999999999909051E-3</v>
          </cell>
          <cell r="F13">
            <v>6.6</v>
          </cell>
          <cell r="G13">
            <v>0.9</v>
          </cell>
          <cell r="H13">
            <v>6.7</v>
          </cell>
          <cell r="I13">
            <v>0.65</v>
          </cell>
        </row>
        <row r="14">
          <cell r="A14">
            <v>12</v>
          </cell>
          <cell r="B14">
            <v>900</v>
          </cell>
          <cell r="C14">
            <v>287.22000000000003</v>
          </cell>
          <cell r="D14">
            <v>287.2</v>
          </cell>
          <cell r="E14">
            <v>2.0000000000038654E-2</v>
          </cell>
          <cell r="F14">
            <v>6.8</v>
          </cell>
          <cell r="G14">
            <v>0.4</v>
          </cell>
          <cell r="H14">
            <v>7</v>
          </cell>
          <cell r="I14">
            <v>0.85</v>
          </cell>
        </row>
        <row r="15">
          <cell r="A15">
            <v>13</v>
          </cell>
          <cell r="B15">
            <v>920</v>
          </cell>
          <cell r="C15">
            <v>288.68</v>
          </cell>
          <cell r="D15">
            <v>288.57</v>
          </cell>
          <cell r="E15">
            <v>0.11000000000001364</v>
          </cell>
          <cell r="F15">
            <v>7.2</v>
          </cell>
          <cell r="G15">
            <v>1.3</v>
          </cell>
          <cell r="H15">
            <v>7.95</v>
          </cell>
          <cell r="I15">
            <v>0.85</v>
          </cell>
        </row>
        <row r="16">
          <cell r="A16">
            <v>14</v>
          </cell>
          <cell r="B16">
            <v>940</v>
          </cell>
          <cell r="C16">
            <v>290.17</v>
          </cell>
          <cell r="D16">
            <v>289.94</v>
          </cell>
          <cell r="E16">
            <v>0.23000000000001819</v>
          </cell>
          <cell r="F16">
            <v>8.6999999999999993</v>
          </cell>
          <cell r="G16">
            <v>0.4</v>
          </cell>
          <cell r="H16">
            <v>9</v>
          </cell>
          <cell r="I16">
            <v>0.4</v>
          </cell>
        </row>
        <row r="17">
          <cell r="A17">
            <v>15</v>
          </cell>
          <cell r="B17">
            <v>960</v>
          </cell>
          <cell r="C17">
            <v>291.66000000000003</v>
          </cell>
          <cell r="D17">
            <v>291.31</v>
          </cell>
          <cell r="E17">
            <v>0.35000000000002274</v>
          </cell>
          <cell r="F17">
            <v>9.3000000000000007</v>
          </cell>
          <cell r="G17">
            <v>0.4</v>
          </cell>
          <cell r="H17">
            <v>10</v>
          </cell>
          <cell r="I17">
            <v>0.3</v>
          </cell>
        </row>
        <row r="18">
          <cell r="A18">
            <v>16</v>
          </cell>
          <cell r="B18">
            <v>980</v>
          </cell>
          <cell r="C18">
            <v>293.11</v>
          </cell>
          <cell r="D18">
            <v>292.68</v>
          </cell>
          <cell r="E18">
            <v>0.43000000000000682</v>
          </cell>
          <cell r="F18">
            <v>10.7</v>
          </cell>
          <cell r="G18">
            <v>0.2</v>
          </cell>
          <cell r="H18">
            <v>10.75</v>
          </cell>
          <cell r="I18">
            <v>0.2</v>
          </cell>
        </row>
        <row r="19">
          <cell r="A19">
            <v>17</v>
          </cell>
          <cell r="B19">
            <v>1000</v>
          </cell>
          <cell r="C19">
            <v>294.49</v>
          </cell>
          <cell r="D19">
            <v>294.05</v>
          </cell>
          <cell r="E19">
            <v>0.43999999999999773</v>
          </cell>
          <cell r="F19">
            <v>10.8</v>
          </cell>
          <cell r="G19">
            <v>0.2</v>
          </cell>
          <cell r="H19">
            <v>10.7</v>
          </cell>
          <cell r="I19">
            <v>0.2</v>
          </cell>
        </row>
        <row r="20">
          <cell r="A20">
            <v>18</v>
          </cell>
          <cell r="B20">
            <v>1020</v>
          </cell>
          <cell r="C20">
            <v>295.83999999999997</v>
          </cell>
          <cell r="D20">
            <v>295.42</v>
          </cell>
          <cell r="E20">
            <v>0.41999999999995907</v>
          </cell>
          <cell r="F20">
            <v>10.6</v>
          </cell>
          <cell r="G20">
            <v>0.2</v>
          </cell>
          <cell r="H20">
            <v>10.5</v>
          </cell>
          <cell r="I20">
            <v>0.2</v>
          </cell>
        </row>
        <row r="21">
          <cell r="A21">
            <v>19</v>
          </cell>
          <cell r="B21">
            <v>1040</v>
          </cell>
          <cell r="C21">
            <v>297.2</v>
          </cell>
          <cell r="D21">
            <v>296.77999999999997</v>
          </cell>
          <cell r="E21">
            <v>0.42000000000001592</v>
          </cell>
          <cell r="F21">
            <v>10.4</v>
          </cell>
          <cell r="G21">
            <v>0.2</v>
          </cell>
          <cell r="H21">
            <v>10.050000000000001</v>
          </cell>
          <cell r="I21">
            <v>0.2</v>
          </cell>
        </row>
        <row r="22">
          <cell r="A22">
            <v>20</v>
          </cell>
          <cell r="B22">
            <v>1060</v>
          </cell>
          <cell r="C22">
            <v>298.49</v>
          </cell>
          <cell r="D22">
            <v>298.14999999999998</v>
          </cell>
          <cell r="E22">
            <v>0.34000000000003183</v>
          </cell>
          <cell r="F22">
            <v>9.6999999999999993</v>
          </cell>
          <cell r="G22">
            <v>0.2</v>
          </cell>
          <cell r="H22">
            <v>9.25</v>
          </cell>
          <cell r="I22">
            <v>0.25</v>
          </cell>
        </row>
        <row r="23">
          <cell r="A23">
            <v>21</v>
          </cell>
          <cell r="B23">
            <v>1080</v>
          </cell>
          <cell r="C23">
            <v>299.76</v>
          </cell>
          <cell r="D23">
            <v>299.52</v>
          </cell>
          <cell r="E23">
            <v>0.24000000000000909</v>
          </cell>
          <cell r="F23">
            <v>8.8000000000000007</v>
          </cell>
          <cell r="G23">
            <v>0.3</v>
          </cell>
          <cell r="H23">
            <v>8.25</v>
          </cell>
          <cell r="I23">
            <v>0.5</v>
          </cell>
        </row>
        <row r="24">
          <cell r="A24">
            <v>22</v>
          </cell>
          <cell r="B24">
            <v>1100</v>
          </cell>
          <cell r="C24">
            <v>301</v>
          </cell>
          <cell r="D24">
            <v>300.89</v>
          </cell>
          <cell r="E24">
            <v>0.11000000000001364</v>
          </cell>
          <cell r="F24">
            <v>7.7</v>
          </cell>
          <cell r="G24">
            <v>0.7</v>
          </cell>
          <cell r="H24">
            <v>6.9</v>
          </cell>
          <cell r="I24">
            <v>0.95</v>
          </cell>
        </row>
        <row r="25">
          <cell r="A25">
            <v>23</v>
          </cell>
          <cell r="B25">
            <v>1120</v>
          </cell>
          <cell r="C25">
            <v>302.20999999999998</v>
          </cell>
          <cell r="D25">
            <v>302.26</v>
          </cell>
          <cell r="E25">
            <v>5.0000000000011369E-2</v>
          </cell>
          <cell r="F25">
            <v>6.1</v>
          </cell>
          <cell r="G25">
            <v>1.2</v>
          </cell>
          <cell r="H25">
            <v>6.5</v>
          </cell>
          <cell r="I25">
            <v>0.85</v>
          </cell>
        </row>
        <row r="26">
          <cell r="A26">
            <v>24</v>
          </cell>
          <cell r="B26">
            <v>1140</v>
          </cell>
          <cell r="C26">
            <v>303.69</v>
          </cell>
          <cell r="D26">
            <v>303.64</v>
          </cell>
          <cell r="E26">
            <v>5.0000000000011369E-2</v>
          </cell>
          <cell r="F26">
            <v>6.9</v>
          </cell>
          <cell r="G26">
            <v>0.5</v>
          </cell>
          <cell r="H26">
            <v>7.6</v>
          </cell>
          <cell r="I26">
            <v>0.65</v>
          </cell>
        </row>
        <row r="27">
          <cell r="A27">
            <v>25</v>
          </cell>
          <cell r="B27">
            <v>1160</v>
          </cell>
          <cell r="C27">
            <v>305.27</v>
          </cell>
          <cell r="D27">
            <v>305.08999999999997</v>
          </cell>
          <cell r="E27">
            <v>0.18000000000000682</v>
          </cell>
          <cell r="F27">
            <v>8.3000000000000007</v>
          </cell>
          <cell r="G27">
            <v>0.8</v>
          </cell>
          <cell r="H27">
            <v>8.75</v>
          </cell>
          <cell r="I27">
            <v>0.65</v>
          </cell>
        </row>
        <row r="28">
          <cell r="A28">
            <v>26</v>
          </cell>
          <cell r="B28">
            <v>1180</v>
          </cell>
          <cell r="C28">
            <v>306.92</v>
          </cell>
          <cell r="D28">
            <v>306.62</v>
          </cell>
          <cell r="E28">
            <v>0.30000000000001137</v>
          </cell>
          <cell r="F28">
            <v>9.1999999999999993</v>
          </cell>
          <cell r="G28">
            <v>0.5</v>
          </cell>
          <cell r="H28">
            <v>9.85</v>
          </cell>
          <cell r="I28">
            <v>0.35</v>
          </cell>
        </row>
        <row r="29">
          <cell r="A29">
            <v>27</v>
          </cell>
          <cell r="B29">
            <v>1200</v>
          </cell>
          <cell r="C29">
            <v>308.61</v>
          </cell>
          <cell r="D29">
            <v>308.25</v>
          </cell>
          <cell r="E29">
            <v>0.36000000000001364</v>
          </cell>
          <cell r="F29">
            <v>10.5</v>
          </cell>
          <cell r="G29">
            <v>0.2</v>
          </cell>
          <cell r="H29">
            <v>10</v>
          </cell>
          <cell r="I29">
            <v>0.3</v>
          </cell>
        </row>
        <row r="30">
          <cell r="A30">
            <v>28</v>
          </cell>
          <cell r="B30">
            <v>1220</v>
          </cell>
          <cell r="C30">
            <v>310.27999999999997</v>
          </cell>
          <cell r="D30">
            <v>309.95</v>
          </cell>
          <cell r="E30">
            <v>0.32999999999998408</v>
          </cell>
          <cell r="F30">
            <v>9.5</v>
          </cell>
          <cell r="G30">
            <v>0.4</v>
          </cell>
          <cell r="H30">
            <v>9.15</v>
          </cell>
          <cell r="I30">
            <v>0.3</v>
          </cell>
        </row>
        <row r="31">
          <cell r="A31">
            <v>29</v>
          </cell>
          <cell r="B31">
            <v>1240</v>
          </cell>
          <cell r="C31">
            <v>311.92</v>
          </cell>
          <cell r="D31">
            <v>311.64999999999998</v>
          </cell>
          <cell r="E31">
            <v>0.27000000000003865</v>
          </cell>
          <cell r="F31">
            <v>8.8000000000000007</v>
          </cell>
          <cell r="G31">
            <v>0.2</v>
          </cell>
          <cell r="H31">
            <v>8.6</v>
          </cell>
          <cell r="I31">
            <v>0.2</v>
          </cell>
        </row>
        <row r="32">
          <cell r="A32">
            <v>30</v>
          </cell>
          <cell r="B32">
            <v>1260</v>
          </cell>
          <cell r="C32">
            <v>313.54000000000002</v>
          </cell>
          <cell r="D32">
            <v>313.36</v>
          </cell>
          <cell r="E32">
            <v>0.18000000000000682</v>
          </cell>
          <cell r="F32">
            <v>8.4</v>
          </cell>
          <cell r="G32">
            <v>0.2</v>
          </cell>
          <cell r="H32">
            <v>8.6</v>
          </cell>
          <cell r="I32">
            <v>0.25</v>
          </cell>
        </row>
        <row r="33">
          <cell r="A33">
            <v>31</v>
          </cell>
          <cell r="B33">
            <v>1279.999</v>
          </cell>
          <cell r="C33">
            <v>315.24</v>
          </cell>
          <cell r="D33">
            <v>315.07</v>
          </cell>
          <cell r="E33">
            <v>0.17000000000001592</v>
          </cell>
          <cell r="F33">
            <v>8.8000000000000007</v>
          </cell>
          <cell r="G33">
            <v>0.3</v>
          </cell>
          <cell r="H33">
            <v>8.0500000000000007</v>
          </cell>
          <cell r="I33">
            <v>0.3</v>
          </cell>
        </row>
        <row r="34">
          <cell r="A34">
            <v>32</v>
          </cell>
          <cell r="B34">
            <v>1299.999</v>
          </cell>
          <cell r="C34">
            <v>316.89</v>
          </cell>
          <cell r="D34">
            <v>316.77</v>
          </cell>
          <cell r="E34">
            <v>0.12000000000000455</v>
          </cell>
          <cell r="F34">
            <v>7.3</v>
          </cell>
          <cell r="G34">
            <v>0.3</v>
          </cell>
          <cell r="H34">
            <v>7.15</v>
          </cell>
          <cell r="I34">
            <v>0.35</v>
          </cell>
        </row>
        <row r="35">
          <cell r="A35">
            <v>33</v>
          </cell>
          <cell r="B35">
            <v>1319.999</v>
          </cell>
          <cell r="C35">
            <v>318.54000000000002</v>
          </cell>
          <cell r="D35">
            <v>318.47000000000003</v>
          </cell>
          <cell r="E35">
            <v>6.9999999999993179E-2</v>
          </cell>
          <cell r="F35">
            <v>7</v>
          </cell>
          <cell r="G35">
            <v>0.4</v>
          </cell>
          <cell r="H35">
            <v>6.55</v>
          </cell>
          <cell r="I35">
            <v>0.3</v>
          </cell>
        </row>
        <row r="36">
          <cell r="A36">
            <v>34</v>
          </cell>
          <cell r="B36">
            <v>1339.999</v>
          </cell>
          <cell r="C36">
            <v>320.16000000000003</v>
          </cell>
          <cell r="D36">
            <v>320.18</v>
          </cell>
          <cell r="E36">
            <v>1.999999999998181E-2</v>
          </cell>
          <cell r="F36">
            <v>6.1</v>
          </cell>
          <cell r="G36">
            <v>0.2</v>
          </cell>
          <cell r="H36">
            <v>5.9</v>
          </cell>
          <cell r="I36">
            <v>0.4</v>
          </cell>
        </row>
        <row r="37">
          <cell r="A37">
            <v>35</v>
          </cell>
          <cell r="B37">
            <v>1359.999</v>
          </cell>
          <cell r="C37">
            <v>321.83</v>
          </cell>
          <cell r="D37">
            <v>321.89</v>
          </cell>
          <cell r="E37">
            <v>6.0000000000002274E-2</v>
          </cell>
          <cell r="F37">
            <v>5.7</v>
          </cell>
          <cell r="G37">
            <v>0.6</v>
          </cell>
          <cell r="H37">
            <v>5.4</v>
          </cell>
          <cell r="I37">
            <v>0.6</v>
          </cell>
        </row>
        <row r="38">
          <cell r="A38">
            <v>36</v>
          </cell>
          <cell r="B38">
            <v>1379.999</v>
          </cell>
          <cell r="C38">
            <v>323.45999999999998</v>
          </cell>
          <cell r="D38">
            <v>323.58999999999997</v>
          </cell>
          <cell r="E38">
            <v>0.12999999999999545</v>
          </cell>
          <cell r="F38">
            <v>5.0999999999999996</v>
          </cell>
          <cell r="G38">
            <v>0.6</v>
          </cell>
          <cell r="H38">
            <v>5</v>
          </cell>
          <cell r="I38">
            <v>0.55000000000000004</v>
          </cell>
        </row>
        <row r="39">
          <cell r="A39">
            <v>37</v>
          </cell>
          <cell r="B39">
            <v>1399.999</v>
          </cell>
          <cell r="C39">
            <v>325.11</v>
          </cell>
          <cell r="D39">
            <v>325.3</v>
          </cell>
          <cell r="E39">
            <v>0.18999999999999773</v>
          </cell>
          <cell r="F39">
            <v>4.9000000000000004</v>
          </cell>
          <cell r="G39">
            <v>0.5</v>
          </cell>
          <cell r="H39">
            <v>4.6500000000000004</v>
          </cell>
          <cell r="I39">
            <v>0.6</v>
          </cell>
        </row>
        <row r="40">
          <cell r="A40">
            <v>38</v>
          </cell>
          <cell r="B40">
            <v>1419.999</v>
          </cell>
          <cell r="C40">
            <v>326.77</v>
          </cell>
          <cell r="D40">
            <v>327.01</v>
          </cell>
          <cell r="E40">
            <v>0.24000000000000909</v>
          </cell>
          <cell r="F40">
            <v>4.4000000000000004</v>
          </cell>
          <cell r="G40">
            <v>0.7</v>
          </cell>
          <cell r="H40">
            <v>4.7</v>
          </cell>
          <cell r="I40">
            <v>0.75</v>
          </cell>
        </row>
        <row r="41">
          <cell r="A41">
            <v>39</v>
          </cell>
          <cell r="B41">
            <v>1440.0450000000001</v>
          </cell>
          <cell r="C41">
            <v>328.46</v>
          </cell>
          <cell r="D41">
            <v>328.68</v>
          </cell>
          <cell r="E41">
            <v>0.22000000000002728</v>
          </cell>
          <cell r="F41">
            <v>5</v>
          </cell>
          <cell r="G41">
            <v>0.8</v>
          </cell>
          <cell r="H41">
            <v>6.8</v>
          </cell>
          <cell r="I41">
            <v>0.8</v>
          </cell>
        </row>
        <row r="42">
          <cell r="A42">
            <v>40</v>
          </cell>
          <cell r="B42">
            <v>1460.3409999999999</v>
          </cell>
          <cell r="C42">
            <v>330.11</v>
          </cell>
          <cell r="D42">
            <v>330.05</v>
          </cell>
          <cell r="E42">
            <v>6.0000000000002274E-2</v>
          </cell>
          <cell r="F42">
            <v>8.6</v>
          </cell>
          <cell r="G42">
            <v>0.8</v>
          </cell>
          <cell r="H42">
            <v>9.35</v>
          </cell>
          <cell r="I42">
            <v>1.05</v>
          </cell>
        </row>
        <row r="43">
          <cell r="A43">
            <v>41</v>
          </cell>
          <cell r="B43">
            <v>1480.857</v>
          </cell>
          <cell r="C43">
            <v>331.35</v>
          </cell>
          <cell r="D43">
            <v>331.07</v>
          </cell>
          <cell r="E43">
            <v>0.28000000000002956</v>
          </cell>
          <cell r="F43">
            <v>10.1</v>
          </cell>
          <cell r="G43">
            <v>1.3</v>
          </cell>
          <cell r="H43">
            <v>10.1</v>
          </cell>
          <cell r="I43">
            <v>0.65</v>
          </cell>
        </row>
        <row r="44">
          <cell r="A44">
            <v>42</v>
          </cell>
          <cell r="B44">
            <v>1501.1479999999999</v>
          </cell>
          <cell r="C44">
            <v>331.9</v>
          </cell>
          <cell r="D44">
            <v>331.74</v>
          </cell>
          <cell r="E44">
            <v>0.15999999999996817</v>
          </cell>
          <cell r="F44">
            <v>10.1</v>
          </cell>
          <cell r="G44">
            <v>0</v>
          </cell>
          <cell r="H44">
            <v>9.4499999999999993</v>
          </cell>
          <cell r="I44">
            <v>0</v>
          </cell>
        </row>
        <row r="45">
          <cell r="A45">
            <v>43</v>
          </cell>
          <cell r="B45">
            <v>1521.146</v>
          </cell>
          <cell r="C45">
            <v>332.15</v>
          </cell>
          <cell r="D45">
            <v>332.09</v>
          </cell>
          <cell r="E45">
            <v>6.0000000000002274E-2</v>
          </cell>
          <cell r="F45">
            <v>8.8000000000000007</v>
          </cell>
          <cell r="G45">
            <v>0</v>
          </cell>
          <cell r="H45">
            <v>7.8</v>
          </cell>
          <cell r="I45">
            <v>0.15</v>
          </cell>
        </row>
        <row r="46">
          <cell r="A46">
            <v>44</v>
          </cell>
          <cell r="B46">
            <v>1541.1410000000001</v>
          </cell>
          <cell r="C46">
            <v>332.43</v>
          </cell>
          <cell r="D46">
            <v>332.41</v>
          </cell>
          <cell r="E46">
            <v>1.999999999998181E-2</v>
          </cell>
          <cell r="F46">
            <v>6.8</v>
          </cell>
          <cell r="G46">
            <v>0.3</v>
          </cell>
          <cell r="H46">
            <v>6.45</v>
          </cell>
          <cell r="I46">
            <v>0.6</v>
          </cell>
        </row>
        <row r="47">
          <cell r="A47">
            <v>45</v>
          </cell>
          <cell r="B47">
            <v>1561.1410000000001</v>
          </cell>
          <cell r="C47">
            <v>332.72</v>
          </cell>
          <cell r="D47">
            <v>332.73</v>
          </cell>
          <cell r="E47">
            <v>9.9999999999909051E-3</v>
          </cell>
          <cell r="F47">
            <v>6.1</v>
          </cell>
          <cell r="G47">
            <v>0.9</v>
          </cell>
          <cell r="H47">
            <v>6.35</v>
          </cell>
          <cell r="I47">
            <v>1</v>
          </cell>
        </row>
        <row r="48">
          <cell r="A48">
            <v>46</v>
          </cell>
          <cell r="B48">
            <v>1581.14</v>
          </cell>
          <cell r="C48">
            <v>333.06</v>
          </cell>
          <cell r="D48">
            <v>333.07</v>
          </cell>
          <cell r="E48">
            <v>9.9999999999909051E-3</v>
          </cell>
          <cell r="F48">
            <v>6.6</v>
          </cell>
          <cell r="G48">
            <v>1.1000000000000001</v>
          </cell>
          <cell r="H48">
            <v>5.7</v>
          </cell>
          <cell r="I48">
            <v>1.9</v>
          </cell>
        </row>
        <row r="49">
          <cell r="A49">
            <v>47</v>
          </cell>
          <cell r="B49">
            <v>1601.14</v>
          </cell>
          <cell r="C49">
            <v>333.39</v>
          </cell>
          <cell r="D49">
            <v>333.58</v>
          </cell>
          <cell r="E49">
            <v>0.18999999999999773</v>
          </cell>
          <cell r="F49">
            <v>4.8</v>
          </cell>
          <cell r="G49">
            <v>2.7</v>
          </cell>
          <cell r="H49">
            <v>3.65</v>
          </cell>
          <cell r="I49">
            <v>2.7</v>
          </cell>
        </row>
        <row r="50">
          <cell r="A50">
            <v>48</v>
          </cell>
          <cell r="B50">
            <v>1621.14</v>
          </cell>
          <cell r="C50">
            <v>333.72</v>
          </cell>
          <cell r="D50">
            <v>334.2</v>
          </cell>
          <cell r="E50">
            <v>0.47999999999996135</v>
          </cell>
          <cell r="F50">
            <v>2.5</v>
          </cell>
          <cell r="G50">
            <v>2.7</v>
          </cell>
          <cell r="H50">
            <v>4.1500000000000004</v>
          </cell>
          <cell r="I50">
            <v>1.8</v>
          </cell>
        </row>
        <row r="51">
          <cell r="A51">
            <v>49</v>
          </cell>
          <cell r="B51">
            <v>1641.14</v>
          </cell>
          <cell r="C51">
            <v>334.59</v>
          </cell>
          <cell r="D51">
            <v>334.69</v>
          </cell>
          <cell r="E51">
            <v>0.10000000000002274</v>
          </cell>
          <cell r="F51">
            <v>5.8</v>
          </cell>
          <cell r="G51">
            <v>0.9</v>
          </cell>
          <cell r="H51">
            <v>6.4</v>
          </cell>
          <cell r="I51">
            <v>0.55000000000000004</v>
          </cell>
        </row>
        <row r="52">
          <cell r="A52">
            <v>50</v>
          </cell>
          <cell r="B52">
            <v>1645.1189999999999</v>
          </cell>
          <cell r="C52">
            <v>334.77</v>
          </cell>
          <cell r="D52">
            <v>334.77</v>
          </cell>
          <cell r="E52">
            <v>0</v>
          </cell>
          <cell r="F52">
            <v>7</v>
          </cell>
          <cell r="G52">
            <v>0.2</v>
          </cell>
          <cell r="H52">
            <v>7</v>
          </cell>
          <cell r="I52">
            <v>0.2</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項目"/>
      <sheetName val="表紙"/>
      <sheetName val="集計表(1)"/>
      <sheetName val="精算"/>
      <sheetName val="配分表"/>
      <sheetName val="距離表"/>
      <sheetName val="作業土工集計"/>
      <sheetName val="土積"/>
      <sheetName val="整形集計"/>
      <sheetName val="車道不陸"/>
      <sheetName val="車道不陸面積"/>
      <sheetName val="歩道不陸"/>
      <sheetName val="歩道不陸面積"/>
      <sheetName val="切"/>
      <sheetName val="切土面積調書"/>
      <sheetName val="盛"/>
      <sheetName val="盛土面積調書"/>
      <sheetName val="小段"/>
      <sheetName val="小段面積調書"/>
      <sheetName val="小段仕上"/>
      <sheetName val="法面工集計"/>
      <sheetName val="当り調書"/>
      <sheetName val="カルバート集計"/>
      <sheetName val="カルバートル数量"/>
      <sheetName val="排水集計"/>
      <sheetName val="300B延長 "/>
      <sheetName val="300B入力R"/>
      <sheetName val="300B印刷R"/>
      <sheetName val="縦断管数量"/>
      <sheetName val="縦断管個所"/>
      <sheetName val="水抜桝個所調書"/>
      <sheetName val="路盤集計"/>
      <sheetName val="路盤延長"/>
      <sheetName val="歩道路盤延長"/>
      <sheetName val="路盤工数量"/>
      <sheetName val="取付集計表"/>
      <sheetName val="取付路盤工"/>
      <sheetName val="防護柵集計"/>
      <sheetName val="防護柵延長"/>
      <sheetName val="防護柵入力L"/>
      <sheetName val="防護柵印刷L"/>
      <sheetName val="縁石集計"/>
      <sheetName val="縁石延長"/>
      <sheetName val="縁石入力R"/>
      <sheetName val="縁石印刷R"/>
      <sheetName val="誘導縁石延長"/>
      <sheetName val="縁石入力R (2)"/>
      <sheetName val="縁石印刷R (2)"/>
      <sheetName val="縁石入力L (3)"/>
      <sheetName val="縁石印刷L (3)"/>
      <sheetName val="集計表(2)"/>
      <sheetName val="集計表(3)"/>
      <sheetName val="内訳数量"/>
      <sheetName val="ブロック調書"/>
      <sheetName val="図心位置"/>
      <sheetName val="体積"/>
      <sheetName val="体積 SP48.0 20t"/>
      <sheetName val="面積"/>
      <sheetName val="計算書"/>
    </sheetNames>
    <sheetDataSet>
      <sheetData sheetId="0">
        <row r="31">
          <cell r="K31" t="str">
            <v>事業課</v>
          </cell>
          <cell r="L31" t="str">
            <v>事業課</v>
          </cell>
          <cell r="M31" t="str">
            <v>事業課</v>
          </cell>
          <cell r="N31" t="str">
            <v>苫小牧出張所</v>
          </cell>
          <cell r="O31" t="str">
            <v>事業課</v>
          </cell>
          <cell r="P31" t="str">
            <v>事業課</v>
          </cell>
          <cell r="Q31" t="str">
            <v>事業課</v>
          </cell>
          <cell r="R31" t="str">
            <v>事業課</v>
          </cell>
          <cell r="S31" t="str">
            <v>事業課</v>
          </cell>
          <cell r="T31" t="str">
            <v>事業課</v>
          </cell>
        </row>
        <row r="32">
          <cell r="K32" t="str">
            <v>岩見沢出張所</v>
          </cell>
          <cell r="L32" t="str">
            <v>蘭越出張所</v>
          </cell>
          <cell r="M32" t="str">
            <v>松前出張所</v>
          </cell>
          <cell r="N32" t="str">
            <v>洞爺出張所</v>
          </cell>
          <cell r="O32" t="str">
            <v>士別出張所</v>
          </cell>
          <cell r="P32" t="str">
            <v>羽幌出張所</v>
          </cell>
          <cell r="Q32" t="str">
            <v>歌登出張所</v>
          </cell>
          <cell r="R32" t="str">
            <v>北見出張所</v>
          </cell>
          <cell r="S32" t="str">
            <v>鹿追出張所</v>
          </cell>
          <cell r="T32" t="str">
            <v>根室出張所</v>
          </cell>
        </row>
        <row r="33">
          <cell r="K33" t="str">
            <v>滝川出張所</v>
          </cell>
          <cell r="L33" t="str">
            <v>余市出張所</v>
          </cell>
          <cell r="M33" t="str">
            <v>八雲出張所</v>
          </cell>
          <cell r="N33" t="str">
            <v>登別出張所</v>
          </cell>
          <cell r="O33" t="str">
            <v>富良野出張所</v>
          </cell>
          <cell r="P33" t="str">
            <v>遠別出張所</v>
          </cell>
          <cell r="Q33" t="str">
            <v>利尻出張所</v>
          </cell>
          <cell r="R33" t="str">
            <v>紋別出張所</v>
          </cell>
          <cell r="S33" t="str">
            <v>大樹出張所</v>
          </cell>
          <cell r="T33" t="str">
            <v>弟子屈出張所</v>
          </cell>
        </row>
        <row r="34">
          <cell r="K34" t="str">
            <v>深川出張所</v>
          </cell>
          <cell r="L34" t="str">
            <v>共和出張所</v>
          </cell>
          <cell r="M34" t="str">
            <v>江差出張所</v>
          </cell>
          <cell r="N34" t="str">
            <v>門別出張所</v>
          </cell>
          <cell r="O34" t="str">
            <v>美深出張所</v>
          </cell>
          <cell r="Q34" t="str">
            <v>礼文出張所</v>
          </cell>
          <cell r="R34" t="str">
            <v>斜里出張所</v>
          </cell>
          <cell r="S34" t="str">
            <v>足寄出張所</v>
          </cell>
          <cell r="T34" t="str">
            <v>中標津出張所</v>
          </cell>
        </row>
        <row r="35">
          <cell r="K35" t="str">
            <v>当別出張所</v>
          </cell>
          <cell r="L35" t="str">
            <v>真狩出張所</v>
          </cell>
          <cell r="M35" t="str">
            <v>今金出張所</v>
          </cell>
          <cell r="N35" t="str">
            <v>浦河出張所</v>
          </cell>
          <cell r="Q35" t="str">
            <v>頓別事業所</v>
          </cell>
          <cell r="R35" t="str">
            <v>遠軽出張所</v>
          </cell>
          <cell r="S35" t="str">
            <v>浦幌出張所</v>
          </cell>
          <cell r="T35" t="str">
            <v>厚岸出張所</v>
          </cell>
        </row>
        <row r="36">
          <cell r="K36" t="str">
            <v>長沼出張所</v>
          </cell>
          <cell r="L36" t="str">
            <v>黒松内事業所</v>
          </cell>
          <cell r="M36" t="str">
            <v>奥尻出張所</v>
          </cell>
          <cell r="R36" t="str">
            <v>興部出張所</v>
          </cell>
        </row>
        <row r="37">
          <cell r="K37" t="str">
            <v>千歳出張所</v>
          </cell>
          <cell r="M37" t="str">
            <v>知内出張所</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定規図"/>
      <sheetName val="総括表"/>
      <sheetName val="土積精算"/>
      <sheetName val="土積表"/>
      <sheetName val="整形集計"/>
      <sheetName val="法面仕上げ"/>
      <sheetName val="内法仕上げ"/>
      <sheetName val="小段仕上げ"/>
      <sheetName val="不陸整正工"/>
      <sheetName val="作業残土処理工"/>
      <sheetName val="横断管渠工"/>
      <sheetName val="横断管当"/>
      <sheetName val="排水工"/>
      <sheetName val="縦断管渠工"/>
      <sheetName val="縦断管延長調書"/>
      <sheetName val="縦断管当"/>
      <sheetName val="桝工"/>
      <sheetName val="桝個所調書"/>
      <sheetName val="桝当"/>
      <sheetName val="路盤工"/>
      <sheetName val="車道路盤工（L）"/>
      <sheetName val="車道路盤工（R)"/>
      <sheetName val="舗装工"/>
      <sheetName val="舗装工（L)"/>
      <sheetName val="舗装工（R)"/>
      <sheetName val="付属施設工"/>
      <sheetName val="縁石"/>
      <sheetName val="縁石当"/>
      <sheetName val="撤去工"/>
      <sheetName val="起点工"/>
      <sheetName val="終点工"/>
      <sheetName val="表紙２"/>
      <sheetName val="工事数量総括路盤"/>
      <sheetName val="数量総括表"/>
      <sheetName val="土積精算書"/>
      <sheetName val="土積集計"/>
      <sheetName val="土積計算"/>
      <sheetName val="CA´"/>
      <sheetName val="法面・残土"/>
      <sheetName val="切土法面"/>
      <sheetName val="U300集"/>
      <sheetName val="U300補正"/>
      <sheetName val="取壊書"/>
      <sheetName val="取壊面"/>
      <sheetName val="取付集計H15"/>
      <sheetName val="NO,10内訳"/>
      <sheetName val="NO,10取壊し"/>
      <sheetName val="NO,10土積"/>
      <sheetName val="NO,10切土"/>
      <sheetName val="NO,10盛土"/>
      <sheetName val="NO,10トラフ"/>
      <sheetName val="NO,10導水水抜桝"/>
      <sheetName val="NO,10子取付集計"/>
      <sheetName val="NO,10子取付"/>
      <sheetName val="仮設道路内"/>
      <sheetName val="切土すき取"/>
      <sheetName val="仮設面積"/>
      <sheetName val="仮設切土法"/>
      <sheetName val="支障物件"/>
    </sheetNames>
    <sheetDataSet>
      <sheetData sheetId="0" refreshError="1">
        <row r="2">
          <cell r="B2" t="str">
            <v>平　成　16　年　度　　　　　　　　　　　　　　　　　　　　　　　　　　　東 幸 町 線　道 路 整 備 実 測 線 調 査 業 務</v>
          </cell>
        </row>
        <row r="3">
          <cell r="B3" t="str">
            <v>区間　SP=268.59～SP=343.89　　　延長　L=75.30m</v>
          </cell>
        </row>
        <row r="5">
          <cell r="B5" t="str">
            <v>レベル　1　名称　：　道 路 改 良</v>
          </cell>
        </row>
        <row r="7">
          <cell r="B7" t="str">
            <v>数　量　計　算　書</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河川土工"/>
      <sheetName val="軽量盛土工"/>
      <sheetName val="地盤改良工"/>
      <sheetName val="樋門・樋管本体工"/>
      <sheetName val="護床工"/>
      <sheetName val="水路工"/>
      <sheetName val="付属物設置工"/>
      <sheetName val="構造物撤去工"/>
      <sheetName val="内訳数量表1"/>
      <sheetName val="内訳数量表2"/>
      <sheetName val="別紙-1"/>
      <sheetName val="別紙-2"/>
      <sheetName val="別紙-3"/>
      <sheetName val="別紙-4"/>
      <sheetName val="別紙-5"/>
      <sheetName val="別紙-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① 土工"/>
      <sheetName val="②法面工"/>
      <sheetName val="③水路工"/>
      <sheetName val="④カルバート工"/>
      <sheetName val="⑤サイホン工"/>
      <sheetName val="⑥分水工"/>
      <sheetName val="⑦落差工"/>
      <sheetName val="⑧放水工"/>
      <sheetName val="⑨流入工"/>
      <sheetName val="⑩安全施設工"/>
      <sheetName val="⑪構造物撤去工"/>
      <sheetName val="内訳数量表1"/>
      <sheetName val="内訳数量表2"/>
      <sheetName val="内訳数量表3"/>
      <sheetName val="別紙-1"/>
      <sheetName val="別紙-2"/>
      <sheetName val="別紙-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表紙ﾏｸﾛ"/>
      <sheetName val="入　力"/>
      <sheetName val="体積調書"/>
      <sheetName val="個人用"/>
      <sheetName val="土工"/>
      <sheetName val="法面工"/>
      <sheetName val="土・法集計"/>
      <sheetName val="側溝工"/>
      <sheetName val="管・函渠工"/>
      <sheetName val="桝工"/>
      <sheetName val="暗渠工"/>
      <sheetName val="縁石工"/>
      <sheetName val="歩道工"/>
      <sheetName val="路盤工"/>
      <sheetName val="舗装工"/>
      <sheetName val="防護柵工"/>
      <sheetName val="取付道路工"/>
      <sheetName val="視線誘導標"/>
      <sheetName val="擁壁"/>
      <sheetName val="表　題"/>
      <sheetName val="集計表・調書"/>
      <sheetName val="その他"/>
      <sheetName val="印刷ﾏｸﾛ"/>
      <sheetName val="表題印刷"/>
      <sheetName val="参照ﾏｸﾛ"/>
    </sheetNames>
    <sheetDataSet>
      <sheetData sheetId="0"/>
      <sheetData sheetId="1" refreshError="1"/>
      <sheetData sheetId="2"/>
      <sheetData sheetId="3"/>
      <sheetData sheetId="4"/>
      <sheetData sheetId="5"/>
      <sheetData sheetId="6"/>
      <sheetData sheetId="7"/>
      <sheetData sheetId="8" refreshError="1">
        <row r="2">
          <cell r="L2" t="str">
            <v>アングル付Ｕ 型 ト ラ フ 延 長 調 書 (U-300B)</v>
          </cell>
          <cell r="V2" t="str">
            <v>法 面 縦 排 水 工 集 計 表</v>
          </cell>
        </row>
        <row r="4">
          <cell r="L4" t="str">
            <v>測　点(L)</v>
          </cell>
          <cell r="M4" t="str">
            <v>延　長</v>
          </cell>
          <cell r="N4" t="str">
            <v>ｺﾝｸﾘｰﾄ蓋</v>
          </cell>
          <cell r="O4" t="str">
            <v>摘　要</v>
          </cell>
          <cell r="P4" t="str">
            <v>測　点(R)</v>
          </cell>
          <cell r="Q4" t="str">
            <v>延　長</v>
          </cell>
          <cell r="R4" t="str">
            <v>ｺﾝｸﾘｰﾄ蓋</v>
          </cell>
          <cell r="S4" t="str">
            <v>摘　要</v>
          </cell>
          <cell r="V4" t="str">
            <v>測　点</v>
          </cell>
          <cell r="W4" t="str">
            <v>L/R</v>
          </cell>
          <cell r="X4" t="str">
            <v>U-240</v>
          </cell>
          <cell r="Y4" t="str">
            <v>ｺﾝｸﾘｰﾄ蓋</v>
          </cell>
          <cell r="Z4" t="str">
            <v>集水桝650型</v>
          </cell>
          <cell r="AA4" t="str">
            <v>集水桝Ⅰ型</v>
          </cell>
          <cell r="AC4" t="str">
            <v>摘　要</v>
          </cell>
        </row>
        <row r="34">
          <cell r="L34" t="str">
            <v>計　</v>
          </cell>
          <cell r="P34" t="str">
            <v>計　</v>
          </cell>
          <cell r="V34" t="str">
            <v>計　</v>
          </cell>
        </row>
        <row r="38">
          <cell r="AF38" t="str">
            <v>法 面 縦 排 水 工 集 計 表</v>
          </cell>
        </row>
        <row r="40">
          <cell r="AF40" t="str">
            <v>名　称</v>
          </cell>
          <cell r="AG40" t="str">
            <v>規　格</v>
          </cell>
          <cell r="AH40" t="str">
            <v>数　量</v>
          </cell>
          <cell r="AI40" t="str">
            <v>単位</v>
          </cell>
          <cell r="AJ40" t="str">
            <v>摘　要</v>
          </cell>
        </row>
        <row r="41">
          <cell r="AG41" t="str">
            <v>U-240(ｿｹｯﾄ付)</v>
          </cell>
          <cell r="AI41" t="str">
            <v>m</v>
          </cell>
        </row>
        <row r="42">
          <cell r="AF42" t="str">
            <v>Ｕ型トラフ</v>
          </cell>
        </row>
        <row r="43">
          <cell r="AG43" t="str">
            <v>U-240用</v>
          </cell>
          <cell r="AI43" t="str">
            <v>〃</v>
          </cell>
        </row>
        <row r="44">
          <cell r="AF44" t="str">
            <v>同コンクリート蓋</v>
          </cell>
        </row>
        <row r="45">
          <cell r="AG45" t="str">
            <v>下部桝 (H=0.65m)</v>
          </cell>
          <cell r="AI45" t="str">
            <v>基</v>
          </cell>
        </row>
        <row r="46">
          <cell r="AF46" t="str">
            <v>集水桝650型</v>
          </cell>
        </row>
        <row r="47">
          <cell r="AG47" t="str">
            <v>550×550×50</v>
          </cell>
          <cell r="AI47" t="str">
            <v>枚</v>
          </cell>
        </row>
        <row r="48">
          <cell r="AF48" t="str">
            <v>同コンクリート蓋</v>
          </cell>
        </row>
        <row r="49">
          <cell r="AG49" t="str">
            <v>下部桝 (H=1.00m)</v>
          </cell>
          <cell r="AI49" t="str">
            <v>基</v>
          </cell>
        </row>
        <row r="50">
          <cell r="AF50" t="str">
            <v>集水桝Ⅰ型</v>
          </cell>
        </row>
        <row r="51">
          <cell r="AG51" t="str">
            <v>710×710×50(3枚割)</v>
          </cell>
          <cell r="AI51" t="str">
            <v>組</v>
          </cell>
        </row>
        <row r="52">
          <cell r="AF52" t="str">
            <v>同コンクリート蓋</v>
          </cell>
        </row>
        <row r="53">
          <cell r="AG53" t="str">
            <v>下部桝 (H=1.20m)</v>
          </cell>
          <cell r="AI53" t="str">
            <v>基</v>
          </cell>
        </row>
        <row r="54">
          <cell r="AF54" t="str">
            <v>集水桝Ⅱ型</v>
          </cell>
        </row>
        <row r="55">
          <cell r="AG55" t="str">
            <v>920×920×50(2枚割)</v>
          </cell>
          <cell r="AI55" t="str">
            <v>組</v>
          </cell>
        </row>
        <row r="56">
          <cell r="AF56" t="str">
            <v>同コンクリート蓋</v>
          </cell>
        </row>
        <row r="57">
          <cell r="AI57" t="str">
            <v>m3</v>
          </cell>
        </row>
        <row r="58">
          <cell r="AF58" t="str">
            <v>掘　削　土</v>
          </cell>
        </row>
        <row r="59">
          <cell r="AI59" t="str">
            <v>〃</v>
          </cell>
        </row>
        <row r="60">
          <cell r="AF60" t="str">
            <v>埋　戻　土</v>
          </cell>
        </row>
        <row r="61">
          <cell r="AI61" t="str">
            <v>〃</v>
          </cell>
        </row>
        <row r="62">
          <cell r="AF62" t="str">
            <v>残　　　土</v>
          </cell>
        </row>
        <row r="110">
          <cell r="AF110" t="str">
            <v>法 頭 排 水 工 集 計 表</v>
          </cell>
        </row>
        <row r="112">
          <cell r="AF112" t="str">
            <v>名称</v>
          </cell>
          <cell r="AG112" t="str">
            <v>規格</v>
          </cell>
          <cell r="AH112" t="str">
            <v>数量</v>
          </cell>
          <cell r="AI112" t="str">
            <v>単位</v>
          </cell>
          <cell r="AJ112" t="str">
            <v>摘　要</v>
          </cell>
        </row>
        <row r="113">
          <cell r="AG113" t="str">
            <v>U-300B</v>
          </cell>
          <cell r="AI113" t="str">
            <v>m</v>
          </cell>
        </row>
        <row r="114">
          <cell r="AF114" t="str">
            <v>Ｕ型トラフ</v>
          </cell>
        </row>
        <row r="115">
          <cell r="AG115" t="str">
            <v>下部桝 (H=0.65m)</v>
          </cell>
          <cell r="AI115" t="str">
            <v>基</v>
          </cell>
        </row>
        <row r="116">
          <cell r="AF116" t="str">
            <v>集水桝650型</v>
          </cell>
        </row>
        <row r="117">
          <cell r="AG117" t="str">
            <v>550×550×50</v>
          </cell>
          <cell r="AI117" t="str">
            <v>枚</v>
          </cell>
        </row>
        <row r="118">
          <cell r="AF118" t="str">
            <v>同コンクリート蓋</v>
          </cell>
        </row>
        <row r="119">
          <cell r="AG119" t="str">
            <v>下部桝 (H=1.00m)</v>
          </cell>
          <cell r="AI119" t="str">
            <v>基</v>
          </cell>
        </row>
        <row r="120">
          <cell r="AF120" t="str">
            <v>集水桝Ⅰ型</v>
          </cell>
        </row>
        <row r="121">
          <cell r="AG121" t="str">
            <v>710×710×50(3枚割)</v>
          </cell>
          <cell r="AI121" t="str">
            <v>組</v>
          </cell>
        </row>
        <row r="122">
          <cell r="AF122" t="str">
            <v>同コンクリート蓋</v>
          </cell>
        </row>
        <row r="123">
          <cell r="AG123" t="str">
            <v>下部桝 (H=1.20m)</v>
          </cell>
          <cell r="AI123" t="str">
            <v>基</v>
          </cell>
        </row>
        <row r="124">
          <cell r="AF124" t="str">
            <v>集水桝Ⅱ型</v>
          </cell>
        </row>
        <row r="125">
          <cell r="AG125" t="str">
            <v>920×920×50(2枚割)</v>
          </cell>
          <cell r="AI125" t="str">
            <v>組</v>
          </cell>
        </row>
        <row r="126">
          <cell r="AF126" t="str">
            <v>同コンクリート蓋</v>
          </cell>
        </row>
        <row r="127">
          <cell r="AI127" t="str">
            <v>m3</v>
          </cell>
        </row>
        <row r="128">
          <cell r="AF128" t="str">
            <v>掘　削　土</v>
          </cell>
        </row>
        <row r="129">
          <cell r="AI129" t="str">
            <v>〃</v>
          </cell>
        </row>
        <row r="130">
          <cell r="AF130" t="str">
            <v>埋　戻　土</v>
          </cell>
        </row>
        <row r="131">
          <cell r="AI131" t="str">
            <v>〃</v>
          </cell>
        </row>
        <row r="132">
          <cell r="AF132" t="str">
            <v>残　　　土</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表紙ﾏｸﾛ"/>
      <sheetName val="入　力"/>
      <sheetName val="体積調書"/>
      <sheetName val="個人用"/>
      <sheetName val="土工"/>
      <sheetName val="法面工"/>
      <sheetName val="土・法集計"/>
      <sheetName val="側溝工"/>
      <sheetName val="管・函渠工"/>
      <sheetName val="桝工"/>
      <sheetName val="暗渠工"/>
      <sheetName val="縁石工"/>
      <sheetName val="歩道工"/>
      <sheetName val="路盤工"/>
      <sheetName val="舗装工"/>
      <sheetName val="防護柵工"/>
      <sheetName val="取付道路工"/>
      <sheetName val="視線誘導標"/>
      <sheetName val="擁壁"/>
      <sheetName val="表　題"/>
      <sheetName val="集計表・調書"/>
      <sheetName val="その他"/>
      <sheetName val="印刷ﾏｸﾛ"/>
      <sheetName val="表題印刷"/>
      <sheetName val="参照ﾏｸﾛ"/>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row r="2">
          <cell r="V2" t="str">
            <v>法 面 縦 排 水 工 集 計 表</v>
          </cell>
        </row>
        <row r="4">
          <cell r="V4" t="str">
            <v>測　点</v>
          </cell>
          <cell r="W4" t="str">
            <v>L/R</v>
          </cell>
          <cell r="X4" t="str">
            <v>U-240</v>
          </cell>
          <cell r="Y4" t="str">
            <v>ｺﾝｸﾘｰﾄ蓋</v>
          </cell>
          <cell r="Z4" t="str">
            <v>集水桝650型</v>
          </cell>
          <cell r="AA4" t="str">
            <v>集水桝Ⅰ型</v>
          </cell>
          <cell r="AC4" t="str">
            <v>摘　要</v>
          </cell>
        </row>
        <row r="34">
          <cell r="V34" t="str">
            <v>計　</v>
          </cell>
        </row>
      </sheetData>
      <sheetData sheetId="9"/>
      <sheetData sheetId="10"/>
      <sheetData sheetId="11"/>
      <sheetData sheetId="12"/>
      <sheetData sheetId="13"/>
      <sheetData sheetId="14"/>
      <sheetData sheetId="15"/>
      <sheetData sheetId="16" refreshError="1"/>
      <sheetData sheetId="17"/>
      <sheetData sheetId="18"/>
      <sheetData sheetId="19" refreshError="1"/>
      <sheetData sheetId="20" refreshError="1"/>
      <sheetData sheetId="21"/>
      <sheetData sheetId="22"/>
      <sheetData sheetId="23" refreshError="1"/>
      <sheetData sheetId="24" refreshError="1"/>
      <sheetData sheetId="2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定規図"/>
      <sheetName val="総括表"/>
      <sheetName val="土積精算"/>
      <sheetName val="土積表"/>
      <sheetName val="整形集計"/>
      <sheetName val="法面仕上げ"/>
      <sheetName val="内法仕上げ"/>
      <sheetName val="小段仕上げ"/>
      <sheetName val="不陸整正工"/>
      <sheetName val="作業残土処理工"/>
      <sheetName val="横断管渠工"/>
      <sheetName val="横断管当"/>
      <sheetName val="排水工"/>
      <sheetName val="縦断管渠工"/>
      <sheetName val="縦断管延長調書"/>
      <sheetName val="縦断管当"/>
      <sheetName val="桝工"/>
      <sheetName val="桝個所調書"/>
      <sheetName val="桝当"/>
      <sheetName val="路盤工"/>
      <sheetName val="車道路盤工（L）"/>
      <sheetName val="車道路盤工（R)"/>
      <sheetName val="舗装工"/>
      <sheetName val="舗装工（L)"/>
      <sheetName val="舗装工（R)"/>
      <sheetName val="付属施設工"/>
      <sheetName val="縁石"/>
      <sheetName val="縁石当"/>
      <sheetName val="撤去工"/>
      <sheetName val="起点工"/>
      <sheetName val="終点工"/>
      <sheetName val="表紙２"/>
      <sheetName val="工事数量総括表"/>
      <sheetName val="体系化集計"/>
      <sheetName val="体系化集計 (2)"/>
      <sheetName val="作業土工集計"/>
      <sheetName val="平均距離算出"/>
      <sheetName val="土量配分表"/>
      <sheetName val="土積計L側"/>
      <sheetName val="土積計R側"/>
      <sheetName val="法面工"/>
      <sheetName val="不陸整正L側"/>
      <sheetName val="不陸整正R側"/>
      <sheetName val="切土法L側"/>
      <sheetName val="盛土法L側 "/>
      <sheetName val="切土法R側"/>
      <sheetName val="盛土法R側 "/>
      <sheetName val="舗装・路盤集"/>
      <sheetName val="舗装面積L側"/>
      <sheetName val="舗装面積R側"/>
      <sheetName val="路盤工L側 "/>
      <sheetName val="路盤工R側"/>
      <sheetName val="舗装工延長調書"/>
      <sheetName val="横断管渠"/>
      <sheetName val="舗装取壊集"/>
      <sheetName val="取壊延長"/>
      <sheetName val="取付集計表"/>
      <sheetName val="防護柵集"/>
      <sheetName val="防護柵延長"/>
      <sheetName val="防曲線補正"/>
      <sheetName val="導水縁石集"/>
      <sheetName val="導水縁石延長"/>
      <sheetName val="導曲線補正"/>
      <sheetName val="Uトラ集"/>
      <sheetName val="Uトラフ延長"/>
      <sheetName val="U曲線補正"/>
    </sheetNames>
    <sheetDataSet>
      <sheetData sheetId="0">
        <row r="2">
          <cell r="B2" t="str">
            <v>平　成　16　年　度　　　　　　　　　　　　　　　　　　　　　　　　　　　東 幸 町 線　道 路 整 備 実 測 線 調 査 業 務</v>
          </cell>
        </row>
        <row r="3">
          <cell r="B3" t="str">
            <v>区間　SP=268.59～SP=343.89　　　延長　L=75.30m</v>
          </cell>
        </row>
        <row r="5">
          <cell r="B5" t="str">
            <v>レベル　1　名称　：　道 路 改 良</v>
          </cell>
        </row>
        <row r="7">
          <cell r="B7" t="str">
            <v>数　量　計　算　書</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画面"/>
      <sheetName val="土積表"/>
      <sheetName val="土積集計表（１）"/>
      <sheetName val="土積集計表（２）"/>
    </sheetNames>
    <sheetDataSet>
      <sheetData sheetId="0"/>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①道路土工"/>
      <sheetName val="②地盤改良工"/>
      <sheetName val="③法面工"/>
      <sheetName val="④擁壁工"/>
      <sheetName val="⑤石･ブロック積(張)工"/>
      <sheetName val="⑥カルバート工"/>
      <sheetName val="⑦排水構造物工"/>
      <sheetName val="⑧路盤工"/>
      <sheetName val="⑨舗装工"/>
      <sheetName val="⑩落石雪害防止工"/>
      <sheetName val="⑭構造物撤去工"/>
      <sheetName val="＿遮音壁工"/>
      <sheetName val="＿軽量盛土工"/>
      <sheetName val="内訳数量表1"/>
      <sheetName val="内訳数量表2"/>
      <sheetName val="内訳数量表3"/>
      <sheetName val="別紙-1"/>
      <sheetName val="別紙-2"/>
      <sheetName val="別紙-3"/>
      <sheetName val="別紙-4"/>
      <sheetName val="別紙-5"/>
      <sheetName val="別紙-6"/>
      <sheetName val="別紙-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比例計算"/>
      <sheetName val="縦断施工高"/>
    </sheetNames>
    <sheetDataSet>
      <sheetData sheetId="0" refreshError="1"/>
      <sheetData sheetId="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C55D2-4871-47CE-8288-50DAEC3D76B4}">
  <sheetPr codeName="Sheet4">
    <pageSetUpPr fitToPage="1"/>
  </sheetPr>
  <dimension ref="A1:V1050"/>
  <sheetViews>
    <sheetView tabSelected="1" workbookViewId="0">
      <selection activeCell="B3" sqref="B3:D3"/>
    </sheetView>
  </sheetViews>
  <sheetFormatPr defaultRowHeight="18" x14ac:dyDescent="0.55000000000000004"/>
  <cols>
    <col min="1" max="1" width="6.25" customWidth="1"/>
    <col min="2" max="5" width="5.75" customWidth="1"/>
    <col min="6" max="20" width="6.25" customWidth="1"/>
    <col min="21" max="21" width="6.75" style="110" customWidth="1"/>
    <col min="22" max="22" width="6.75" customWidth="1"/>
  </cols>
  <sheetData>
    <row r="1" spans="1:22" ht="16.5" customHeight="1" x14ac:dyDescent="0.55000000000000004">
      <c r="A1" s="1" t="s">
        <v>0</v>
      </c>
      <c r="B1" s="1"/>
      <c r="C1" s="1"/>
      <c r="D1" s="1"/>
      <c r="E1" s="1"/>
      <c r="F1" s="1"/>
      <c r="G1" s="1"/>
      <c r="H1" s="1"/>
      <c r="I1" s="1"/>
      <c r="J1" s="1"/>
      <c r="K1" s="1"/>
      <c r="L1" s="1"/>
      <c r="M1" s="1"/>
      <c r="N1" s="1"/>
      <c r="O1" s="1"/>
      <c r="P1" s="1"/>
      <c r="Q1" s="1"/>
      <c r="R1" s="1"/>
      <c r="S1" s="1"/>
      <c r="T1" s="1"/>
      <c r="U1" s="1"/>
      <c r="V1" s="1"/>
    </row>
    <row r="2" spans="1:22" ht="6" customHeight="1" x14ac:dyDescent="0.55000000000000004">
      <c r="A2" s="2"/>
      <c r="B2" s="2"/>
      <c r="C2" s="2"/>
      <c r="D2" s="2"/>
      <c r="E2" s="2"/>
      <c r="F2" s="2"/>
      <c r="G2" s="2"/>
      <c r="H2" s="2"/>
      <c r="I2" s="2"/>
      <c r="J2" s="2"/>
      <c r="K2" s="2"/>
      <c r="L2" s="2"/>
      <c r="M2" s="2"/>
      <c r="N2" s="2"/>
      <c r="O2" s="2"/>
      <c r="P2" s="2"/>
      <c r="Q2" s="2"/>
      <c r="R2" s="2"/>
      <c r="S2" s="2"/>
      <c r="T2" s="2"/>
      <c r="U2" s="2"/>
      <c r="V2" s="2"/>
    </row>
    <row r="3" spans="1:22" ht="15" customHeight="1" x14ac:dyDescent="0.55000000000000004">
      <c r="A3" s="3"/>
      <c r="B3" s="4"/>
      <c r="C3" s="4"/>
      <c r="D3" s="4"/>
      <c r="E3" s="3"/>
      <c r="F3" s="5"/>
      <c r="G3" s="5"/>
      <c r="H3" s="3"/>
      <c r="I3" s="3"/>
      <c r="J3" s="6" t="s">
        <v>1</v>
      </c>
      <c r="K3" s="6"/>
      <c r="L3" s="6"/>
      <c r="M3" s="6"/>
      <c r="N3" s="3"/>
      <c r="O3" s="3"/>
      <c r="P3" s="3"/>
      <c r="Q3" s="7" t="s">
        <v>2</v>
      </c>
      <c r="R3" s="7"/>
      <c r="S3" s="7"/>
      <c r="T3" s="7"/>
      <c r="U3" s="8"/>
      <c r="V3" s="8"/>
    </row>
    <row r="4" spans="1:22" ht="6" customHeight="1" x14ac:dyDescent="0.55000000000000004">
      <c r="A4" s="3"/>
      <c r="B4" s="3"/>
      <c r="C4" s="3"/>
      <c r="D4" s="3"/>
      <c r="E4" s="3"/>
      <c r="F4" s="3"/>
      <c r="G4" s="3"/>
      <c r="H4" s="3"/>
      <c r="I4" s="3"/>
      <c r="J4" s="3"/>
      <c r="K4" s="3"/>
      <c r="L4" s="3"/>
      <c r="M4" s="3"/>
      <c r="N4" s="3"/>
      <c r="O4" s="3"/>
      <c r="P4" s="3"/>
      <c r="Q4" s="3"/>
      <c r="R4" s="3"/>
      <c r="S4" s="3"/>
      <c r="T4" s="3"/>
      <c r="U4" s="9"/>
      <c r="V4" s="3"/>
    </row>
    <row r="5" spans="1:22" ht="10.5" customHeight="1" x14ac:dyDescent="0.55000000000000004">
      <c r="A5" s="10" t="s">
        <v>3</v>
      </c>
      <c r="B5" s="11" t="s">
        <v>4</v>
      </c>
      <c r="C5" s="12"/>
      <c r="D5" s="11" t="s">
        <v>5</v>
      </c>
      <c r="E5" s="13"/>
      <c r="F5" s="14" t="s">
        <v>6</v>
      </c>
      <c r="G5" s="15"/>
      <c r="H5" s="15"/>
      <c r="I5" s="15"/>
      <c r="J5" s="16"/>
      <c r="K5" s="15" t="s">
        <v>7</v>
      </c>
      <c r="L5" s="15"/>
      <c r="M5" s="15"/>
      <c r="N5" s="15"/>
      <c r="O5" s="17"/>
      <c r="P5" s="18" t="s">
        <v>8</v>
      </c>
      <c r="Q5" s="15"/>
      <c r="R5" s="15"/>
      <c r="S5" s="15"/>
      <c r="T5" s="17"/>
      <c r="U5" s="18" t="s">
        <v>9</v>
      </c>
      <c r="V5" s="16"/>
    </row>
    <row r="6" spans="1:22" ht="10.5" customHeight="1" x14ac:dyDescent="0.55000000000000004">
      <c r="A6" s="19"/>
      <c r="B6" s="20"/>
      <c r="C6" s="21"/>
      <c r="D6" s="20"/>
      <c r="E6" s="22"/>
      <c r="F6" s="23" t="s">
        <v>10</v>
      </c>
      <c r="G6" s="24" t="s">
        <v>11</v>
      </c>
      <c r="H6" s="24" t="s">
        <v>10</v>
      </c>
      <c r="I6" s="24" t="s">
        <v>11</v>
      </c>
      <c r="J6" s="25" t="s">
        <v>12</v>
      </c>
      <c r="K6" s="26" t="s">
        <v>10</v>
      </c>
      <c r="L6" s="24" t="s">
        <v>11</v>
      </c>
      <c r="M6" s="24" t="s">
        <v>10</v>
      </c>
      <c r="N6" s="24" t="s">
        <v>11</v>
      </c>
      <c r="O6" s="27" t="s">
        <v>12</v>
      </c>
      <c r="P6" s="28" t="s">
        <v>10</v>
      </c>
      <c r="Q6" s="24" t="s">
        <v>11</v>
      </c>
      <c r="R6" s="24" t="s">
        <v>10</v>
      </c>
      <c r="S6" s="24" t="s">
        <v>11</v>
      </c>
      <c r="T6" s="29" t="s">
        <v>12</v>
      </c>
      <c r="U6" s="30" t="s">
        <v>13</v>
      </c>
      <c r="V6" s="31" t="s">
        <v>14</v>
      </c>
    </row>
    <row r="7" spans="1:22" ht="10.5" customHeight="1" x14ac:dyDescent="0.55000000000000004">
      <c r="A7" s="19"/>
      <c r="B7" s="32" t="s">
        <v>15</v>
      </c>
      <c r="C7" s="33" t="s">
        <v>16</v>
      </c>
      <c r="D7" s="32" t="s">
        <v>17</v>
      </c>
      <c r="E7" s="34" t="s">
        <v>16</v>
      </c>
      <c r="F7" s="35" t="s">
        <v>18</v>
      </c>
      <c r="G7" s="36"/>
      <c r="H7" s="37"/>
      <c r="I7" s="37"/>
      <c r="J7" s="38" t="s">
        <v>19</v>
      </c>
      <c r="K7" s="39" t="s">
        <v>18</v>
      </c>
      <c r="L7" s="36"/>
      <c r="M7" s="37"/>
      <c r="N7" s="37"/>
      <c r="O7" s="40" t="s">
        <v>19</v>
      </c>
      <c r="P7" s="41" t="s">
        <v>18</v>
      </c>
      <c r="Q7" s="36"/>
      <c r="R7" s="37"/>
      <c r="S7" s="37"/>
      <c r="T7" s="42" t="s">
        <v>19</v>
      </c>
      <c r="U7" s="41" t="s">
        <v>20</v>
      </c>
      <c r="V7" s="43"/>
    </row>
    <row r="8" spans="1:22" ht="10.5" customHeight="1" x14ac:dyDescent="0.55000000000000004">
      <c r="A8" s="19"/>
      <c r="B8" s="44"/>
      <c r="C8" s="45"/>
      <c r="D8" s="44"/>
      <c r="E8" s="46"/>
      <c r="F8" s="47" t="s">
        <v>21</v>
      </c>
      <c r="G8" s="48" t="s">
        <v>21</v>
      </c>
      <c r="H8" s="48" t="s">
        <v>22</v>
      </c>
      <c r="I8" s="48" t="s">
        <v>22</v>
      </c>
      <c r="J8" s="49" t="s">
        <v>21</v>
      </c>
      <c r="K8" s="50" t="s">
        <v>21</v>
      </c>
      <c r="L8" s="48" t="s">
        <v>21</v>
      </c>
      <c r="M8" s="48" t="s">
        <v>22</v>
      </c>
      <c r="N8" s="48" t="s">
        <v>22</v>
      </c>
      <c r="O8" s="51" t="s">
        <v>21</v>
      </c>
      <c r="P8" s="52" t="s">
        <v>21</v>
      </c>
      <c r="Q8" s="48" t="s">
        <v>21</v>
      </c>
      <c r="R8" s="48" t="s">
        <v>22</v>
      </c>
      <c r="S8" s="48" t="s">
        <v>22</v>
      </c>
      <c r="T8" s="51" t="s">
        <v>21</v>
      </c>
      <c r="U8" s="53"/>
      <c r="V8" s="54"/>
    </row>
    <row r="9" spans="1:22" ht="10.5" customHeight="1" x14ac:dyDescent="0.55000000000000004">
      <c r="A9" s="19"/>
      <c r="B9" s="32" t="s">
        <v>23</v>
      </c>
      <c r="C9" s="55" t="s">
        <v>24</v>
      </c>
      <c r="D9" s="32" t="s">
        <v>23</v>
      </c>
      <c r="E9" s="56" t="s">
        <v>25</v>
      </c>
      <c r="F9" s="47"/>
      <c r="G9" s="48"/>
      <c r="H9" s="48"/>
      <c r="I9" s="48"/>
      <c r="J9" s="49"/>
      <c r="K9" s="50"/>
      <c r="L9" s="48"/>
      <c r="M9" s="48"/>
      <c r="N9" s="48"/>
      <c r="O9" s="51"/>
      <c r="P9" s="52"/>
      <c r="Q9" s="48"/>
      <c r="R9" s="48"/>
      <c r="S9" s="48"/>
      <c r="T9" s="51"/>
      <c r="U9" s="53"/>
      <c r="V9" s="54"/>
    </row>
    <row r="10" spans="1:22" ht="10.5" customHeight="1" x14ac:dyDescent="0.55000000000000004">
      <c r="A10" s="57"/>
      <c r="B10" s="58"/>
      <c r="C10" s="59"/>
      <c r="D10" s="58"/>
      <c r="E10" s="60"/>
      <c r="F10" s="61" t="s">
        <v>26</v>
      </c>
      <c r="G10" s="62" t="s">
        <v>26</v>
      </c>
      <c r="H10" s="62" t="s">
        <v>27</v>
      </c>
      <c r="I10" s="62" t="s">
        <v>27</v>
      </c>
      <c r="J10" s="63" t="s">
        <v>27</v>
      </c>
      <c r="K10" s="64" t="s">
        <v>26</v>
      </c>
      <c r="L10" s="62" t="s">
        <v>26</v>
      </c>
      <c r="M10" s="62" t="s">
        <v>27</v>
      </c>
      <c r="N10" s="62" t="s">
        <v>27</v>
      </c>
      <c r="O10" s="65" t="s">
        <v>27</v>
      </c>
      <c r="P10" s="66" t="s">
        <v>26</v>
      </c>
      <c r="Q10" s="62" t="s">
        <v>26</v>
      </c>
      <c r="R10" s="62" t="s">
        <v>27</v>
      </c>
      <c r="S10" s="62" t="s">
        <v>27</v>
      </c>
      <c r="T10" s="65" t="s">
        <v>27</v>
      </c>
      <c r="U10" s="67"/>
      <c r="V10" s="68"/>
    </row>
    <row r="11" spans="1:22" ht="9" customHeight="1" x14ac:dyDescent="0.55000000000000004">
      <c r="A11" s="19"/>
      <c r="B11" s="69"/>
      <c r="C11" s="70"/>
      <c r="D11" s="69"/>
      <c r="E11" s="71"/>
      <c r="F11" s="72"/>
      <c r="G11" s="73"/>
      <c r="H11" s="74"/>
      <c r="I11" s="75"/>
      <c r="J11" s="76"/>
      <c r="K11" s="72"/>
      <c r="L11" s="73"/>
      <c r="M11" s="74"/>
      <c r="N11" s="75"/>
      <c r="O11" s="76"/>
      <c r="P11" s="72"/>
      <c r="Q11" s="73"/>
      <c r="R11" s="74"/>
      <c r="S11" s="75"/>
      <c r="T11" s="76"/>
      <c r="U11" s="77" t="str">
        <f t="shared" ref="U11" si="0">IF(OR(F14="",P14=""),"",B11/(F14-P14))</f>
        <v/>
      </c>
      <c r="V11" s="78"/>
    </row>
    <row r="12" spans="1:22" ht="9" customHeight="1" x14ac:dyDescent="0.55000000000000004">
      <c r="A12" s="79"/>
      <c r="B12" s="80"/>
      <c r="C12" s="81"/>
      <c r="D12" s="80"/>
      <c r="E12" s="82"/>
      <c r="F12" s="83" t="str">
        <f t="shared" ref="F12" si="1">IF(H14="","",F11-H12)</f>
        <v/>
      </c>
      <c r="G12" s="84" t="str">
        <f t="shared" ref="G12" si="2">IF(I14="","",F11-I12)</f>
        <v/>
      </c>
      <c r="H12" s="85" t="str">
        <f t="shared" ref="H12:I12" si="3">IF(OR($A14="集水",$A14="吸水"),0.4,"")</f>
        <v/>
      </c>
      <c r="I12" s="85" t="str">
        <f t="shared" si="3"/>
        <v/>
      </c>
      <c r="J12" s="86" t="str">
        <f t="shared" ref="J12" si="4">IF(G12="","",F12-G12)</f>
        <v/>
      </c>
      <c r="K12" s="83" t="str">
        <f t="shared" ref="K12" si="5">IF(M14="","",K11-M12)</f>
        <v/>
      </c>
      <c r="L12" s="87" t="str">
        <f t="shared" ref="L12" si="6">IF(N14="","",K11-N12)</f>
        <v/>
      </c>
      <c r="M12" s="85" t="str">
        <f t="shared" ref="M12:N12" si="7">IF(M14="","",IF(OR($A14="集水",$A14="吸水"),0.4,""))</f>
        <v/>
      </c>
      <c r="N12" s="85" t="str">
        <f t="shared" si="7"/>
        <v/>
      </c>
      <c r="O12" s="86" t="str">
        <f t="shared" ref="O12" si="8">IF(L12="","",K12-L12)</f>
        <v/>
      </c>
      <c r="P12" s="83" t="str">
        <f t="shared" ref="P12" si="9">IF(R14="","",P11-R12)</f>
        <v/>
      </c>
      <c r="Q12" s="84" t="str">
        <f t="shared" ref="Q12" si="10">IF(S14="","",P11-S12)</f>
        <v/>
      </c>
      <c r="R12" s="85" t="str">
        <f t="shared" ref="R12:S12" si="11">IF(OR($A14="集水",$A14="吸水"),0.4,"")</f>
        <v/>
      </c>
      <c r="S12" s="85" t="str">
        <f t="shared" si="11"/>
        <v/>
      </c>
      <c r="T12" s="86" t="str">
        <f t="shared" ref="T12" si="12">IF(Q12="","",P12-Q12)</f>
        <v/>
      </c>
      <c r="U12" s="88"/>
      <c r="V12" s="89"/>
    </row>
    <row r="13" spans="1:22" ht="9" customHeight="1" x14ac:dyDescent="0.55000000000000004">
      <c r="A13" s="90"/>
      <c r="B13" s="91"/>
      <c r="C13" s="92" t="str">
        <f t="shared" ref="C13" si="13">IF(B11="","",B13-B11)</f>
        <v/>
      </c>
      <c r="D13" s="91"/>
      <c r="E13" s="93" t="str">
        <f t="shared" ref="E13" si="14">IF(D11="","",D13-D11)</f>
        <v/>
      </c>
      <c r="F13" s="94"/>
      <c r="G13" s="85"/>
      <c r="H13" s="85"/>
      <c r="I13" s="95"/>
      <c r="J13" s="86"/>
      <c r="K13" s="94"/>
      <c r="L13" s="85"/>
      <c r="M13" s="85"/>
      <c r="N13" s="95"/>
      <c r="O13" s="86"/>
      <c r="P13" s="94"/>
      <c r="Q13" s="85"/>
      <c r="R13" s="85"/>
      <c r="S13" s="95"/>
      <c r="T13" s="86"/>
      <c r="U13" s="96"/>
      <c r="V13" s="97"/>
    </row>
    <row r="14" spans="1:22" ht="9" customHeight="1" x14ac:dyDescent="0.55000000000000004">
      <c r="A14" s="98"/>
      <c r="B14" s="99"/>
      <c r="C14" s="100"/>
      <c r="D14" s="99"/>
      <c r="E14" s="101"/>
      <c r="F14" s="102" t="str">
        <f t="shared" ref="F14" si="15">IF(H14="","",F11-H14)</f>
        <v/>
      </c>
      <c r="G14" s="103" t="str">
        <f t="shared" ref="G14" si="16">IF(I14="","",F11-I14)</f>
        <v/>
      </c>
      <c r="H14" s="104"/>
      <c r="I14" s="104"/>
      <c r="J14" s="105"/>
      <c r="K14" s="106" t="str">
        <f t="shared" ref="K14" si="17">IF(M14="","",K11-M14)</f>
        <v/>
      </c>
      <c r="L14" s="103" t="str">
        <f t="shared" ref="L14" si="18">IF(N14="","",K11-N14)</f>
        <v/>
      </c>
      <c r="M14" s="104"/>
      <c r="N14" s="107"/>
      <c r="O14" s="105"/>
      <c r="P14" s="102" t="str">
        <f t="shared" ref="P14" si="19">IF(R14="","",P11-R14)</f>
        <v/>
      </c>
      <c r="Q14" s="103" t="str">
        <f t="shared" ref="Q14" si="20">IF(S14="","",P11-S14)</f>
        <v/>
      </c>
      <c r="R14" s="104"/>
      <c r="S14" s="104"/>
      <c r="T14" s="105"/>
      <c r="U14" s="108"/>
      <c r="V14" s="109"/>
    </row>
    <row r="15" spans="1:22" ht="9" customHeight="1" x14ac:dyDescent="0.55000000000000004">
      <c r="A15" s="19"/>
      <c r="B15" s="69"/>
      <c r="C15" s="70"/>
      <c r="D15" s="69"/>
      <c r="E15" s="71"/>
      <c r="F15" s="72"/>
      <c r="G15" s="73"/>
      <c r="H15" s="74"/>
      <c r="I15" s="75"/>
      <c r="J15" s="76"/>
      <c r="K15" s="72"/>
      <c r="L15" s="73"/>
      <c r="M15" s="74"/>
      <c r="N15" s="75"/>
      <c r="O15" s="76"/>
      <c r="P15" s="72"/>
      <c r="Q15" s="73"/>
      <c r="R15" s="74"/>
      <c r="S15" s="75"/>
      <c r="T15" s="76"/>
      <c r="U15" s="77" t="str">
        <f t="shared" ref="U15" si="21">IF(OR(F18="",P18=""),"",B15/(F18-P18))</f>
        <v/>
      </c>
      <c r="V15" s="78"/>
    </row>
    <row r="16" spans="1:22" ht="9" customHeight="1" x14ac:dyDescent="0.55000000000000004">
      <c r="A16" s="79"/>
      <c r="B16" s="80"/>
      <c r="C16" s="81"/>
      <c r="D16" s="80"/>
      <c r="E16" s="82"/>
      <c r="F16" s="83" t="str">
        <f t="shared" ref="F16" si="22">IF(H18="","",F15-H16)</f>
        <v/>
      </c>
      <c r="G16" s="84" t="str">
        <f t="shared" ref="G16" si="23">IF(I18="","",F15-I16)</f>
        <v/>
      </c>
      <c r="H16" s="85" t="str">
        <f t="shared" ref="H16:I16" si="24">IF(OR($A18="集水",$A18="吸水"),0.4,"")</f>
        <v/>
      </c>
      <c r="I16" s="85" t="str">
        <f t="shared" si="24"/>
        <v/>
      </c>
      <c r="J16" s="86" t="str">
        <f t="shared" ref="J16" si="25">IF(G16="","",F16-G16)</f>
        <v/>
      </c>
      <c r="K16" s="83" t="str">
        <f t="shared" ref="K16" si="26">IF(M18="","",K15-M16)</f>
        <v/>
      </c>
      <c r="L16" s="87" t="str">
        <f t="shared" ref="L16" si="27">IF(N18="","",K15-N16)</f>
        <v/>
      </c>
      <c r="M16" s="85" t="str">
        <f t="shared" ref="M16:N16" si="28">IF(M18="","",IF(OR($A18="集水",$A18="吸水"),0.4,""))</f>
        <v/>
      </c>
      <c r="N16" s="85" t="str">
        <f t="shared" si="28"/>
        <v/>
      </c>
      <c r="O16" s="86" t="str">
        <f t="shared" ref="O16" si="29">IF(L16="","",K16-L16)</f>
        <v/>
      </c>
      <c r="P16" s="83" t="str">
        <f t="shared" ref="P16" si="30">IF(R18="","",P15-R16)</f>
        <v/>
      </c>
      <c r="Q16" s="84" t="str">
        <f t="shared" ref="Q16" si="31">IF(S18="","",P15-S16)</f>
        <v/>
      </c>
      <c r="R16" s="85" t="str">
        <f t="shared" ref="R16:S16" si="32">IF(OR($A18="集水",$A18="吸水"),0.4,"")</f>
        <v/>
      </c>
      <c r="S16" s="85" t="str">
        <f t="shared" si="32"/>
        <v/>
      </c>
      <c r="T16" s="86" t="str">
        <f t="shared" ref="T16" si="33">IF(Q16="","",P16-Q16)</f>
        <v/>
      </c>
      <c r="U16" s="88"/>
      <c r="V16" s="89"/>
    </row>
    <row r="17" spans="1:22" ht="9" customHeight="1" x14ac:dyDescent="0.55000000000000004">
      <c r="A17" s="90"/>
      <c r="B17" s="91"/>
      <c r="C17" s="92" t="str">
        <f t="shared" ref="C17" si="34">IF(B15="","",B17-B15)</f>
        <v/>
      </c>
      <c r="D17" s="91"/>
      <c r="E17" s="93" t="str">
        <f t="shared" ref="E17" si="35">IF(D15="","",D17-D15)</f>
        <v/>
      </c>
      <c r="F17" s="94"/>
      <c r="G17" s="85"/>
      <c r="H17" s="85"/>
      <c r="I17" s="95"/>
      <c r="J17" s="86"/>
      <c r="K17" s="94"/>
      <c r="L17" s="85"/>
      <c r="M17" s="85"/>
      <c r="N17" s="95"/>
      <c r="O17" s="86"/>
      <c r="P17" s="94"/>
      <c r="Q17" s="85"/>
      <c r="R17" s="85"/>
      <c r="S17" s="95"/>
      <c r="T17" s="86"/>
      <c r="U17" s="96"/>
      <c r="V17" s="97"/>
    </row>
    <row r="18" spans="1:22" ht="9" customHeight="1" x14ac:dyDescent="0.55000000000000004">
      <c r="A18" s="98"/>
      <c r="B18" s="99"/>
      <c r="C18" s="100"/>
      <c r="D18" s="99"/>
      <c r="E18" s="101"/>
      <c r="F18" s="102" t="str">
        <f t="shared" ref="F18" si="36">IF(H18="","",F15-H18)</f>
        <v/>
      </c>
      <c r="G18" s="103" t="str">
        <f t="shared" ref="G18" si="37">IF(I18="","",F15-I18)</f>
        <v/>
      </c>
      <c r="H18" s="104"/>
      <c r="I18" s="104"/>
      <c r="J18" s="105"/>
      <c r="K18" s="106" t="str">
        <f t="shared" ref="K18" si="38">IF(M18="","",K15-M18)</f>
        <v/>
      </c>
      <c r="L18" s="103" t="str">
        <f t="shared" ref="L18" si="39">IF(N18="","",K15-N18)</f>
        <v/>
      </c>
      <c r="M18" s="104"/>
      <c r="N18" s="107"/>
      <c r="O18" s="105"/>
      <c r="P18" s="102" t="str">
        <f t="shared" ref="P18" si="40">IF(R18="","",P15-R18)</f>
        <v/>
      </c>
      <c r="Q18" s="103" t="str">
        <f t="shared" ref="Q18" si="41">IF(S18="","",P15-S18)</f>
        <v/>
      </c>
      <c r="R18" s="104"/>
      <c r="S18" s="104"/>
      <c r="T18" s="105"/>
      <c r="U18" s="108"/>
      <c r="V18" s="109"/>
    </row>
    <row r="19" spans="1:22" ht="9" customHeight="1" x14ac:dyDescent="0.55000000000000004">
      <c r="A19" s="19"/>
      <c r="B19" s="69"/>
      <c r="C19" s="70"/>
      <c r="D19" s="69"/>
      <c r="E19" s="71"/>
      <c r="F19" s="72"/>
      <c r="G19" s="73"/>
      <c r="H19" s="74"/>
      <c r="I19" s="75"/>
      <c r="J19" s="76"/>
      <c r="K19" s="72"/>
      <c r="L19" s="73"/>
      <c r="M19" s="74"/>
      <c r="N19" s="75"/>
      <c r="O19" s="76"/>
      <c r="P19" s="72"/>
      <c r="Q19" s="73"/>
      <c r="R19" s="74"/>
      <c r="S19" s="75"/>
      <c r="T19" s="76"/>
      <c r="U19" s="77" t="str">
        <f t="shared" ref="U19" si="42">IF(OR(F22="",P22=""),"",B19/(F22-P22))</f>
        <v/>
      </c>
      <c r="V19" s="78"/>
    </row>
    <row r="20" spans="1:22" ht="9" customHeight="1" x14ac:dyDescent="0.55000000000000004">
      <c r="A20" s="79"/>
      <c r="B20" s="80"/>
      <c r="C20" s="81"/>
      <c r="D20" s="80"/>
      <c r="E20" s="82"/>
      <c r="F20" s="83" t="str">
        <f t="shared" ref="F20" si="43">IF(H22="","",F19-H20)</f>
        <v/>
      </c>
      <c r="G20" s="84" t="str">
        <f t="shared" ref="G20" si="44">IF(I22="","",F19-I20)</f>
        <v/>
      </c>
      <c r="H20" s="85" t="str">
        <f t="shared" ref="H20:I20" si="45">IF(OR($A22="集水",$A22="吸水"),0.4,"")</f>
        <v/>
      </c>
      <c r="I20" s="85" t="str">
        <f t="shared" si="45"/>
        <v/>
      </c>
      <c r="J20" s="86" t="str">
        <f t="shared" ref="J20" si="46">IF(G20="","",F20-G20)</f>
        <v/>
      </c>
      <c r="K20" s="83" t="str">
        <f t="shared" ref="K20" si="47">IF(M22="","",K19-M20)</f>
        <v/>
      </c>
      <c r="L20" s="87" t="str">
        <f t="shared" ref="L20" si="48">IF(N22="","",K19-N20)</f>
        <v/>
      </c>
      <c r="M20" s="85" t="str">
        <f t="shared" ref="M20:N20" si="49">IF(M22="","",IF(OR($A22="集水",$A22="吸水"),0.4,""))</f>
        <v/>
      </c>
      <c r="N20" s="85" t="str">
        <f t="shared" si="49"/>
        <v/>
      </c>
      <c r="O20" s="86" t="str">
        <f t="shared" ref="O20" si="50">IF(L20="","",K20-L20)</f>
        <v/>
      </c>
      <c r="P20" s="83" t="str">
        <f t="shared" ref="P20" si="51">IF(R22="","",P19-R20)</f>
        <v/>
      </c>
      <c r="Q20" s="84" t="str">
        <f t="shared" ref="Q20" si="52">IF(S22="","",P19-S20)</f>
        <v/>
      </c>
      <c r="R20" s="85" t="str">
        <f t="shared" ref="R20:S20" si="53">IF(OR($A22="集水",$A22="吸水"),0.4,"")</f>
        <v/>
      </c>
      <c r="S20" s="85" t="str">
        <f t="shared" si="53"/>
        <v/>
      </c>
      <c r="T20" s="86" t="str">
        <f t="shared" ref="T20" si="54">IF(Q20="","",P20-Q20)</f>
        <v/>
      </c>
      <c r="U20" s="88"/>
      <c r="V20" s="89"/>
    </row>
    <row r="21" spans="1:22" ht="9" customHeight="1" x14ac:dyDescent="0.55000000000000004">
      <c r="A21" s="90"/>
      <c r="B21" s="91"/>
      <c r="C21" s="92" t="str">
        <f t="shared" ref="C21" si="55">IF(B19="","",B21-B19)</f>
        <v/>
      </c>
      <c r="D21" s="91"/>
      <c r="E21" s="93" t="str">
        <f t="shared" ref="E21" si="56">IF(D19="","",D21-D19)</f>
        <v/>
      </c>
      <c r="F21" s="94"/>
      <c r="G21" s="85"/>
      <c r="H21" s="85"/>
      <c r="I21" s="95"/>
      <c r="J21" s="86"/>
      <c r="K21" s="94"/>
      <c r="L21" s="85"/>
      <c r="M21" s="85"/>
      <c r="N21" s="95"/>
      <c r="O21" s="86"/>
      <c r="P21" s="94"/>
      <c r="Q21" s="85"/>
      <c r="R21" s="85"/>
      <c r="S21" s="95"/>
      <c r="T21" s="86"/>
      <c r="U21" s="96"/>
      <c r="V21" s="97"/>
    </row>
    <row r="22" spans="1:22" ht="9" customHeight="1" x14ac:dyDescent="0.55000000000000004">
      <c r="A22" s="98"/>
      <c r="B22" s="99"/>
      <c r="C22" s="100"/>
      <c r="D22" s="99"/>
      <c r="E22" s="101"/>
      <c r="F22" s="102" t="str">
        <f t="shared" ref="F22" si="57">IF(H22="","",F19-H22)</f>
        <v/>
      </c>
      <c r="G22" s="103" t="str">
        <f t="shared" ref="G22" si="58">IF(I22="","",F19-I22)</f>
        <v/>
      </c>
      <c r="H22" s="104"/>
      <c r="I22" s="104"/>
      <c r="J22" s="105"/>
      <c r="K22" s="106" t="str">
        <f t="shared" ref="K22" si="59">IF(M22="","",K19-M22)</f>
        <v/>
      </c>
      <c r="L22" s="103" t="str">
        <f t="shared" ref="L22" si="60">IF(N22="","",K19-N22)</f>
        <v/>
      </c>
      <c r="M22" s="104"/>
      <c r="N22" s="107"/>
      <c r="O22" s="105"/>
      <c r="P22" s="102" t="str">
        <f t="shared" ref="P22" si="61">IF(R22="","",P19-R22)</f>
        <v/>
      </c>
      <c r="Q22" s="103" t="str">
        <f t="shared" ref="Q22" si="62">IF(S22="","",P19-S22)</f>
        <v/>
      </c>
      <c r="R22" s="104"/>
      <c r="S22" s="104"/>
      <c r="T22" s="105"/>
      <c r="U22" s="108"/>
      <c r="V22" s="109"/>
    </row>
    <row r="23" spans="1:22" ht="9" customHeight="1" x14ac:dyDescent="0.55000000000000004">
      <c r="A23" s="19"/>
      <c r="B23" s="69"/>
      <c r="C23" s="70"/>
      <c r="D23" s="69"/>
      <c r="E23" s="71"/>
      <c r="F23" s="72"/>
      <c r="G23" s="73"/>
      <c r="H23" s="74"/>
      <c r="I23" s="75"/>
      <c r="J23" s="76"/>
      <c r="K23" s="72"/>
      <c r="L23" s="73"/>
      <c r="M23" s="74"/>
      <c r="N23" s="75"/>
      <c r="O23" s="76"/>
      <c r="P23" s="72"/>
      <c r="Q23" s="73"/>
      <c r="R23" s="74"/>
      <c r="S23" s="75"/>
      <c r="T23" s="76"/>
      <c r="U23" s="77" t="str">
        <f t="shared" ref="U23" si="63">IF(OR(F26="",P26=""),"",B23/(F26-P26))</f>
        <v/>
      </c>
      <c r="V23" s="78"/>
    </row>
    <row r="24" spans="1:22" ht="9" customHeight="1" x14ac:dyDescent="0.55000000000000004">
      <c r="A24" s="79"/>
      <c r="B24" s="80"/>
      <c r="C24" s="81"/>
      <c r="D24" s="80"/>
      <c r="E24" s="82"/>
      <c r="F24" s="83" t="str">
        <f t="shared" ref="F24" si="64">IF(H26="","",F23-H24)</f>
        <v/>
      </c>
      <c r="G24" s="84" t="str">
        <f t="shared" ref="G24" si="65">IF(I26="","",F23-I24)</f>
        <v/>
      </c>
      <c r="H24" s="85" t="str">
        <f t="shared" ref="H24:I24" si="66">IF(OR($A26="集水",$A26="吸水"),0.4,"")</f>
        <v/>
      </c>
      <c r="I24" s="85" t="str">
        <f t="shared" si="66"/>
        <v/>
      </c>
      <c r="J24" s="86" t="str">
        <f t="shared" ref="J24" si="67">IF(G24="","",F24-G24)</f>
        <v/>
      </c>
      <c r="K24" s="83" t="str">
        <f t="shared" ref="K24" si="68">IF(M26="","",K23-M24)</f>
        <v/>
      </c>
      <c r="L24" s="87" t="str">
        <f t="shared" ref="L24" si="69">IF(N26="","",K23-N24)</f>
        <v/>
      </c>
      <c r="M24" s="85" t="str">
        <f t="shared" ref="M24:N24" si="70">IF(M26="","",IF(OR($A26="集水",$A26="吸水"),0.4,""))</f>
        <v/>
      </c>
      <c r="N24" s="85" t="str">
        <f t="shared" si="70"/>
        <v/>
      </c>
      <c r="O24" s="86" t="str">
        <f t="shared" ref="O24" si="71">IF(L24="","",K24-L24)</f>
        <v/>
      </c>
      <c r="P24" s="83" t="str">
        <f t="shared" ref="P24" si="72">IF(R26="","",P23-R24)</f>
        <v/>
      </c>
      <c r="Q24" s="84" t="str">
        <f t="shared" ref="Q24" si="73">IF(S26="","",P23-S24)</f>
        <v/>
      </c>
      <c r="R24" s="85" t="str">
        <f t="shared" ref="R24:S24" si="74">IF(OR($A26="集水",$A26="吸水"),0.4,"")</f>
        <v/>
      </c>
      <c r="S24" s="85" t="str">
        <f t="shared" si="74"/>
        <v/>
      </c>
      <c r="T24" s="86" t="str">
        <f t="shared" ref="T24" si="75">IF(Q24="","",P24-Q24)</f>
        <v/>
      </c>
      <c r="U24" s="88"/>
      <c r="V24" s="89"/>
    </row>
    <row r="25" spans="1:22" ht="9" customHeight="1" x14ac:dyDescent="0.55000000000000004">
      <c r="A25" s="90"/>
      <c r="B25" s="91"/>
      <c r="C25" s="92" t="str">
        <f t="shared" ref="C25" si="76">IF(B23="","",B25-B23)</f>
        <v/>
      </c>
      <c r="D25" s="91"/>
      <c r="E25" s="93" t="str">
        <f t="shared" ref="E25" si="77">IF(D23="","",D25-D23)</f>
        <v/>
      </c>
      <c r="F25" s="94"/>
      <c r="G25" s="85"/>
      <c r="H25" s="85"/>
      <c r="I25" s="95"/>
      <c r="J25" s="86"/>
      <c r="K25" s="94"/>
      <c r="L25" s="85"/>
      <c r="M25" s="85"/>
      <c r="N25" s="95"/>
      <c r="O25" s="86"/>
      <c r="P25" s="94"/>
      <c r="Q25" s="85"/>
      <c r="R25" s="85"/>
      <c r="S25" s="95"/>
      <c r="T25" s="86"/>
      <c r="U25" s="96"/>
      <c r="V25" s="97"/>
    </row>
    <row r="26" spans="1:22" ht="9" customHeight="1" x14ac:dyDescent="0.55000000000000004">
      <c r="A26" s="98"/>
      <c r="B26" s="99"/>
      <c r="C26" s="100"/>
      <c r="D26" s="99"/>
      <c r="E26" s="101"/>
      <c r="F26" s="102" t="str">
        <f t="shared" ref="F26" si="78">IF(H26="","",F23-H26)</f>
        <v/>
      </c>
      <c r="G26" s="103" t="str">
        <f t="shared" ref="G26" si="79">IF(I26="","",F23-I26)</f>
        <v/>
      </c>
      <c r="H26" s="104"/>
      <c r="I26" s="104"/>
      <c r="J26" s="105"/>
      <c r="K26" s="106" t="str">
        <f t="shared" ref="K26" si="80">IF(M26="","",K23-M26)</f>
        <v/>
      </c>
      <c r="L26" s="103" t="str">
        <f t="shared" ref="L26" si="81">IF(N26="","",K23-N26)</f>
        <v/>
      </c>
      <c r="M26" s="104"/>
      <c r="N26" s="107"/>
      <c r="O26" s="105"/>
      <c r="P26" s="102" t="str">
        <f t="shared" ref="P26" si="82">IF(R26="","",P23-R26)</f>
        <v/>
      </c>
      <c r="Q26" s="103" t="str">
        <f t="shared" ref="Q26" si="83">IF(S26="","",P23-S26)</f>
        <v/>
      </c>
      <c r="R26" s="104"/>
      <c r="S26" s="104"/>
      <c r="T26" s="105"/>
      <c r="U26" s="108"/>
      <c r="V26" s="109"/>
    </row>
    <row r="27" spans="1:22" ht="9" customHeight="1" x14ac:dyDescent="0.55000000000000004">
      <c r="A27" s="19"/>
      <c r="B27" s="69"/>
      <c r="C27" s="70"/>
      <c r="D27" s="69"/>
      <c r="E27" s="71"/>
      <c r="F27" s="72"/>
      <c r="G27" s="73"/>
      <c r="H27" s="74"/>
      <c r="I27" s="75"/>
      <c r="J27" s="76"/>
      <c r="K27" s="72"/>
      <c r="L27" s="73"/>
      <c r="M27" s="74"/>
      <c r="N27" s="75"/>
      <c r="O27" s="76"/>
      <c r="P27" s="72"/>
      <c r="Q27" s="73"/>
      <c r="R27" s="74"/>
      <c r="S27" s="75"/>
      <c r="T27" s="76"/>
      <c r="U27" s="77" t="str">
        <f t="shared" ref="U27" si="84">IF(OR(F30="",P30=""),"",B27/(F30-P30))</f>
        <v/>
      </c>
      <c r="V27" s="78"/>
    </row>
    <row r="28" spans="1:22" ht="9" customHeight="1" x14ac:dyDescent="0.55000000000000004">
      <c r="A28" s="79"/>
      <c r="B28" s="80"/>
      <c r="C28" s="81"/>
      <c r="D28" s="80"/>
      <c r="E28" s="82"/>
      <c r="F28" s="83" t="str">
        <f t="shared" ref="F28" si="85">IF(H30="","",F27-H28)</f>
        <v/>
      </c>
      <c r="G28" s="84" t="str">
        <f t="shared" ref="G28" si="86">IF(I30="","",F27-I28)</f>
        <v/>
      </c>
      <c r="H28" s="85" t="str">
        <f t="shared" ref="H28:I28" si="87">IF(OR($A30="集水",$A30="吸水"),0.4,"")</f>
        <v/>
      </c>
      <c r="I28" s="85" t="str">
        <f t="shared" si="87"/>
        <v/>
      </c>
      <c r="J28" s="86" t="str">
        <f t="shared" ref="J28" si="88">IF(G28="","",F28-G28)</f>
        <v/>
      </c>
      <c r="K28" s="83" t="str">
        <f t="shared" ref="K28" si="89">IF(M30="","",K27-M28)</f>
        <v/>
      </c>
      <c r="L28" s="87" t="str">
        <f t="shared" ref="L28" si="90">IF(N30="","",K27-N28)</f>
        <v/>
      </c>
      <c r="M28" s="85" t="str">
        <f t="shared" ref="M28:N28" si="91">IF(M30="","",IF(OR($A30="集水",$A30="吸水"),0.4,""))</f>
        <v/>
      </c>
      <c r="N28" s="85" t="str">
        <f t="shared" si="91"/>
        <v/>
      </c>
      <c r="O28" s="86" t="str">
        <f t="shared" ref="O28" si="92">IF(L28="","",K28-L28)</f>
        <v/>
      </c>
      <c r="P28" s="83" t="str">
        <f t="shared" ref="P28" si="93">IF(R30="","",P27-R28)</f>
        <v/>
      </c>
      <c r="Q28" s="84" t="str">
        <f t="shared" ref="Q28" si="94">IF(S30="","",P27-S28)</f>
        <v/>
      </c>
      <c r="R28" s="85" t="str">
        <f t="shared" ref="R28:S28" si="95">IF(OR($A30="集水",$A30="吸水"),0.4,"")</f>
        <v/>
      </c>
      <c r="S28" s="85" t="str">
        <f t="shared" si="95"/>
        <v/>
      </c>
      <c r="T28" s="86" t="str">
        <f t="shared" ref="T28" si="96">IF(Q28="","",P28-Q28)</f>
        <v/>
      </c>
      <c r="U28" s="88"/>
      <c r="V28" s="89"/>
    </row>
    <row r="29" spans="1:22" ht="9" customHeight="1" x14ac:dyDescent="0.55000000000000004">
      <c r="A29" s="90"/>
      <c r="B29" s="91"/>
      <c r="C29" s="92" t="str">
        <f t="shared" ref="C29" si="97">IF(B27="","",B29-B27)</f>
        <v/>
      </c>
      <c r="D29" s="91"/>
      <c r="E29" s="93" t="str">
        <f t="shared" ref="E29" si="98">IF(D27="","",D29-D27)</f>
        <v/>
      </c>
      <c r="F29" s="94"/>
      <c r="G29" s="85"/>
      <c r="H29" s="85"/>
      <c r="I29" s="95"/>
      <c r="J29" s="86"/>
      <c r="K29" s="94"/>
      <c r="L29" s="85"/>
      <c r="M29" s="85"/>
      <c r="N29" s="95"/>
      <c r="O29" s="86"/>
      <c r="P29" s="94"/>
      <c r="Q29" s="85"/>
      <c r="R29" s="85"/>
      <c r="S29" s="95"/>
      <c r="T29" s="86"/>
      <c r="U29" s="96"/>
      <c r="V29" s="97"/>
    </row>
    <row r="30" spans="1:22" ht="9" customHeight="1" x14ac:dyDescent="0.55000000000000004">
      <c r="A30" s="98"/>
      <c r="B30" s="99"/>
      <c r="C30" s="100"/>
      <c r="D30" s="99"/>
      <c r="E30" s="101"/>
      <c r="F30" s="102" t="str">
        <f t="shared" ref="F30" si="99">IF(H30="","",F27-H30)</f>
        <v/>
      </c>
      <c r="G30" s="103" t="str">
        <f t="shared" ref="G30" si="100">IF(I30="","",F27-I30)</f>
        <v/>
      </c>
      <c r="H30" s="104"/>
      <c r="I30" s="104"/>
      <c r="J30" s="105"/>
      <c r="K30" s="106" t="str">
        <f t="shared" ref="K30" si="101">IF(M30="","",K27-M30)</f>
        <v/>
      </c>
      <c r="L30" s="103" t="str">
        <f t="shared" ref="L30" si="102">IF(N30="","",K27-N30)</f>
        <v/>
      </c>
      <c r="M30" s="104"/>
      <c r="N30" s="107"/>
      <c r="O30" s="105"/>
      <c r="P30" s="102" t="str">
        <f t="shared" ref="P30" si="103">IF(R30="","",P27-R30)</f>
        <v/>
      </c>
      <c r="Q30" s="103" t="str">
        <f t="shared" ref="Q30" si="104">IF(S30="","",P27-S30)</f>
        <v/>
      </c>
      <c r="R30" s="104"/>
      <c r="S30" s="104"/>
      <c r="T30" s="105"/>
      <c r="U30" s="108"/>
      <c r="V30" s="109"/>
    </row>
    <row r="31" spans="1:22" ht="9" customHeight="1" x14ac:dyDescent="0.55000000000000004">
      <c r="A31" s="19"/>
      <c r="B31" s="69"/>
      <c r="C31" s="70"/>
      <c r="D31" s="69"/>
      <c r="E31" s="71"/>
      <c r="F31" s="72"/>
      <c r="G31" s="73"/>
      <c r="H31" s="74"/>
      <c r="I31" s="75"/>
      <c r="J31" s="76"/>
      <c r="K31" s="72"/>
      <c r="L31" s="73"/>
      <c r="M31" s="74"/>
      <c r="N31" s="75"/>
      <c r="O31" s="76"/>
      <c r="P31" s="72"/>
      <c r="Q31" s="73"/>
      <c r="R31" s="74"/>
      <c r="S31" s="75"/>
      <c r="T31" s="76"/>
      <c r="U31" s="77" t="str">
        <f t="shared" ref="U31" si="105">IF(OR(F34="",P34=""),"",B31/(F34-P34))</f>
        <v/>
      </c>
      <c r="V31" s="78"/>
    </row>
    <row r="32" spans="1:22" ht="9" customHeight="1" x14ac:dyDescent="0.55000000000000004">
      <c r="A32" s="79"/>
      <c r="B32" s="80"/>
      <c r="C32" s="81"/>
      <c r="D32" s="80"/>
      <c r="E32" s="82"/>
      <c r="F32" s="83" t="str">
        <f t="shared" ref="F32" si="106">IF(H34="","",F31-H32)</f>
        <v/>
      </c>
      <c r="G32" s="84" t="str">
        <f t="shared" ref="G32" si="107">IF(I34="","",F31-I32)</f>
        <v/>
      </c>
      <c r="H32" s="85" t="str">
        <f t="shared" ref="H32:I32" si="108">IF(OR($A34="集水",$A34="吸水"),0.4,"")</f>
        <v/>
      </c>
      <c r="I32" s="85" t="str">
        <f t="shared" si="108"/>
        <v/>
      </c>
      <c r="J32" s="86" t="str">
        <f t="shared" ref="J32" si="109">IF(G32="","",F32-G32)</f>
        <v/>
      </c>
      <c r="K32" s="83" t="str">
        <f t="shared" ref="K32" si="110">IF(M34="","",K31-M32)</f>
        <v/>
      </c>
      <c r="L32" s="87" t="str">
        <f t="shared" ref="L32" si="111">IF(N34="","",K31-N32)</f>
        <v/>
      </c>
      <c r="M32" s="85" t="str">
        <f t="shared" ref="M32:N32" si="112">IF(M34="","",IF(OR($A34="集水",$A34="吸水"),0.4,""))</f>
        <v/>
      </c>
      <c r="N32" s="85" t="str">
        <f t="shared" si="112"/>
        <v/>
      </c>
      <c r="O32" s="86" t="str">
        <f t="shared" ref="O32" si="113">IF(L32="","",K32-L32)</f>
        <v/>
      </c>
      <c r="P32" s="83" t="str">
        <f t="shared" ref="P32" si="114">IF(R34="","",P31-R32)</f>
        <v/>
      </c>
      <c r="Q32" s="84" t="str">
        <f t="shared" ref="Q32" si="115">IF(S34="","",P31-S32)</f>
        <v/>
      </c>
      <c r="R32" s="85" t="str">
        <f t="shared" ref="R32:S32" si="116">IF(OR($A34="集水",$A34="吸水"),0.4,"")</f>
        <v/>
      </c>
      <c r="S32" s="85" t="str">
        <f t="shared" si="116"/>
        <v/>
      </c>
      <c r="T32" s="86" t="str">
        <f t="shared" ref="T32" si="117">IF(Q32="","",P32-Q32)</f>
        <v/>
      </c>
      <c r="U32" s="88"/>
      <c r="V32" s="89"/>
    </row>
    <row r="33" spans="1:22" ht="9" customHeight="1" x14ac:dyDescent="0.55000000000000004">
      <c r="A33" s="90"/>
      <c r="B33" s="91"/>
      <c r="C33" s="92" t="str">
        <f t="shared" ref="C33" si="118">IF(B31="","",B33-B31)</f>
        <v/>
      </c>
      <c r="D33" s="91"/>
      <c r="E33" s="93" t="str">
        <f t="shared" ref="E33" si="119">IF(D31="","",D33-D31)</f>
        <v/>
      </c>
      <c r="F33" s="94"/>
      <c r="G33" s="85"/>
      <c r="H33" s="85"/>
      <c r="I33" s="95"/>
      <c r="J33" s="86"/>
      <c r="K33" s="94"/>
      <c r="L33" s="85"/>
      <c r="M33" s="85"/>
      <c r="N33" s="95"/>
      <c r="O33" s="86"/>
      <c r="P33" s="94"/>
      <c r="Q33" s="85"/>
      <c r="R33" s="85"/>
      <c r="S33" s="95"/>
      <c r="T33" s="86"/>
      <c r="U33" s="96"/>
      <c r="V33" s="97"/>
    </row>
    <row r="34" spans="1:22" ht="9" customHeight="1" x14ac:dyDescent="0.55000000000000004">
      <c r="A34" s="98"/>
      <c r="B34" s="99"/>
      <c r="C34" s="100"/>
      <c r="D34" s="99"/>
      <c r="E34" s="101"/>
      <c r="F34" s="102" t="str">
        <f t="shared" ref="F34" si="120">IF(H34="","",F31-H34)</f>
        <v/>
      </c>
      <c r="G34" s="103" t="str">
        <f t="shared" ref="G34" si="121">IF(I34="","",F31-I34)</f>
        <v/>
      </c>
      <c r="H34" s="104"/>
      <c r="I34" s="104"/>
      <c r="J34" s="105"/>
      <c r="K34" s="106" t="str">
        <f t="shared" ref="K34" si="122">IF(M34="","",K31-M34)</f>
        <v/>
      </c>
      <c r="L34" s="103" t="str">
        <f t="shared" ref="L34" si="123">IF(N34="","",K31-N34)</f>
        <v/>
      </c>
      <c r="M34" s="104"/>
      <c r="N34" s="107"/>
      <c r="O34" s="105"/>
      <c r="P34" s="102" t="str">
        <f t="shared" ref="P34" si="124">IF(R34="","",P31-R34)</f>
        <v/>
      </c>
      <c r="Q34" s="103" t="str">
        <f t="shared" ref="Q34" si="125">IF(S34="","",P31-S34)</f>
        <v/>
      </c>
      <c r="R34" s="104"/>
      <c r="S34" s="104"/>
      <c r="T34" s="105"/>
      <c r="U34" s="108"/>
      <c r="V34" s="109"/>
    </row>
    <row r="35" spans="1:22" ht="9" customHeight="1" x14ac:dyDescent="0.55000000000000004">
      <c r="A35" s="19"/>
      <c r="B35" s="69"/>
      <c r="C35" s="70"/>
      <c r="D35" s="69"/>
      <c r="E35" s="71"/>
      <c r="F35" s="72"/>
      <c r="G35" s="73"/>
      <c r="H35" s="74"/>
      <c r="I35" s="75"/>
      <c r="J35" s="76"/>
      <c r="K35" s="72"/>
      <c r="L35" s="73"/>
      <c r="M35" s="74"/>
      <c r="N35" s="75"/>
      <c r="O35" s="76"/>
      <c r="P35" s="72"/>
      <c r="Q35" s="73"/>
      <c r="R35" s="74"/>
      <c r="S35" s="75"/>
      <c r="T35" s="76"/>
      <c r="U35" s="77" t="str">
        <f t="shared" ref="U35" si="126">IF(OR(F38="",P38=""),"",B35/(F38-P38))</f>
        <v/>
      </c>
      <c r="V35" s="78"/>
    </row>
    <row r="36" spans="1:22" ht="9" customHeight="1" x14ac:dyDescent="0.55000000000000004">
      <c r="A36" s="79"/>
      <c r="B36" s="80"/>
      <c r="C36" s="81"/>
      <c r="D36" s="80"/>
      <c r="E36" s="82"/>
      <c r="F36" s="83" t="str">
        <f t="shared" ref="F36" si="127">IF(H38="","",F35-H36)</f>
        <v/>
      </c>
      <c r="G36" s="84" t="str">
        <f t="shared" ref="G36" si="128">IF(I38="","",F35-I36)</f>
        <v/>
      </c>
      <c r="H36" s="85" t="str">
        <f t="shared" ref="H36:I36" si="129">IF(OR($A38="集水",$A38="吸水"),0.4,"")</f>
        <v/>
      </c>
      <c r="I36" s="85" t="str">
        <f t="shared" si="129"/>
        <v/>
      </c>
      <c r="J36" s="86" t="str">
        <f t="shared" ref="J36" si="130">IF(G36="","",F36-G36)</f>
        <v/>
      </c>
      <c r="K36" s="83" t="str">
        <f t="shared" ref="K36" si="131">IF(M38="","",K35-M36)</f>
        <v/>
      </c>
      <c r="L36" s="87" t="str">
        <f t="shared" ref="L36" si="132">IF(N38="","",K35-N36)</f>
        <v/>
      </c>
      <c r="M36" s="85" t="str">
        <f t="shared" ref="M36:N36" si="133">IF(M38="","",IF(OR($A38="集水",$A38="吸水"),0.4,""))</f>
        <v/>
      </c>
      <c r="N36" s="85" t="str">
        <f t="shared" si="133"/>
        <v/>
      </c>
      <c r="O36" s="86" t="str">
        <f t="shared" ref="O36" si="134">IF(L36="","",K36-L36)</f>
        <v/>
      </c>
      <c r="P36" s="83" t="str">
        <f t="shared" ref="P36" si="135">IF(R38="","",P35-R36)</f>
        <v/>
      </c>
      <c r="Q36" s="84" t="str">
        <f t="shared" ref="Q36" si="136">IF(S38="","",P35-S36)</f>
        <v/>
      </c>
      <c r="R36" s="85" t="str">
        <f t="shared" ref="R36:S36" si="137">IF(OR($A38="集水",$A38="吸水"),0.4,"")</f>
        <v/>
      </c>
      <c r="S36" s="85" t="str">
        <f t="shared" si="137"/>
        <v/>
      </c>
      <c r="T36" s="86" t="str">
        <f t="shared" ref="T36" si="138">IF(Q36="","",P36-Q36)</f>
        <v/>
      </c>
      <c r="U36" s="88"/>
      <c r="V36" s="89"/>
    </row>
    <row r="37" spans="1:22" ht="9" customHeight="1" x14ac:dyDescent="0.55000000000000004">
      <c r="A37" s="90"/>
      <c r="B37" s="91"/>
      <c r="C37" s="92" t="str">
        <f t="shared" ref="C37" si="139">IF(B35="","",B37-B35)</f>
        <v/>
      </c>
      <c r="D37" s="91"/>
      <c r="E37" s="93" t="str">
        <f t="shared" ref="E37" si="140">IF(D35="","",D37-D35)</f>
        <v/>
      </c>
      <c r="F37" s="94"/>
      <c r="G37" s="85"/>
      <c r="H37" s="85"/>
      <c r="I37" s="95"/>
      <c r="J37" s="86"/>
      <c r="K37" s="94"/>
      <c r="L37" s="85"/>
      <c r="M37" s="85"/>
      <c r="N37" s="95"/>
      <c r="O37" s="86"/>
      <c r="P37" s="94"/>
      <c r="Q37" s="85"/>
      <c r="R37" s="85"/>
      <c r="S37" s="95"/>
      <c r="T37" s="86"/>
      <c r="U37" s="96"/>
      <c r="V37" s="97"/>
    </row>
    <row r="38" spans="1:22" ht="9" customHeight="1" x14ac:dyDescent="0.55000000000000004">
      <c r="A38" s="98"/>
      <c r="B38" s="99"/>
      <c r="C38" s="100"/>
      <c r="D38" s="99"/>
      <c r="E38" s="101"/>
      <c r="F38" s="102" t="str">
        <f t="shared" ref="F38" si="141">IF(H38="","",F35-H38)</f>
        <v/>
      </c>
      <c r="G38" s="103" t="str">
        <f t="shared" ref="G38" si="142">IF(I38="","",F35-I38)</f>
        <v/>
      </c>
      <c r="H38" s="104"/>
      <c r="I38" s="104"/>
      <c r="J38" s="105"/>
      <c r="K38" s="106" t="str">
        <f t="shared" ref="K38" si="143">IF(M38="","",K35-M38)</f>
        <v/>
      </c>
      <c r="L38" s="103" t="str">
        <f t="shared" ref="L38" si="144">IF(N38="","",K35-N38)</f>
        <v/>
      </c>
      <c r="M38" s="104"/>
      <c r="N38" s="107"/>
      <c r="O38" s="105"/>
      <c r="P38" s="102" t="str">
        <f t="shared" ref="P38" si="145">IF(R38="","",P35-R38)</f>
        <v/>
      </c>
      <c r="Q38" s="103" t="str">
        <f t="shared" ref="Q38" si="146">IF(S38="","",P35-S38)</f>
        <v/>
      </c>
      <c r="R38" s="104"/>
      <c r="S38" s="104"/>
      <c r="T38" s="105"/>
      <c r="U38" s="108"/>
      <c r="V38" s="109"/>
    </row>
    <row r="39" spans="1:22" ht="9" customHeight="1" x14ac:dyDescent="0.55000000000000004">
      <c r="A39" s="19"/>
      <c r="B39" s="69"/>
      <c r="C39" s="70"/>
      <c r="D39" s="69"/>
      <c r="E39" s="71"/>
      <c r="F39" s="72"/>
      <c r="G39" s="73"/>
      <c r="H39" s="74"/>
      <c r="I39" s="75"/>
      <c r="J39" s="76"/>
      <c r="K39" s="72"/>
      <c r="L39" s="73"/>
      <c r="M39" s="74"/>
      <c r="N39" s="75"/>
      <c r="O39" s="76"/>
      <c r="P39" s="72"/>
      <c r="Q39" s="73"/>
      <c r="R39" s="74"/>
      <c r="S39" s="75"/>
      <c r="T39" s="76"/>
      <c r="U39" s="77" t="str">
        <f t="shared" ref="U39" si="147">IF(OR(F42="",P42=""),"",B39/(F42-P42))</f>
        <v/>
      </c>
      <c r="V39" s="78"/>
    </row>
    <row r="40" spans="1:22" ht="9" customHeight="1" x14ac:dyDescent="0.55000000000000004">
      <c r="A40" s="79"/>
      <c r="B40" s="80"/>
      <c r="C40" s="81"/>
      <c r="D40" s="80"/>
      <c r="E40" s="82"/>
      <c r="F40" s="83" t="str">
        <f t="shared" ref="F40" si="148">IF(H42="","",F39-H40)</f>
        <v/>
      </c>
      <c r="G40" s="84" t="str">
        <f t="shared" ref="G40" si="149">IF(I42="","",F39-I40)</f>
        <v/>
      </c>
      <c r="H40" s="85" t="str">
        <f t="shared" ref="H40:I40" si="150">IF(OR($A42="集水",$A42="吸水"),0.4,"")</f>
        <v/>
      </c>
      <c r="I40" s="85" t="str">
        <f t="shared" si="150"/>
        <v/>
      </c>
      <c r="J40" s="86" t="str">
        <f t="shared" ref="J40" si="151">IF(G40="","",F40-G40)</f>
        <v/>
      </c>
      <c r="K40" s="83" t="str">
        <f t="shared" ref="K40" si="152">IF(M42="","",K39-M40)</f>
        <v/>
      </c>
      <c r="L40" s="87" t="str">
        <f t="shared" ref="L40" si="153">IF(N42="","",K39-N40)</f>
        <v/>
      </c>
      <c r="M40" s="85" t="str">
        <f t="shared" ref="M40:N40" si="154">IF(M42="","",IF(OR($A42="集水",$A42="吸水"),0.4,""))</f>
        <v/>
      </c>
      <c r="N40" s="85" t="str">
        <f t="shared" si="154"/>
        <v/>
      </c>
      <c r="O40" s="86" t="str">
        <f t="shared" ref="O40" si="155">IF(L40="","",K40-L40)</f>
        <v/>
      </c>
      <c r="P40" s="83" t="str">
        <f t="shared" ref="P40" si="156">IF(R42="","",P39-R40)</f>
        <v/>
      </c>
      <c r="Q40" s="84" t="str">
        <f t="shared" ref="Q40" si="157">IF(S42="","",P39-S40)</f>
        <v/>
      </c>
      <c r="R40" s="85" t="str">
        <f t="shared" ref="R40:S40" si="158">IF(OR($A42="集水",$A42="吸水"),0.4,"")</f>
        <v/>
      </c>
      <c r="S40" s="85" t="str">
        <f t="shared" si="158"/>
        <v/>
      </c>
      <c r="T40" s="86" t="str">
        <f t="shared" ref="T40" si="159">IF(Q40="","",P40-Q40)</f>
        <v/>
      </c>
      <c r="U40" s="88"/>
      <c r="V40" s="89"/>
    </row>
    <row r="41" spans="1:22" ht="9" customHeight="1" x14ac:dyDescent="0.55000000000000004">
      <c r="A41" s="90"/>
      <c r="B41" s="91"/>
      <c r="C41" s="92" t="str">
        <f t="shared" ref="C41" si="160">IF(B39="","",B41-B39)</f>
        <v/>
      </c>
      <c r="D41" s="91"/>
      <c r="E41" s="93" t="str">
        <f t="shared" ref="E41" si="161">IF(D39="","",D41-D39)</f>
        <v/>
      </c>
      <c r="F41" s="94"/>
      <c r="G41" s="85"/>
      <c r="H41" s="85"/>
      <c r="I41" s="95"/>
      <c r="J41" s="86"/>
      <c r="K41" s="94"/>
      <c r="L41" s="85"/>
      <c r="M41" s="85"/>
      <c r="N41" s="95"/>
      <c r="O41" s="86"/>
      <c r="P41" s="94"/>
      <c r="Q41" s="85"/>
      <c r="R41" s="85"/>
      <c r="S41" s="95"/>
      <c r="T41" s="86"/>
      <c r="U41" s="96"/>
      <c r="V41" s="97"/>
    </row>
    <row r="42" spans="1:22" ht="9" customHeight="1" x14ac:dyDescent="0.55000000000000004">
      <c r="A42" s="98"/>
      <c r="B42" s="99"/>
      <c r="C42" s="100"/>
      <c r="D42" s="99"/>
      <c r="E42" s="101"/>
      <c r="F42" s="102" t="str">
        <f t="shared" ref="F42" si="162">IF(H42="","",F39-H42)</f>
        <v/>
      </c>
      <c r="G42" s="103" t="str">
        <f t="shared" ref="G42" si="163">IF(I42="","",F39-I42)</f>
        <v/>
      </c>
      <c r="H42" s="104"/>
      <c r="I42" s="104"/>
      <c r="J42" s="105"/>
      <c r="K42" s="106" t="str">
        <f t="shared" ref="K42" si="164">IF(M42="","",K39-M42)</f>
        <v/>
      </c>
      <c r="L42" s="103" t="str">
        <f t="shared" ref="L42" si="165">IF(N42="","",K39-N42)</f>
        <v/>
      </c>
      <c r="M42" s="104"/>
      <c r="N42" s="107"/>
      <c r="O42" s="105"/>
      <c r="P42" s="102" t="str">
        <f t="shared" ref="P42" si="166">IF(R42="","",P39-R42)</f>
        <v/>
      </c>
      <c r="Q42" s="103" t="str">
        <f t="shared" ref="Q42" si="167">IF(S42="","",P39-S42)</f>
        <v/>
      </c>
      <c r="R42" s="104"/>
      <c r="S42" s="104"/>
      <c r="T42" s="105"/>
      <c r="U42" s="108"/>
      <c r="V42" s="109"/>
    </row>
    <row r="43" spans="1:22" ht="9" customHeight="1" x14ac:dyDescent="0.55000000000000004">
      <c r="A43" s="19"/>
      <c r="B43" s="69"/>
      <c r="C43" s="70"/>
      <c r="D43" s="69"/>
      <c r="E43" s="71"/>
      <c r="F43" s="72"/>
      <c r="G43" s="73"/>
      <c r="H43" s="74"/>
      <c r="I43" s="75"/>
      <c r="J43" s="76"/>
      <c r="K43" s="72"/>
      <c r="L43" s="73"/>
      <c r="M43" s="74"/>
      <c r="N43" s="75"/>
      <c r="O43" s="76"/>
      <c r="P43" s="72"/>
      <c r="Q43" s="73"/>
      <c r="R43" s="74"/>
      <c r="S43" s="75"/>
      <c r="T43" s="76"/>
      <c r="U43" s="77" t="str">
        <f t="shared" ref="U43" si="168">IF(OR(F46="",P46=""),"",B43/(F46-P46))</f>
        <v/>
      </c>
      <c r="V43" s="78"/>
    </row>
    <row r="44" spans="1:22" ht="9" customHeight="1" x14ac:dyDescent="0.55000000000000004">
      <c r="A44" s="79"/>
      <c r="B44" s="80"/>
      <c r="C44" s="81"/>
      <c r="D44" s="80"/>
      <c r="E44" s="82"/>
      <c r="F44" s="83" t="str">
        <f t="shared" ref="F44" si="169">IF(H46="","",F43-H44)</f>
        <v/>
      </c>
      <c r="G44" s="84" t="str">
        <f t="shared" ref="G44" si="170">IF(I46="","",F43-I44)</f>
        <v/>
      </c>
      <c r="H44" s="85" t="str">
        <f t="shared" ref="H44:I44" si="171">IF(OR($A46="集水",$A46="吸水"),0.4,"")</f>
        <v/>
      </c>
      <c r="I44" s="85" t="str">
        <f t="shared" si="171"/>
        <v/>
      </c>
      <c r="J44" s="86" t="str">
        <f t="shared" ref="J44" si="172">IF(G44="","",F44-G44)</f>
        <v/>
      </c>
      <c r="K44" s="83" t="str">
        <f t="shared" ref="K44" si="173">IF(M46="","",K43-M44)</f>
        <v/>
      </c>
      <c r="L44" s="87" t="str">
        <f t="shared" ref="L44" si="174">IF(N46="","",K43-N44)</f>
        <v/>
      </c>
      <c r="M44" s="85" t="str">
        <f t="shared" ref="M44:N44" si="175">IF(M46="","",IF(OR($A46="集水",$A46="吸水"),0.4,""))</f>
        <v/>
      </c>
      <c r="N44" s="85" t="str">
        <f t="shared" si="175"/>
        <v/>
      </c>
      <c r="O44" s="86" t="str">
        <f t="shared" ref="O44" si="176">IF(L44="","",K44-L44)</f>
        <v/>
      </c>
      <c r="P44" s="83" t="str">
        <f t="shared" ref="P44" si="177">IF(R46="","",P43-R44)</f>
        <v/>
      </c>
      <c r="Q44" s="84" t="str">
        <f t="shared" ref="Q44" si="178">IF(S46="","",P43-S44)</f>
        <v/>
      </c>
      <c r="R44" s="85" t="str">
        <f t="shared" ref="R44:S44" si="179">IF(OR($A46="集水",$A46="吸水"),0.4,"")</f>
        <v/>
      </c>
      <c r="S44" s="85" t="str">
        <f t="shared" si="179"/>
        <v/>
      </c>
      <c r="T44" s="86" t="str">
        <f t="shared" ref="T44" si="180">IF(Q44="","",P44-Q44)</f>
        <v/>
      </c>
      <c r="U44" s="88"/>
      <c r="V44" s="89"/>
    </row>
    <row r="45" spans="1:22" ht="9" customHeight="1" x14ac:dyDescent="0.55000000000000004">
      <c r="A45" s="90"/>
      <c r="B45" s="91"/>
      <c r="C45" s="92" t="str">
        <f t="shared" ref="C45" si="181">IF(B43="","",B45-B43)</f>
        <v/>
      </c>
      <c r="D45" s="91"/>
      <c r="E45" s="93" t="str">
        <f t="shared" ref="E45" si="182">IF(D43="","",D45-D43)</f>
        <v/>
      </c>
      <c r="F45" s="94"/>
      <c r="G45" s="85"/>
      <c r="H45" s="85"/>
      <c r="I45" s="95"/>
      <c r="J45" s="86"/>
      <c r="K45" s="94"/>
      <c r="L45" s="85"/>
      <c r="M45" s="85"/>
      <c r="N45" s="95"/>
      <c r="O45" s="86"/>
      <c r="P45" s="94"/>
      <c r="Q45" s="85"/>
      <c r="R45" s="85"/>
      <c r="S45" s="95"/>
      <c r="T45" s="86"/>
      <c r="U45" s="96"/>
      <c r="V45" s="97"/>
    </row>
    <row r="46" spans="1:22" ht="9" customHeight="1" x14ac:dyDescent="0.55000000000000004">
      <c r="A46" s="98"/>
      <c r="B46" s="99"/>
      <c r="C46" s="100"/>
      <c r="D46" s="99"/>
      <c r="E46" s="101"/>
      <c r="F46" s="102" t="str">
        <f t="shared" ref="F46" si="183">IF(H46="","",F43-H46)</f>
        <v/>
      </c>
      <c r="G46" s="103" t="str">
        <f t="shared" ref="G46" si="184">IF(I46="","",F43-I46)</f>
        <v/>
      </c>
      <c r="H46" s="104"/>
      <c r="I46" s="104"/>
      <c r="J46" s="105"/>
      <c r="K46" s="106" t="str">
        <f t="shared" ref="K46" si="185">IF(M46="","",K43-M46)</f>
        <v/>
      </c>
      <c r="L46" s="103" t="str">
        <f t="shared" ref="L46" si="186">IF(N46="","",K43-N46)</f>
        <v/>
      </c>
      <c r="M46" s="104"/>
      <c r="N46" s="107"/>
      <c r="O46" s="105"/>
      <c r="P46" s="102" t="str">
        <f t="shared" ref="P46" si="187">IF(R46="","",P43-R46)</f>
        <v/>
      </c>
      <c r="Q46" s="103" t="str">
        <f t="shared" ref="Q46" si="188">IF(S46="","",P43-S46)</f>
        <v/>
      </c>
      <c r="R46" s="104"/>
      <c r="S46" s="104"/>
      <c r="T46" s="105"/>
      <c r="U46" s="108"/>
      <c r="V46" s="109"/>
    </row>
    <row r="47" spans="1:22" ht="9" customHeight="1" x14ac:dyDescent="0.55000000000000004">
      <c r="A47" s="19"/>
      <c r="B47" s="69"/>
      <c r="C47" s="70"/>
      <c r="D47" s="69"/>
      <c r="E47" s="71"/>
      <c r="F47" s="72"/>
      <c r="G47" s="73"/>
      <c r="H47" s="74"/>
      <c r="I47" s="75"/>
      <c r="J47" s="76"/>
      <c r="K47" s="72"/>
      <c r="L47" s="73"/>
      <c r="M47" s="74"/>
      <c r="N47" s="75"/>
      <c r="O47" s="76"/>
      <c r="P47" s="72"/>
      <c r="Q47" s="73"/>
      <c r="R47" s="74"/>
      <c r="S47" s="75"/>
      <c r="T47" s="76"/>
      <c r="U47" s="77" t="str">
        <f t="shared" ref="U47" si="189">IF(OR(F50="",P50=""),"",B47/(F50-P50))</f>
        <v/>
      </c>
      <c r="V47" s="78"/>
    </row>
    <row r="48" spans="1:22" ht="9" customHeight="1" x14ac:dyDescent="0.55000000000000004">
      <c r="A48" s="79"/>
      <c r="B48" s="80"/>
      <c r="C48" s="81"/>
      <c r="D48" s="80"/>
      <c r="E48" s="82"/>
      <c r="F48" s="83" t="str">
        <f t="shared" ref="F48" si="190">IF(H50="","",F47-H48)</f>
        <v/>
      </c>
      <c r="G48" s="84" t="str">
        <f t="shared" ref="G48" si="191">IF(I50="","",F47-I48)</f>
        <v/>
      </c>
      <c r="H48" s="85" t="str">
        <f t="shared" ref="H48:I48" si="192">IF(OR($A50="集水",$A50="吸水"),0.4,"")</f>
        <v/>
      </c>
      <c r="I48" s="85" t="str">
        <f t="shared" si="192"/>
        <v/>
      </c>
      <c r="J48" s="86" t="str">
        <f t="shared" ref="J48" si="193">IF(G48="","",F48-G48)</f>
        <v/>
      </c>
      <c r="K48" s="83" t="str">
        <f t="shared" ref="K48" si="194">IF(M50="","",K47-M48)</f>
        <v/>
      </c>
      <c r="L48" s="87" t="str">
        <f t="shared" ref="L48" si="195">IF(N50="","",K47-N48)</f>
        <v/>
      </c>
      <c r="M48" s="85" t="str">
        <f t="shared" ref="M48:N48" si="196">IF(M50="","",IF(OR($A50="集水",$A50="吸水"),0.4,""))</f>
        <v/>
      </c>
      <c r="N48" s="85" t="str">
        <f t="shared" si="196"/>
        <v/>
      </c>
      <c r="O48" s="86" t="str">
        <f t="shared" ref="O48" si="197">IF(L48="","",K48-L48)</f>
        <v/>
      </c>
      <c r="P48" s="83" t="str">
        <f t="shared" ref="P48" si="198">IF(R50="","",P47-R48)</f>
        <v/>
      </c>
      <c r="Q48" s="84" t="str">
        <f t="shared" ref="Q48" si="199">IF(S50="","",P47-S48)</f>
        <v/>
      </c>
      <c r="R48" s="85" t="str">
        <f t="shared" ref="R48:S48" si="200">IF(OR($A50="集水",$A50="吸水"),0.4,"")</f>
        <v/>
      </c>
      <c r="S48" s="85" t="str">
        <f t="shared" si="200"/>
        <v/>
      </c>
      <c r="T48" s="86" t="str">
        <f t="shared" ref="T48" si="201">IF(Q48="","",P48-Q48)</f>
        <v/>
      </c>
      <c r="U48" s="88"/>
      <c r="V48" s="89"/>
    </row>
    <row r="49" spans="1:22" ht="9" customHeight="1" x14ac:dyDescent="0.55000000000000004">
      <c r="A49" s="90"/>
      <c r="B49" s="91"/>
      <c r="C49" s="92" t="str">
        <f t="shared" ref="C49" si="202">IF(B47="","",B49-B47)</f>
        <v/>
      </c>
      <c r="D49" s="91"/>
      <c r="E49" s="93" t="str">
        <f t="shared" ref="E49" si="203">IF(D47="","",D49-D47)</f>
        <v/>
      </c>
      <c r="F49" s="94"/>
      <c r="G49" s="85"/>
      <c r="H49" s="85"/>
      <c r="I49" s="95"/>
      <c r="J49" s="86"/>
      <c r="K49" s="94"/>
      <c r="L49" s="85"/>
      <c r="M49" s="85"/>
      <c r="N49" s="95"/>
      <c r="O49" s="86"/>
      <c r="P49" s="94"/>
      <c r="Q49" s="85"/>
      <c r="R49" s="85"/>
      <c r="S49" s="95"/>
      <c r="T49" s="86"/>
      <c r="U49" s="96"/>
      <c r="V49" s="97"/>
    </row>
    <row r="50" spans="1:22" ht="9" customHeight="1" x14ac:dyDescent="0.55000000000000004">
      <c r="A50" s="98"/>
      <c r="B50" s="99"/>
      <c r="C50" s="100"/>
      <c r="D50" s="99"/>
      <c r="E50" s="101"/>
      <c r="F50" s="102" t="str">
        <f t="shared" ref="F50" si="204">IF(H50="","",F47-H50)</f>
        <v/>
      </c>
      <c r="G50" s="103" t="str">
        <f t="shared" ref="G50" si="205">IF(I50="","",F47-I50)</f>
        <v/>
      </c>
      <c r="H50" s="104"/>
      <c r="I50" s="104"/>
      <c r="J50" s="105"/>
      <c r="K50" s="106" t="str">
        <f t="shared" ref="K50" si="206">IF(M50="","",K47-M50)</f>
        <v/>
      </c>
      <c r="L50" s="103" t="str">
        <f t="shared" ref="L50" si="207">IF(N50="","",K47-N50)</f>
        <v/>
      </c>
      <c r="M50" s="104"/>
      <c r="N50" s="107"/>
      <c r="O50" s="105"/>
      <c r="P50" s="102" t="str">
        <f t="shared" ref="P50" si="208">IF(R50="","",P47-R50)</f>
        <v/>
      </c>
      <c r="Q50" s="103" t="str">
        <f t="shared" ref="Q50" si="209">IF(S50="","",P47-S50)</f>
        <v/>
      </c>
      <c r="R50" s="104"/>
      <c r="S50" s="104"/>
      <c r="T50" s="105"/>
      <c r="U50" s="108"/>
      <c r="V50" s="109"/>
    </row>
    <row r="51" spans="1:22" ht="9" customHeight="1" x14ac:dyDescent="0.55000000000000004">
      <c r="A51" s="19"/>
      <c r="B51" s="69"/>
      <c r="C51" s="70"/>
      <c r="D51" s="69"/>
      <c r="E51" s="71"/>
      <c r="F51" s="72"/>
      <c r="G51" s="73"/>
      <c r="H51" s="74"/>
      <c r="I51" s="75"/>
      <c r="J51" s="76"/>
      <c r="K51" s="72"/>
      <c r="L51" s="73"/>
      <c r="M51" s="74"/>
      <c r="N51" s="75"/>
      <c r="O51" s="76"/>
      <c r="P51" s="72"/>
      <c r="Q51" s="73"/>
      <c r="R51" s="74"/>
      <c r="S51" s="75"/>
      <c r="T51" s="76"/>
      <c r="U51" s="77" t="str">
        <f t="shared" ref="U51" si="210">IF(OR(F54="",P54=""),"",B51/(F54-P54))</f>
        <v/>
      </c>
      <c r="V51" s="78"/>
    </row>
    <row r="52" spans="1:22" ht="9" customHeight="1" x14ac:dyDescent="0.55000000000000004">
      <c r="A52" s="79"/>
      <c r="B52" s="80"/>
      <c r="C52" s="81"/>
      <c r="D52" s="80"/>
      <c r="E52" s="82"/>
      <c r="F52" s="83" t="str">
        <f t="shared" ref="F52" si="211">IF(H54="","",F51-H52)</f>
        <v/>
      </c>
      <c r="G52" s="84" t="str">
        <f t="shared" ref="G52" si="212">IF(I54="","",F51-I52)</f>
        <v/>
      </c>
      <c r="H52" s="85" t="str">
        <f t="shared" ref="H52:I52" si="213">IF(OR($A54="集水",$A54="吸水"),0.4,"")</f>
        <v/>
      </c>
      <c r="I52" s="85" t="str">
        <f t="shared" si="213"/>
        <v/>
      </c>
      <c r="J52" s="86" t="str">
        <f t="shared" ref="J52" si="214">IF(G52="","",F52-G52)</f>
        <v/>
      </c>
      <c r="K52" s="83" t="str">
        <f t="shared" ref="K52" si="215">IF(M54="","",K51-M52)</f>
        <v/>
      </c>
      <c r="L52" s="87" t="str">
        <f t="shared" ref="L52" si="216">IF(N54="","",K51-N52)</f>
        <v/>
      </c>
      <c r="M52" s="85" t="str">
        <f t="shared" ref="M52:N52" si="217">IF(M54="","",IF(OR($A54="集水",$A54="吸水"),0.4,""))</f>
        <v/>
      </c>
      <c r="N52" s="85" t="str">
        <f t="shared" si="217"/>
        <v/>
      </c>
      <c r="O52" s="86" t="str">
        <f t="shared" ref="O52" si="218">IF(L52="","",K52-L52)</f>
        <v/>
      </c>
      <c r="P52" s="83" t="str">
        <f t="shared" ref="P52" si="219">IF(R54="","",P51-R52)</f>
        <v/>
      </c>
      <c r="Q52" s="84" t="str">
        <f t="shared" ref="Q52" si="220">IF(S54="","",P51-S52)</f>
        <v/>
      </c>
      <c r="R52" s="85" t="str">
        <f t="shared" ref="R52:S52" si="221">IF(OR($A54="集水",$A54="吸水"),0.4,"")</f>
        <v/>
      </c>
      <c r="S52" s="85" t="str">
        <f t="shared" si="221"/>
        <v/>
      </c>
      <c r="T52" s="86" t="str">
        <f t="shared" ref="T52" si="222">IF(Q52="","",P52-Q52)</f>
        <v/>
      </c>
      <c r="U52" s="88"/>
      <c r="V52" s="89"/>
    </row>
    <row r="53" spans="1:22" ht="9" customHeight="1" x14ac:dyDescent="0.55000000000000004">
      <c r="A53" s="90"/>
      <c r="B53" s="91"/>
      <c r="C53" s="92" t="str">
        <f t="shared" ref="C53" si="223">IF(B51="","",B53-B51)</f>
        <v/>
      </c>
      <c r="D53" s="91"/>
      <c r="E53" s="93" t="str">
        <f t="shared" ref="E53" si="224">IF(D51="","",D53-D51)</f>
        <v/>
      </c>
      <c r="F53" s="94"/>
      <c r="G53" s="85"/>
      <c r="H53" s="85"/>
      <c r="I53" s="95"/>
      <c r="J53" s="86"/>
      <c r="K53" s="94"/>
      <c r="L53" s="85"/>
      <c r="M53" s="85"/>
      <c r="N53" s="95"/>
      <c r="O53" s="86"/>
      <c r="P53" s="94"/>
      <c r="Q53" s="85"/>
      <c r="R53" s="85"/>
      <c r="S53" s="95"/>
      <c r="T53" s="86"/>
      <c r="U53" s="96"/>
      <c r="V53" s="97"/>
    </row>
    <row r="54" spans="1:22" ht="9" customHeight="1" x14ac:dyDescent="0.55000000000000004">
      <c r="A54" s="98"/>
      <c r="B54" s="99"/>
      <c r="C54" s="100"/>
      <c r="D54" s="99"/>
      <c r="E54" s="101"/>
      <c r="F54" s="102" t="str">
        <f t="shared" ref="F54" si="225">IF(H54="","",F51-H54)</f>
        <v/>
      </c>
      <c r="G54" s="103" t="str">
        <f t="shared" ref="G54" si="226">IF(I54="","",F51-I54)</f>
        <v/>
      </c>
      <c r="H54" s="104"/>
      <c r="I54" s="104"/>
      <c r="J54" s="105"/>
      <c r="K54" s="106" t="str">
        <f t="shared" ref="K54" si="227">IF(M54="","",K51-M54)</f>
        <v/>
      </c>
      <c r="L54" s="103" t="str">
        <f t="shared" ref="L54" si="228">IF(N54="","",K51-N54)</f>
        <v/>
      </c>
      <c r="M54" s="104"/>
      <c r="N54" s="107"/>
      <c r="O54" s="105"/>
      <c r="P54" s="102" t="str">
        <f t="shared" ref="P54" si="229">IF(R54="","",P51-R54)</f>
        <v/>
      </c>
      <c r="Q54" s="103" t="str">
        <f t="shared" ref="Q54" si="230">IF(S54="","",P51-S54)</f>
        <v/>
      </c>
      <c r="R54" s="104"/>
      <c r="S54" s="104"/>
      <c r="T54" s="105"/>
      <c r="U54" s="108"/>
      <c r="V54" s="109"/>
    </row>
    <row r="55" spans="1:22" ht="9" customHeight="1" x14ac:dyDescent="0.55000000000000004">
      <c r="A55" s="19"/>
      <c r="B55" s="69"/>
      <c r="C55" s="70"/>
      <c r="D55" s="69"/>
      <c r="E55" s="71"/>
      <c r="F55" s="72"/>
      <c r="G55" s="73"/>
      <c r="H55" s="74"/>
      <c r="I55" s="75"/>
      <c r="J55" s="76"/>
      <c r="K55" s="72"/>
      <c r="L55" s="73"/>
      <c r="M55" s="74"/>
      <c r="N55" s="75"/>
      <c r="O55" s="76"/>
      <c r="P55" s="72"/>
      <c r="Q55" s="73"/>
      <c r="R55" s="74"/>
      <c r="S55" s="75"/>
      <c r="T55" s="76"/>
      <c r="U55" s="77" t="str">
        <f t="shared" ref="U55" si="231">IF(OR(F58="",P58=""),"",B55/(F58-P58))</f>
        <v/>
      </c>
      <c r="V55" s="78"/>
    </row>
    <row r="56" spans="1:22" ht="9" customHeight="1" x14ac:dyDescent="0.55000000000000004">
      <c r="A56" s="79"/>
      <c r="B56" s="80"/>
      <c r="C56" s="81"/>
      <c r="D56" s="80"/>
      <c r="E56" s="82"/>
      <c r="F56" s="83" t="str">
        <f t="shared" ref="F56" si="232">IF(H58="","",F55-H56)</f>
        <v/>
      </c>
      <c r="G56" s="84" t="str">
        <f t="shared" ref="G56" si="233">IF(I58="","",F55-I56)</f>
        <v/>
      </c>
      <c r="H56" s="85" t="str">
        <f t="shared" ref="H56:I56" si="234">IF(OR($A58="集水",$A58="吸水"),0.4,"")</f>
        <v/>
      </c>
      <c r="I56" s="85" t="str">
        <f t="shared" si="234"/>
        <v/>
      </c>
      <c r="J56" s="86" t="str">
        <f t="shared" ref="J56" si="235">IF(G56="","",F56-G56)</f>
        <v/>
      </c>
      <c r="K56" s="83" t="str">
        <f t="shared" ref="K56" si="236">IF(M58="","",K55-M56)</f>
        <v/>
      </c>
      <c r="L56" s="87" t="str">
        <f t="shared" ref="L56" si="237">IF(N58="","",K55-N56)</f>
        <v/>
      </c>
      <c r="M56" s="85" t="str">
        <f t="shared" ref="M56:N56" si="238">IF(M58="","",IF(OR($A58="集水",$A58="吸水"),0.4,""))</f>
        <v/>
      </c>
      <c r="N56" s="85" t="str">
        <f t="shared" si="238"/>
        <v/>
      </c>
      <c r="O56" s="86" t="str">
        <f t="shared" ref="O56" si="239">IF(L56="","",K56-L56)</f>
        <v/>
      </c>
      <c r="P56" s="83" t="str">
        <f t="shared" ref="P56" si="240">IF(R58="","",P55-R56)</f>
        <v/>
      </c>
      <c r="Q56" s="84" t="str">
        <f t="shared" ref="Q56" si="241">IF(S58="","",P55-S56)</f>
        <v/>
      </c>
      <c r="R56" s="85" t="str">
        <f t="shared" ref="R56:S56" si="242">IF(OR($A58="集水",$A58="吸水"),0.4,"")</f>
        <v/>
      </c>
      <c r="S56" s="85" t="str">
        <f t="shared" si="242"/>
        <v/>
      </c>
      <c r="T56" s="86" t="str">
        <f t="shared" ref="T56" si="243">IF(Q56="","",P56-Q56)</f>
        <v/>
      </c>
      <c r="U56" s="88"/>
      <c r="V56" s="89"/>
    </row>
    <row r="57" spans="1:22" ht="9" customHeight="1" x14ac:dyDescent="0.55000000000000004">
      <c r="A57" s="90"/>
      <c r="B57" s="91"/>
      <c r="C57" s="92" t="str">
        <f t="shared" ref="C57" si="244">IF(B55="","",B57-B55)</f>
        <v/>
      </c>
      <c r="D57" s="91"/>
      <c r="E57" s="93" t="str">
        <f t="shared" ref="E57" si="245">IF(D55="","",D57-D55)</f>
        <v/>
      </c>
      <c r="F57" s="94"/>
      <c r="G57" s="85"/>
      <c r="H57" s="85"/>
      <c r="I57" s="95"/>
      <c r="J57" s="86"/>
      <c r="K57" s="94"/>
      <c r="L57" s="85"/>
      <c r="M57" s="85"/>
      <c r="N57" s="95"/>
      <c r="O57" s="86"/>
      <c r="P57" s="94"/>
      <c r="Q57" s="85"/>
      <c r="R57" s="85"/>
      <c r="S57" s="95"/>
      <c r="T57" s="86"/>
      <c r="U57" s="96"/>
      <c r="V57" s="97"/>
    </row>
    <row r="58" spans="1:22" ht="9" customHeight="1" x14ac:dyDescent="0.55000000000000004">
      <c r="A58" s="98"/>
      <c r="B58" s="99"/>
      <c r="C58" s="100"/>
      <c r="D58" s="99"/>
      <c r="E58" s="101"/>
      <c r="F58" s="102" t="str">
        <f t="shared" ref="F58" si="246">IF(H58="","",F55-H58)</f>
        <v/>
      </c>
      <c r="G58" s="103" t="str">
        <f t="shared" ref="G58" si="247">IF(I58="","",F55-I58)</f>
        <v/>
      </c>
      <c r="H58" s="104"/>
      <c r="I58" s="104"/>
      <c r="J58" s="105"/>
      <c r="K58" s="106" t="str">
        <f t="shared" ref="K58" si="248">IF(M58="","",K55-M58)</f>
        <v/>
      </c>
      <c r="L58" s="103" t="str">
        <f t="shared" ref="L58" si="249">IF(N58="","",K55-N58)</f>
        <v/>
      </c>
      <c r="M58" s="104"/>
      <c r="N58" s="107"/>
      <c r="O58" s="105"/>
      <c r="P58" s="102" t="str">
        <f t="shared" ref="P58" si="250">IF(R58="","",P55-R58)</f>
        <v/>
      </c>
      <c r="Q58" s="103" t="str">
        <f t="shared" ref="Q58" si="251">IF(S58="","",P55-S58)</f>
        <v/>
      </c>
      <c r="R58" s="104"/>
      <c r="S58" s="104"/>
      <c r="T58" s="105"/>
      <c r="U58" s="108"/>
      <c r="V58" s="109"/>
    </row>
    <row r="59" spans="1:22" ht="9" customHeight="1" x14ac:dyDescent="0.55000000000000004">
      <c r="A59" s="19"/>
      <c r="B59" s="69"/>
      <c r="C59" s="70"/>
      <c r="D59" s="69"/>
      <c r="E59" s="71"/>
      <c r="F59" s="72"/>
      <c r="G59" s="73"/>
      <c r="H59" s="74"/>
      <c r="I59" s="75"/>
      <c r="J59" s="76"/>
      <c r="K59" s="72"/>
      <c r="L59" s="73"/>
      <c r="M59" s="74"/>
      <c r="N59" s="75"/>
      <c r="O59" s="76"/>
      <c r="P59" s="72"/>
      <c r="Q59" s="73"/>
      <c r="R59" s="74"/>
      <c r="S59" s="75"/>
      <c r="T59" s="76"/>
      <c r="U59" s="77" t="str">
        <f t="shared" ref="U59" si="252">IF(OR(F62="",P62=""),"",B59/(F62-P62))</f>
        <v/>
      </c>
      <c r="V59" s="78"/>
    </row>
    <row r="60" spans="1:22" ht="9" customHeight="1" x14ac:dyDescent="0.55000000000000004">
      <c r="A60" s="79"/>
      <c r="B60" s="80"/>
      <c r="C60" s="81"/>
      <c r="D60" s="80"/>
      <c r="E60" s="82"/>
      <c r="F60" s="83" t="str">
        <f t="shared" ref="F60" si="253">IF(H62="","",F59-H60)</f>
        <v/>
      </c>
      <c r="G60" s="84" t="str">
        <f t="shared" ref="G60" si="254">IF(I62="","",F59-I60)</f>
        <v/>
      </c>
      <c r="H60" s="85" t="str">
        <f t="shared" ref="H60:I60" si="255">IF(OR($A62="集水",$A62="吸水"),0.4,"")</f>
        <v/>
      </c>
      <c r="I60" s="85" t="str">
        <f t="shared" si="255"/>
        <v/>
      </c>
      <c r="J60" s="86" t="str">
        <f t="shared" ref="J60" si="256">IF(G60="","",F60-G60)</f>
        <v/>
      </c>
      <c r="K60" s="83" t="str">
        <f t="shared" ref="K60" si="257">IF(M62="","",K59-M60)</f>
        <v/>
      </c>
      <c r="L60" s="87" t="str">
        <f t="shared" ref="L60" si="258">IF(N62="","",K59-N60)</f>
        <v/>
      </c>
      <c r="M60" s="85" t="str">
        <f t="shared" ref="M60:N60" si="259">IF(M62="","",IF(OR($A62="集水",$A62="吸水"),0.4,""))</f>
        <v/>
      </c>
      <c r="N60" s="85" t="str">
        <f t="shared" si="259"/>
        <v/>
      </c>
      <c r="O60" s="86" t="str">
        <f t="shared" ref="O60" si="260">IF(L60="","",K60-L60)</f>
        <v/>
      </c>
      <c r="P60" s="83" t="str">
        <f t="shared" ref="P60" si="261">IF(R62="","",P59-R60)</f>
        <v/>
      </c>
      <c r="Q60" s="84" t="str">
        <f t="shared" ref="Q60" si="262">IF(S62="","",P59-S60)</f>
        <v/>
      </c>
      <c r="R60" s="85" t="str">
        <f t="shared" ref="R60:S60" si="263">IF(OR($A62="集水",$A62="吸水"),0.4,"")</f>
        <v/>
      </c>
      <c r="S60" s="85" t="str">
        <f t="shared" si="263"/>
        <v/>
      </c>
      <c r="T60" s="86" t="str">
        <f t="shared" ref="T60" si="264">IF(Q60="","",P60-Q60)</f>
        <v/>
      </c>
      <c r="U60" s="88"/>
      <c r="V60" s="89"/>
    </row>
    <row r="61" spans="1:22" ht="9" customHeight="1" x14ac:dyDescent="0.55000000000000004">
      <c r="A61" s="90"/>
      <c r="B61" s="91"/>
      <c r="C61" s="92" t="str">
        <f t="shared" ref="C61" si="265">IF(B59="","",B61-B59)</f>
        <v/>
      </c>
      <c r="D61" s="91"/>
      <c r="E61" s="93" t="str">
        <f t="shared" ref="E61" si="266">IF(D59="","",D61-D59)</f>
        <v/>
      </c>
      <c r="F61" s="94"/>
      <c r="G61" s="85"/>
      <c r="H61" s="85"/>
      <c r="I61" s="95"/>
      <c r="J61" s="86"/>
      <c r="K61" s="94"/>
      <c r="L61" s="85"/>
      <c r="M61" s="85"/>
      <c r="N61" s="95"/>
      <c r="O61" s="86"/>
      <c r="P61" s="94"/>
      <c r="Q61" s="85"/>
      <c r="R61" s="85"/>
      <c r="S61" s="95"/>
      <c r="T61" s="86"/>
      <c r="U61" s="96"/>
      <c r="V61" s="97"/>
    </row>
    <row r="62" spans="1:22" ht="9" customHeight="1" x14ac:dyDescent="0.55000000000000004">
      <c r="A62" s="98"/>
      <c r="B62" s="99"/>
      <c r="C62" s="100"/>
      <c r="D62" s="99"/>
      <c r="E62" s="101"/>
      <c r="F62" s="102" t="str">
        <f t="shared" ref="F62" si="267">IF(H62="","",F59-H62)</f>
        <v/>
      </c>
      <c r="G62" s="103" t="str">
        <f t="shared" ref="G62" si="268">IF(I62="","",F59-I62)</f>
        <v/>
      </c>
      <c r="H62" s="104"/>
      <c r="I62" s="104"/>
      <c r="J62" s="105"/>
      <c r="K62" s="106" t="str">
        <f t="shared" ref="K62" si="269">IF(M62="","",K59-M62)</f>
        <v/>
      </c>
      <c r="L62" s="103" t="str">
        <f t="shared" ref="L62" si="270">IF(N62="","",K59-N62)</f>
        <v/>
      </c>
      <c r="M62" s="104"/>
      <c r="N62" s="107"/>
      <c r="O62" s="105"/>
      <c r="P62" s="102" t="str">
        <f t="shared" ref="P62" si="271">IF(R62="","",P59-R62)</f>
        <v/>
      </c>
      <c r="Q62" s="103" t="str">
        <f t="shared" ref="Q62" si="272">IF(S62="","",P59-S62)</f>
        <v/>
      </c>
      <c r="R62" s="104"/>
      <c r="S62" s="104"/>
      <c r="T62" s="105"/>
      <c r="U62" s="108"/>
      <c r="V62" s="109"/>
    </row>
    <row r="63" spans="1:22" ht="9" customHeight="1" x14ac:dyDescent="0.55000000000000004">
      <c r="A63" s="19"/>
      <c r="B63" s="69"/>
      <c r="C63" s="70"/>
      <c r="D63" s="69"/>
      <c r="E63" s="71"/>
      <c r="F63" s="72"/>
      <c r="G63" s="73"/>
      <c r="H63" s="74"/>
      <c r="I63" s="75"/>
      <c r="J63" s="76"/>
      <c r="K63" s="72"/>
      <c r="L63" s="73"/>
      <c r="M63" s="74"/>
      <c r="N63" s="75"/>
      <c r="O63" s="76"/>
      <c r="P63" s="72"/>
      <c r="Q63" s="73"/>
      <c r="R63" s="74"/>
      <c r="S63" s="75"/>
      <c r="T63" s="76"/>
      <c r="U63" s="77" t="str">
        <f t="shared" ref="U63" si="273">IF(OR(F66="",P66=""),"",B63/(F66-P66))</f>
        <v/>
      </c>
      <c r="V63" s="78"/>
    </row>
    <row r="64" spans="1:22" ht="9" customHeight="1" x14ac:dyDescent="0.55000000000000004">
      <c r="A64" s="79"/>
      <c r="B64" s="80"/>
      <c r="C64" s="81"/>
      <c r="D64" s="80"/>
      <c r="E64" s="82"/>
      <c r="F64" s="83" t="str">
        <f t="shared" ref="F64" si="274">IF(H66="","",F63-H64)</f>
        <v/>
      </c>
      <c r="G64" s="84" t="str">
        <f t="shared" ref="G64" si="275">IF(I66="","",F63-I64)</f>
        <v/>
      </c>
      <c r="H64" s="85" t="str">
        <f t="shared" ref="H64:I64" si="276">IF(OR($A66="集水",$A66="吸水"),0.4,"")</f>
        <v/>
      </c>
      <c r="I64" s="85" t="str">
        <f t="shared" si="276"/>
        <v/>
      </c>
      <c r="J64" s="86" t="str">
        <f t="shared" ref="J64" si="277">IF(G64="","",F64-G64)</f>
        <v/>
      </c>
      <c r="K64" s="83" t="str">
        <f t="shared" ref="K64" si="278">IF(M66="","",K63-M64)</f>
        <v/>
      </c>
      <c r="L64" s="87" t="str">
        <f t="shared" ref="L64" si="279">IF(N66="","",K63-N64)</f>
        <v/>
      </c>
      <c r="M64" s="85" t="str">
        <f t="shared" ref="M64:N64" si="280">IF(M66="","",IF(OR($A66="集水",$A66="吸水"),0.4,""))</f>
        <v/>
      </c>
      <c r="N64" s="85" t="str">
        <f t="shared" si="280"/>
        <v/>
      </c>
      <c r="O64" s="86" t="str">
        <f t="shared" ref="O64" si="281">IF(L64="","",K64-L64)</f>
        <v/>
      </c>
      <c r="P64" s="83" t="str">
        <f t="shared" ref="P64" si="282">IF(R66="","",P63-R64)</f>
        <v/>
      </c>
      <c r="Q64" s="84" t="str">
        <f t="shared" ref="Q64" si="283">IF(S66="","",P63-S64)</f>
        <v/>
      </c>
      <c r="R64" s="85" t="str">
        <f t="shared" ref="R64:S64" si="284">IF(OR($A66="集水",$A66="吸水"),0.4,"")</f>
        <v/>
      </c>
      <c r="S64" s="85" t="str">
        <f t="shared" si="284"/>
        <v/>
      </c>
      <c r="T64" s="86" t="str">
        <f t="shared" ref="T64" si="285">IF(Q64="","",P64-Q64)</f>
        <v/>
      </c>
      <c r="U64" s="88"/>
      <c r="V64" s="89"/>
    </row>
    <row r="65" spans="1:22" ht="9" customHeight="1" x14ac:dyDescent="0.55000000000000004">
      <c r="A65" s="90"/>
      <c r="B65" s="91"/>
      <c r="C65" s="92" t="str">
        <f t="shared" ref="C65" si="286">IF(B63="","",B65-B63)</f>
        <v/>
      </c>
      <c r="D65" s="91"/>
      <c r="E65" s="93" t="str">
        <f t="shared" ref="E65" si="287">IF(D63="","",D65-D63)</f>
        <v/>
      </c>
      <c r="F65" s="94"/>
      <c r="G65" s="85"/>
      <c r="H65" s="85"/>
      <c r="I65" s="95"/>
      <c r="J65" s="86"/>
      <c r="K65" s="94"/>
      <c r="L65" s="85"/>
      <c r="M65" s="85"/>
      <c r="N65" s="95"/>
      <c r="O65" s="86"/>
      <c r="P65" s="94"/>
      <c r="Q65" s="85"/>
      <c r="R65" s="85"/>
      <c r="S65" s="95"/>
      <c r="T65" s="86"/>
      <c r="U65" s="96"/>
      <c r="V65" s="97"/>
    </row>
    <row r="66" spans="1:22" ht="9" customHeight="1" x14ac:dyDescent="0.55000000000000004">
      <c r="A66" s="98"/>
      <c r="B66" s="99"/>
      <c r="C66" s="100"/>
      <c r="D66" s="99"/>
      <c r="E66" s="101"/>
      <c r="F66" s="102" t="str">
        <f t="shared" ref="F66" si="288">IF(H66="","",F63-H66)</f>
        <v/>
      </c>
      <c r="G66" s="103" t="str">
        <f t="shared" ref="G66" si="289">IF(I66="","",F63-I66)</f>
        <v/>
      </c>
      <c r="H66" s="104"/>
      <c r="I66" s="104"/>
      <c r="J66" s="105"/>
      <c r="K66" s="106" t="str">
        <f t="shared" ref="K66" si="290">IF(M66="","",K63-M66)</f>
        <v/>
      </c>
      <c r="L66" s="103" t="str">
        <f t="shared" ref="L66" si="291">IF(N66="","",K63-N66)</f>
        <v/>
      </c>
      <c r="M66" s="104"/>
      <c r="N66" s="107"/>
      <c r="O66" s="105"/>
      <c r="P66" s="102" t="str">
        <f t="shared" ref="P66" si="292">IF(R66="","",P63-R66)</f>
        <v/>
      </c>
      <c r="Q66" s="103" t="str">
        <f t="shared" ref="Q66" si="293">IF(S66="","",P63-S66)</f>
        <v/>
      </c>
      <c r="R66" s="104"/>
      <c r="S66" s="104"/>
      <c r="T66" s="105"/>
      <c r="U66" s="108"/>
      <c r="V66" s="109"/>
    </row>
    <row r="67" spans="1:22" ht="9" customHeight="1" x14ac:dyDescent="0.55000000000000004">
      <c r="A67" s="19"/>
      <c r="B67" s="69"/>
      <c r="C67" s="70"/>
      <c r="D67" s="69"/>
      <c r="E67" s="71"/>
      <c r="F67" s="72"/>
      <c r="G67" s="73"/>
      <c r="H67" s="74"/>
      <c r="I67" s="75"/>
      <c r="J67" s="76"/>
      <c r="K67" s="72"/>
      <c r="L67" s="73"/>
      <c r="M67" s="74"/>
      <c r="N67" s="75"/>
      <c r="O67" s="76"/>
      <c r="P67" s="72"/>
      <c r="Q67" s="73"/>
      <c r="R67" s="74"/>
      <c r="S67" s="75"/>
      <c r="T67" s="76"/>
      <c r="U67" s="77" t="str">
        <f t="shared" ref="U67" si="294">IF(OR(F70="",P70=""),"",B67/(F70-P70))</f>
        <v/>
      </c>
      <c r="V67" s="78"/>
    </row>
    <row r="68" spans="1:22" ht="9" customHeight="1" x14ac:dyDescent="0.55000000000000004">
      <c r="A68" s="79"/>
      <c r="B68" s="80"/>
      <c r="C68" s="81"/>
      <c r="D68" s="80"/>
      <c r="E68" s="82"/>
      <c r="F68" s="83" t="str">
        <f t="shared" ref="F68" si="295">IF(H70="","",F67-H68)</f>
        <v/>
      </c>
      <c r="G68" s="84" t="str">
        <f t="shared" ref="G68" si="296">IF(I70="","",F67-I68)</f>
        <v/>
      </c>
      <c r="H68" s="85" t="str">
        <f t="shared" ref="H68:I68" si="297">IF(OR($A70="集水",$A70="吸水"),0.4,"")</f>
        <v/>
      </c>
      <c r="I68" s="85" t="str">
        <f t="shared" si="297"/>
        <v/>
      </c>
      <c r="J68" s="86" t="str">
        <f t="shared" ref="J68" si="298">IF(G68="","",F68-G68)</f>
        <v/>
      </c>
      <c r="K68" s="83" t="str">
        <f t="shared" ref="K68" si="299">IF(M70="","",K67-M68)</f>
        <v/>
      </c>
      <c r="L68" s="87" t="str">
        <f t="shared" ref="L68" si="300">IF(N70="","",K67-N68)</f>
        <v/>
      </c>
      <c r="M68" s="85" t="str">
        <f t="shared" ref="M68:N68" si="301">IF(M70="","",IF(OR($A70="集水",$A70="吸水"),0.4,""))</f>
        <v/>
      </c>
      <c r="N68" s="85" t="str">
        <f t="shared" si="301"/>
        <v/>
      </c>
      <c r="O68" s="86" t="str">
        <f t="shared" ref="O68" si="302">IF(L68="","",K68-L68)</f>
        <v/>
      </c>
      <c r="P68" s="83" t="str">
        <f t="shared" ref="P68" si="303">IF(R70="","",P67-R68)</f>
        <v/>
      </c>
      <c r="Q68" s="84" t="str">
        <f t="shared" ref="Q68" si="304">IF(S70="","",P67-S68)</f>
        <v/>
      </c>
      <c r="R68" s="85" t="str">
        <f t="shared" ref="R68:S68" si="305">IF(OR($A70="集水",$A70="吸水"),0.4,"")</f>
        <v/>
      </c>
      <c r="S68" s="85" t="str">
        <f t="shared" si="305"/>
        <v/>
      </c>
      <c r="T68" s="86" t="str">
        <f t="shared" ref="T68" si="306">IF(Q68="","",P68-Q68)</f>
        <v/>
      </c>
      <c r="U68" s="88"/>
      <c r="V68" s="89"/>
    </row>
    <row r="69" spans="1:22" ht="9" customHeight="1" x14ac:dyDescent="0.55000000000000004">
      <c r="A69" s="90"/>
      <c r="B69" s="91"/>
      <c r="C69" s="92" t="str">
        <f t="shared" ref="C69" si="307">IF(B67="","",B69-B67)</f>
        <v/>
      </c>
      <c r="D69" s="91"/>
      <c r="E69" s="93" t="str">
        <f t="shared" ref="E69" si="308">IF(D67="","",D69-D67)</f>
        <v/>
      </c>
      <c r="F69" s="94"/>
      <c r="G69" s="85"/>
      <c r="H69" s="85"/>
      <c r="I69" s="95"/>
      <c r="J69" s="86"/>
      <c r="K69" s="94"/>
      <c r="L69" s="85"/>
      <c r="M69" s="85"/>
      <c r="N69" s="95"/>
      <c r="O69" s="86"/>
      <c r="P69" s="94"/>
      <c r="Q69" s="85"/>
      <c r="R69" s="85"/>
      <c r="S69" s="95"/>
      <c r="T69" s="86"/>
      <c r="U69" s="96"/>
      <c r="V69" s="97"/>
    </row>
    <row r="70" spans="1:22" ht="9" customHeight="1" x14ac:dyDescent="0.55000000000000004">
      <c r="A70" s="98"/>
      <c r="B70" s="99"/>
      <c r="C70" s="100"/>
      <c r="D70" s="99"/>
      <c r="E70" s="101"/>
      <c r="F70" s="102" t="str">
        <f t="shared" ref="F70" si="309">IF(H70="","",F67-H70)</f>
        <v/>
      </c>
      <c r="G70" s="103" t="str">
        <f t="shared" ref="G70" si="310">IF(I70="","",F67-I70)</f>
        <v/>
      </c>
      <c r="H70" s="104"/>
      <c r="I70" s="104"/>
      <c r="J70" s="105"/>
      <c r="K70" s="106" t="str">
        <f t="shared" ref="K70" si="311">IF(M70="","",K67-M70)</f>
        <v/>
      </c>
      <c r="L70" s="103" t="str">
        <f t="shared" ref="L70" si="312">IF(N70="","",K67-N70)</f>
        <v/>
      </c>
      <c r="M70" s="104"/>
      <c r="N70" s="107"/>
      <c r="O70" s="105"/>
      <c r="P70" s="102" t="str">
        <f t="shared" ref="P70" si="313">IF(R70="","",P67-R70)</f>
        <v/>
      </c>
      <c r="Q70" s="103" t="str">
        <f t="shared" ref="Q70" si="314">IF(S70="","",P67-S70)</f>
        <v/>
      </c>
      <c r="R70" s="104"/>
      <c r="S70" s="104"/>
      <c r="T70" s="105"/>
      <c r="U70" s="108"/>
      <c r="V70" s="109"/>
    </row>
    <row r="71" spans="1:22" ht="9" customHeight="1" x14ac:dyDescent="0.55000000000000004">
      <c r="A71" s="19"/>
      <c r="B71" s="69"/>
      <c r="C71" s="70"/>
      <c r="D71" s="69"/>
      <c r="E71" s="71"/>
      <c r="F71" s="72"/>
      <c r="G71" s="73"/>
      <c r="H71" s="74"/>
      <c r="I71" s="75"/>
      <c r="J71" s="76"/>
      <c r="K71" s="72"/>
      <c r="L71" s="73"/>
      <c r="M71" s="74"/>
      <c r="N71" s="75"/>
      <c r="O71" s="76"/>
      <c r="P71" s="72"/>
      <c r="Q71" s="73"/>
      <c r="R71" s="74"/>
      <c r="S71" s="75"/>
      <c r="T71" s="76"/>
      <c r="U71" s="77" t="str">
        <f t="shared" ref="U71" si="315">IF(OR(F74="",P74=""),"",B71/(F74-P74))</f>
        <v/>
      </c>
      <c r="V71" s="78"/>
    </row>
    <row r="72" spans="1:22" ht="9" customHeight="1" x14ac:dyDescent="0.55000000000000004">
      <c r="A72" s="79"/>
      <c r="B72" s="80"/>
      <c r="C72" s="81"/>
      <c r="D72" s="80"/>
      <c r="E72" s="82"/>
      <c r="F72" s="83" t="str">
        <f t="shared" ref="F72" si="316">IF(H74="","",F71-H72)</f>
        <v/>
      </c>
      <c r="G72" s="84" t="str">
        <f t="shared" ref="G72" si="317">IF(I74="","",F71-I72)</f>
        <v/>
      </c>
      <c r="H72" s="85" t="str">
        <f t="shared" ref="H72:I72" si="318">IF(OR($A74="集水",$A74="吸水"),0.4,"")</f>
        <v/>
      </c>
      <c r="I72" s="85" t="str">
        <f t="shared" si="318"/>
        <v/>
      </c>
      <c r="J72" s="86" t="str">
        <f t="shared" ref="J72" si="319">IF(G72="","",F72-G72)</f>
        <v/>
      </c>
      <c r="K72" s="83" t="str">
        <f t="shared" ref="K72" si="320">IF(M74="","",K71-M72)</f>
        <v/>
      </c>
      <c r="L72" s="87" t="str">
        <f t="shared" ref="L72" si="321">IF(N74="","",K71-N72)</f>
        <v/>
      </c>
      <c r="M72" s="85" t="str">
        <f t="shared" ref="M72:N72" si="322">IF(M74="","",IF(OR($A74="集水",$A74="吸水"),0.4,""))</f>
        <v/>
      </c>
      <c r="N72" s="85" t="str">
        <f t="shared" si="322"/>
        <v/>
      </c>
      <c r="O72" s="86" t="str">
        <f t="shared" ref="O72" si="323">IF(L72="","",K72-L72)</f>
        <v/>
      </c>
      <c r="P72" s="83" t="str">
        <f t="shared" ref="P72" si="324">IF(R74="","",P71-R72)</f>
        <v/>
      </c>
      <c r="Q72" s="84" t="str">
        <f t="shared" ref="Q72" si="325">IF(S74="","",P71-S72)</f>
        <v/>
      </c>
      <c r="R72" s="85" t="str">
        <f t="shared" ref="R72:S72" si="326">IF(OR($A74="集水",$A74="吸水"),0.4,"")</f>
        <v/>
      </c>
      <c r="S72" s="85" t="str">
        <f t="shared" si="326"/>
        <v/>
      </c>
      <c r="T72" s="86" t="str">
        <f t="shared" ref="T72" si="327">IF(Q72="","",P72-Q72)</f>
        <v/>
      </c>
      <c r="U72" s="88"/>
      <c r="V72" s="89"/>
    </row>
    <row r="73" spans="1:22" ht="9" customHeight="1" x14ac:dyDescent="0.55000000000000004">
      <c r="A73" s="90"/>
      <c r="B73" s="91"/>
      <c r="C73" s="92" t="str">
        <f t="shared" ref="C73" si="328">IF(B71="","",B73-B71)</f>
        <v/>
      </c>
      <c r="D73" s="91"/>
      <c r="E73" s="93" t="str">
        <f t="shared" ref="E73" si="329">IF(D71="","",D73-D71)</f>
        <v/>
      </c>
      <c r="F73" s="94"/>
      <c r="G73" s="85"/>
      <c r="H73" s="85"/>
      <c r="I73" s="95"/>
      <c r="J73" s="86"/>
      <c r="K73" s="94"/>
      <c r="L73" s="85"/>
      <c r="M73" s="85"/>
      <c r="N73" s="95"/>
      <c r="O73" s="86"/>
      <c r="P73" s="94"/>
      <c r="Q73" s="85"/>
      <c r="R73" s="85"/>
      <c r="S73" s="95"/>
      <c r="T73" s="86"/>
      <c r="U73" s="96"/>
      <c r="V73" s="97"/>
    </row>
    <row r="74" spans="1:22" ht="9" customHeight="1" x14ac:dyDescent="0.55000000000000004">
      <c r="A74" s="98"/>
      <c r="B74" s="99"/>
      <c r="C74" s="100"/>
      <c r="D74" s="99"/>
      <c r="E74" s="101"/>
      <c r="F74" s="102" t="str">
        <f t="shared" ref="F74" si="330">IF(H74="","",F71-H74)</f>
        <v/>
      </c>
      <c r="G74" s="103" t="str">
        <f t="shared" ref="G74" si="331">IF(I74="","",F71-I74)</f>
        <v/>
      </c>
      <c r="H74" s="104"/>
      <c r="I74" s="104"/>
      <c r="J74" s="105"/>
      <c r="K74" s="106" t="str">
        <f t="shared" ref="K74" si="332">IF(M74="","",K71-M74)</f>
        <v/>
      </c>
      <c r="L74" s="103" t="str">
        <f t="shared" ref="L74" si="333">IF(N74="","",K71-N74)</f>
        <v/>
      </c>
      <c r="M74" s="104"/>
      <c r="N74" s="107"/>
      <c r="O74" s="105"/>
      <c r="P74" s="102" t="str">
        <f t="shared" ref="P74" si="334">IF(R74="","",P71-R74)</f>
        <v/>
      </c>
      <c r="Q74" s="103" t="str">
        <f t="shared" ref="Q74" si="335">IF(S74="","",P71-S74)</f>
        <v/>
      </c>
      <c r="R74" s="104"/>
      <c r="S74" s="104"/>
      <c r="T74" s="105"/>
      <c r="U74" s="108"/>
      <c r="V74" s="109"/>
    </row>
    <row r="75" spans="1:22" ht="9" customHeight="1" x14ac:dyDescent="0.55000000000000004">
      <c r="A75" s="19"/>
      <c r="B75" s="69"/>
      <c r="C75" s="70"/>
      <c r="D75" s="69"/>
      <c r="E75" s="71"/>
      <c r="F75" s="72"/>
      <c r="G75" s="73"/>
      <c r="H75" s="74"/>
      <c r="I75" s="75"/>
      <c r="J75" s="76"/>
      <c r="K75" s="72"/>
      <c r="L75" s="73"/>
      <c r="M75" s="74"/>
      <c r="N75" s="75"/>
      <c r="O75" s="76"/>
      <c r="P75" s="72"/>
      <c r="Q75" s="73"/>
      <c r="R75" s="74"/>
      <c r="S75" s="75"/>
      <c r="T75" s="76"/>
      <c r="U75" s="77" t="str">
        <f t="shared" ref="U75" si="336">IF(OR(F78="",P78=""),"",B75/(F78-P78))</f>
        <v/>
      </c>
      <c r="V75" s="78"/>
    </row>
    <row r="76" spans="1:22" ht="9" customHeight="1" x14ac:dyDescent="0.55000000000000004">
      <c r="A76" s="79"/>
      <c r="B76" s="80"/>
      <c r="C76" s="81"/>
      <c r="D76" s="80"/>
      <c r="E76" s="82"/>
      <c r="F76" s="83" t="str">
        <f t="shared" ref="F76" si="337">IF(H78="","",F75-H76)</f>
        <v/>
      </c>
      <c r="G76" s="84" t="str">
        <f t="shared" ref="G76" si="338">IF(I78="","",F75-I76)</f>
        <v/>
      </c>
      <c r="H76" s="85" t="str">
        <f t="shared" ref="H76:I76" si="339">IF(OR($A78="集水",$A78="吸水"),0.4,"")</f>
        <v/>
      </c>
      <c r="I76" s="85" t="str">
        <f t="shared" si="339"/>
        <v/>
      </c>
      <c r="J76" s="86" t="str">
        <f t="shared" ref="J76" si="340">IF(G76="","",F76-G76)</f>
        <v/>
      </c>
      <c r="K76" s="83" t="str">
        <f t="shared" ref="K76" si="341">IF(M78="","",K75-M76)</f>
        <v/>
      </c>
      <c r="L76" s="87" t="str">
        <f t="shared" ref="L76" si="342">IF(N78="","",K75-N76)</f>
        <v/>
      </c>
      <c r="M76" s="85" t="str">
        <f t="shared" ref="M76:N76" si="343">IF(M78="","",IF(OR($A78="集水",$A78="吸水"),0.4,""))</f>
        <v/>
      </c>
      <c r="N76" s="85" t="str">
        <f t="shared" si="343"/>
        <v/>
      </c>
      <c r="O76" s="86" t="str">
        <f t="shared" ref="O76" si="344">IF(L76="","",K76-L76)</f>
        <v/>
      </c>
      <c r="P76" s="83" t="str">
        <f t="shared" ref="P76" si="345">IF(R78="","",P75-R76)</f>
        <v/>
      </c>
      <c r="Q76" s="84" t="str">
        <f t="shared" ref="Q76" si="346">IF(S78="","",P75-S76)</f>
        <v/>
      </c>
      <c r="R76" s="85" t="str">
        <f t="shared" ref="R76:S76" si="347">IF(OR($A78="集水",$A78="吸水"),0.4,"")</f>
        <v/>
      </c>
      <c r="S76" s="85" t="str">
        <f t="shared" si="347"/>
        <v/>
      </c>
      <c r="T76" s="86" t="str">
        <f t="shared" ref="T76" si="348">IF(Q76="","",P76-Q76)</f>
        <v/>
      </c>
      <c r="U76" s="88"/>
      <c r="V76" s="89"/>
    </row>
    <row r="77" spans="1:22" ht="9" customHeight="1" x14ac:dyDescent="0.55000000000000004">
      <c r="A77" s="90"/>
      <c r="B77" s="91"/>
      <c r="C77" s="92" t="str">
        <f t="shared" ref="C77" si="349">IF(B75="","",B77-B75)</f>
        <v/>
      </c>
      <c r="D77" s="91"/>
      <c r="E77" s="93" t="str">
        <f t="shared" ref="E77" si="350">IF(D75="","",D77-D75)</f>
        <v/>
      </c>
      <c r="F77" s="94"/>
      <c r="G77" s="85"/>
      <c r="H77" s="85"/>
      <c r="I77" s="95"/>
      <c r="J77" s="86"/>
      <c r="K77" s="94"/>
      <c r="L77" s="85"/>
      <c r="M77" s="85"/>
      <c r="N77" s="95"/>
      <c r="O77" s="86"/>
      <c r="P77" s="94"/>
      <c r="Q77" s="85"/>
      <c r="R77" s="85"/>
      <c r="S77" s="95"/>
      <c r="T77" s="86"/>
      <c r="U77" s="96"/>
      <c r="V77" s="97"/>
    </row>
    <row r="78" spans="1:22" ht="9" customHeight="1" x14ac:dyDescent="0.55000000000000004">
      <c r="A78" s="98"/>
      <c r="B78" s="99"/>
      <c r="C78" s="100"/>
      <c r="D78" s="99"/>
      <c r="E78" s="101"/>
      <c r="F78" s="102" t="str">
        <f t="shared" ref="F78" si="351">IF(H78="","",F75-H78)</f>
        <v/>
      </c>
      <c r="G78" s="103" t="str">
        <f t="shared" ref="G78" si="352">IF(I78="","",F75-I78)</f>
        <v/>
      </c>
      <c r="H78" s="104"/>
      <c r="I78" s="104"/>
      <c r="J78" s="105"/>
      <c r="K78" s="106" t="str">
        <f t="shared" ref="K78" si="353">IF(M78="","",K75-M78)</f>
        <v/>
      </c>
      <c r="L78" s="103" t="str">
        <f t="shared" ref="L78" si="354">IF(N78="","",K75-N78)</f>
        <v/>
      </c>
      <c r="M78" s="104"/>
      <c r="N78" s="107"/>
      <c r="O78" s="105"/>
      <c r="P78" s="102" t="str">
        <f t="shared" ref="P78" si="355">IF(R78="","",P75-R78)</f>
        <v/>
      </c>
      <c r="Q78" s="103" t="str">
        <f t="shared" ref="Q78" si="356">IF(S78="","",P75-S78)</f>
        <v/>
      </c>
      <c r="R78" s="104"/>
      <c r="S78" s="104"/>
      <c r="T78" s="105"/>
      <c r="U78" s="108"/>
      <c r="V78" s="109"/>
    </row>
    <row r="79" spans="1:22" ht="9" customHeight="1" x14ac:dyDescent="0.55000000000000004">
      <c r="A79" s="19"/>
      <c r="B79" s="69"/>
      <c r="C79" s="70"/>
      <c r="D79" s="69"/>
      <c r="E79" s="71"/>
      <c r="F79" s="72"/>
      <c r="G79" s="73"/>
      <c r="H79" s="74"/>
      <c r="I79" s="75"/>
      <c r="J79" s="76"/>
      <c r="K79" s="72"/>
      <c r="L79" s="73"/>
      <c r="M79" s="74"/>
      <c r="N79" s="75"/>
      <c r="O79" s="76"/>
      <c r="P79" s="72"/>
      <c r="Q79" s="73"/>
      <c r="R79" s="74"/>
      <c r="S79" s="75"/>
      <c r="T79" s="76"/>
      <c r="U79" s="77" t="str">
        <f t="shared" ref="U79" si="357">IF(OR(F82="",P82=""),"",B79/(F82-P82))</f>
        <v/>
      </c>
      <c r="V79" s="78"/>
    </row>
    <row r="80" spans="1:22" ht="9" customHeight="1" x14ac:dyDescent="0.55000000000000004">
      <c r="A80" s="79"/>
      <c r="B80" s="80"/>
      <c r="C80" s="81"/>
      <c r="D80" s="80"/>
      <c r="E80" s="82"/>
      <c r="F80" s="83" t="str">
        <f t="shared" ref="F80" si="358">IF(H82="","",F79-H80)</f>
        <v/>
      </c>
      <c r="G80" s="84" t="str">
        <f t="shared" ref="G80" si="359">IF(I82="","",F79-I80)</f>
        <v/>
      </c>
      <c r="H80" s="85" t="str">
        <f t="shared" ref="H80:I80" si="360">IF(OR($A82="集水",$A82="吸水"),0.4,"")</f>
        <v/>
      </c>
      <c r="I80" s="85" t="str">
        <f t="shared" si="360"/>
        <v/>
      </c>
      <c r="J80" s="86" t="str">
        <f t="shared" ref="J80" si="361">IF(G80="","",F80-G80)</f>
        <v/>
      </c>
      <c r="K80" s="83" t="str">
        <f t="shared" ref="K80" si="362">IF(M82="","",K79-M80)</f>
        <v/>
      </c>
      <c r="L80" s="87" t="str">
        <f t="shared" ref="L80" si="363">IF(N82="","",K79-N80)</f>
        <v/>
      </c>
      <c r="M80" s="85" t="str">
        <f t="shared" ref="M80:N80" si="364">IF(M82="","",IF(OR($A82="集水",$A82="吸水"),0.4,""))</f>
        <v/>
      </c>
      <c r="N80" s="85" t="str">
        <f t="shared" si="364"/>
        <v/>
      </c>
      <c r="O80" s="86" t="str">
        <f t="shared" ref="O80" si="365">IF(L80="","",K80-L80)</f>
        <v/>
      </c>
      <c r="P80" s="83" t="str">
        <f t="shared" ref="P80" si="366">IF(R82="","",P79-R80)</f>
        <v/>
      </c>
      <c r="Q80" s="84" t="str">
        <f t="shared" ref="Q80" si="367">IF(S82="","",P79-S80)</f>
        <v/>
      </c>
      <c r="R80" s="85" t="str">
        <f t="shared" ref="R80:S80" si="368">IF(OR($A82="集水",$A82="吸水"),0.4,"")</f>
        <v/>
      </c>
      <c r="S80" s="85" t="str">
        <f t="shared" si="368"/>
        <v/>
      </c>
      <c r="T80" s="86" t="str">
        <f t="shared" ref="T80" si="369">IF(Q80="","",P80-Q80)</f>
        <v/>
      </c>
      <c r="U80" s="88"/>
      <c r="V80" s="89"/>
    </row>
    <row r="81" spans="1:22" ht="9" customHeight="1" x14ac:dyDescent="0.55000000000000004">
      <c r="A81" s="90"/>
      <c r="B81" s="91"/>
      <c r="C81" s="92" t="str">
        <f t="shared" ref="C81" si="370">IF(B79="","",B81-B79)</f>
        <v/>
      </c>
      <c r="D81" s="91"/>
      <c r="E81" s="93" t="str">
        <f t="shared" ref="E81" si="371">IF(D79="","",D81-D79)</f>
        <v/>
      </c>
      <c r="F81" s="94"/>
      <c r="G81" s="85"/>
      <c r="H81" s="85"/>
      <c r="I81" s="95"/>
      <c r="J81" s="86"/>
      <c r="K81" s="94"/>
      <c r="L81" s="85"/>
      <c r="M81" s="85"/>
      <c r="N81" s="95"/>
      <c r="O81" s="86"/>
      <c r="P81" s="94"/>
      <c r="Q81" s="85"/>
      <c r="R81" s="85"/>
      <c r="S81" s="95"/>
      <c r="T81" s="86"/>
      <c r="U81" s="96"/>
      <c r="V81" s="97"/>
    </row>
    <row r="82" spans="1:22" ht="9" customHeight="1" x14ac:dyDescent="0.55000000000000004">
      <c r="A82" s="98"/>
      <c r="B82" s="99"/>
      <c r="C82" s="100"/>
      <c r="D82" s="99"/>
      <c r="E82" s="101"/>
      <c r="F82" s="102" t="str">
        <f t="shared" ref="F82" si="372">IF(H82="","",F79-H82)</f>
        <v/>
      </c>
      <c r="G82" s="103" t="str">
        <f t="shared" ref="G82" si="373">IF(I82="","",F79-I82)</f>
        <v/>
      </c>
      <c r="H82" s="104"/>
      <c r="I82" s="104"/>
      <c r="J82" s="105"/>
      <c r="K82" s="106" t="str">
        <f t="shared" ref="K82" si="374">IF(M82="","",K79-M82)</f>
        <v/>
      </c>
      <c r="L82" s="103" t="str">
        <f t="shared" ref="L82" si="375">IF(N82="","",K79-N82)</f>
        <v/>
      </c>
      <c r="M82" s="104"/>
      <c r="N82" s="107"/>
      <c r="O82" s="105"/>
      <c r="P82" s="102" t="str">
        <f t="shared" ref="P82" si="376">IF(R82="","",P79-R82)</f>
        <v/>
      </c>
      <c r="Q82" s="103" t="str">
        <f t="shared" ref="Q82" si="377">IF(S82="","",P79-S82)</f>
        <v/>
      </c>
      <c r="R82" s="104"/>
      <c r="S82" s="104"/>
      <c r="T82" s="105"/>
      <c r="U82" s="108"/>
      <c r="V82" s="109"/>
    </row>
    <row r="83" spans="1:22" ht="9" customHeight="1" x14ac:dyDescent="0.55000000000000004">
      <c r="A83" s="19"/>
      <c r="B83" s="69"/>
      <c r="C83" s="70"/>
      <c r="D83" s="69"/>
      <c r="E83" s="71"/>
      <c r="F83" s="72"/>
      <c r="G83" s="73"/>
      <c r="H83" s="74"/>
      <c r="I83" s="75"/>
      <c r="J83" s="76"/>
      <c r="K83" s="72"/>
      <c r="L83" s="73"/>
      <c r="M83" s="74"/>
      <c r="N83" s="75"/>
      <c r="O83" s="76"/>
      <c r="P83" s="72"/>
      <c r="Q83" s="73"/>
      <c r="R83" s="74"/>
      <c r="S83" s="75"/>
      <c r="T83" s="76"/>
      <c r="U83" s="77" t="str">
        <f t="shared" ref="U83" si="378">IF(OR(F86="",P86=""),"",B83/(F86-P86))</f>
        <v/>
      </c>
      <c r="V83" s="78"/>
    </row>
    <row r="84" spans="1:22" ht="9" customHeight="1" x14ac:dyDescent="0.55000000000000004">
      <c r="A84" s="79"/>
      <c r="B84" s="80"/>
      <c r="C84" s="81"/>
      <c r="D84" s="80"/>
      <c r="E84" s="82"/>
      <c r="F84" s="83" t="str">
        <f t="shared" ref="F84" si="379">IF(H86="","",F83-H84)</f>
        <v/>
      </c>
      <c r="G84" s="84" t="str">
        <f t="shared" ref="G84" si="380">IF(I86="","",F83-I84)</f>
        <v/>
      </c>
      <c r="H84" s="85" t="str">
        <f t="shared" ref="H84:I84" si="381">IF(OR($A86="集水",$A86="吸水"),0.4,"")</f>
        <v/>
      </c>
      <c r="I84" s="85" t="str">
        <f t="shared" si="381"/>
        <v/>
      </c>
      <c r="J84" s="86" t="str">
        <f t="shared" ref="J84" si="382">IF(G84="","",F84-G84)</f>
        <v/>
      </c>
      <c r="K84" s="83" t="str">
        <f t="shared" ref="K84" si="383">IF(M86="","",K83-M84)</f>
        <v/>
      </c>
      <c r="L84" s="87" t="str">
        <f t="shared" ref="L84" si="384">IF(N86="","",K83-N84)</f>
        <v/>
      </c>
      <c r="M84" s="85" t="str">
        <f t="shared" ref="M84:N84" si="385">IF(M86="","",IF(OR($A86="集水",$A86="吸水"),0.4,""))</f>
        <v/>
      </c>
      <c r="N84" s="85" t="str">
        <f t="shared" si="385"/>
        <v/>
      </c>
      <c r="O84" s="86" t="str">
        <f t="shared" ref="O84" si="386">IF(L84="","",K84-L84)</f>
        <v/>
      </c>
      <c r="P84" s="83" t="str">
        <f t="shared" ref="P84" si="387">IF(R86="","",P83-R84)</f>
        <v/>
      </c>
      <c r="Q84" s="84" t="str">
        <f t="shared" ref="Q84" si="388">IF(S86="","",P83-S84)</f>
        <v/>
      </c>
      <c r="R84" s="85" t="str">
        <f t="shared" ref="R84:S84" si="389">IF(OR($A86="集水",$A86="吸水"),0.4,"")</f>
        <v/>
      </c>
      <c r="S84" s="85" t="str">
        <f t="shared" si="389"/>
        <v/>
      </c>
      <c r="T84" s="86" t="str">
        <f t="shared" ref="T84" si="390">IF(Q84="","",P84-Q84)</f>
        <v/>
      </c>
      <c r="U84" s="88"/>
      <c r="V84" s="89"/>
    </row>
    <row r="85" spans="1:22" ht="9" customHeight="1" x14ac:dyDescent="0.55000000000000004">
      <c r="A85" s="90"/>
      <c r="B85" s="91"/>
      <c r="C85" s="92" t="str">
        <f t="shared" ref="C85" si="391">IF(B83="","",B85-B83)</f>
        <v/>
      </c>
      <c r="D85" s="91"/>
      <c r="E85" s="93" t="str">
        <f t="shared" ref="E85" si="392">IF(D83="","",D85-D83)</f>
        <v/>
      </c>
      <c r="F85" s="94"/>
      <c r="G85" s="85"/>
      <c r="H85" s="85"/>
      <c r="I85" s="95"/>
      <c r="J85" s="86"/>
      <c r="K85" s="94"/>
      <c r="L85" s="85"/>
      <c r="M85" s="85"/>
      <c r="N85" s="95"/>
      <c r="O85" s="86"/>
      <c r="P85" s="94"/>
      <c r="Q85" s="85"/>
      <c r="R85" s="85"/>
      <c r="S85" s="95"/>
      <c r="T85" s="86"/>
      <c r="U85" s="96"/>
      <c r="V85" s="97"/>
    </row>
    <row r="86" spans="1:22" ht="9" customHeight="1" x14ac:dyDescent="0.55000000000000004">
      <c r="A86" s="98"/>
      <c r="B86" s="99"/>
      <c r="C86" s="100"/>
      <c r="D86" s="99"/>
      <c r="E86" s="101"/>
      <c r="F86" s="102" t="str">
        <f t="shared" ref="F86" si="393">IF(H86="","",F83-H86)</f>
        <v/>
      </c>
      <c r="G86" s="103" t="str">
        <f t="shared" ref="G86" si="394">IF(I86="","",F83-I86)</f>
        <v/>
      </c>
      <c r="H86" s="104"/>
      <c r="I86" s="104"/>
      <c r="J86" s="105"/>
      <c r="K86" s="106" t="str">
        <f t="shared" ref="K86" si="395">IF(M86="","",K83-M86)</f>
        <v/>
      </c>
      <c r="L86" s="103" t="str">
        <f t="shared" ref="L86" si="396">IF(N86="","",K83-N86)</f>
        <v/>
      </c>
      <c r="M86" s="104"/>
      <c r="N86" s="107"/>
      <c r="O86" s="105"/>
      <c r="P86" s="102" t="str">
        <f t="shared" ref="P86" si="397">IF(R86="","",P83-R86)</f>
        <v/>
      </c>
      <c r="Q86" s="103" t="str">
        <f t="shared" ref="Q86" si="398">IF(S86="","",P83-S86)</f>
        <v/>
      </c>
      <c r="R86" s="104"/>
      <c r="S86" s="104"/>
      <c r="T86" s="105"/>
      <c r="U86" s="108"/>
      <c r="V86" s="109"/>
    </row>
    <row r="87" spans="1:22" ht="9" customHeight="1" x14ac:dyDescent="0.55000000000000004">
      <c r="A87" s="19"/>
      <c r="B87" s="69"/>
      <c r="C87" s="70"/>
      <c r="D87" s="69"/>
      <c r="E87" s="71"/>
      <c r="F87" s="72"/>
      <c r="G87" s="73"/>
      <c r="H87" s="74"/>
      <c r="I87" s="75"/>
      <c r="J87" s="76"/>
      <c r="K87" s="72"/>
      <c r="L87" s="73"/>
      <c r="M87" s="74"/>
      <c r="N87" s="75"/>
      <c r="O87" s="76"/>
      <c r="P87" s="72"/>
      <c r="Q87" s="73"/>
      <c r="R87" s="74"/>
      <c r="S87" s="75"/>
      <c r="T87" s="76"/>
      <c r="U87" s="77" t="str">
        <f t="shared" ref="U87" si="399">IF(OR(F90="",P90=""),"",B87/(F90-P90))</f>
        <v/>
      </c>
      <c r="V87" s="78"/>
    </row>
    <row r="88" spans="1:22" ht="9" customHeight="1" x14ac:dyDescent="0.55000000000000004">
      <c r="A88" s="79"/>
      <c r="B88" s="80"/>
      <c r="C88" s="81"/>
      <c r="D88" s="80"/>
      <c r="E88" s="82"/>
      <c r="F88" s="83" t="str">
        <f t="shared" ref="F88" si="400">IF(H90="","",F87-H88)</f>
        <v/>
      </c>
      <c r="G88" s="84" t="str">
        <f t="shared" ref="G88" si="401">IF(I90="","",F87-I88)</f>
        <v/>
      </c>
      <c r="H88" s="85" t="str">
        <f t="shared" ref="H88:I88" si="402">IF(OR($A90="集水",$A90="吸水"),0.4,"")</f>
        <v/>
      </c>
      <c r="I88" s="85" t="str">
        <f t="shared" si="402"/>
        <v/>
      </c>
      <c r="J88" s="86" t="str">
        <f t="shared" ref="J88" si="403">IF(G88="","",F88-G88)</f>
        <v/>
      </c>
      <c r="K88" s="83" t="str">
        <f t="shared" ref="K88" si="404">IF(M90="","",K87-M88)</f>
        <v/>
      </c>
      <c r="L88" s="87" t="str">
        <f t="shared" ref="L88" si="405">IF(N90="","",K87-N88)</f>
        <v/>
      </c>
      <c r="M88" s="85" t="str">
        <f t="shared" ref="M88:N88" si="406">IF(M90="","",IF(OR($A90="集水",$A90="吸水"),0.4,""))</f>
        <v/>
      </c>
      <c r="N88" s="85" t="str">
        <f t="shared" si="406"/>
        <v/>
      </c>
      <c r="O88" s="86" t="str">
        <f t="shared" ref="O88" si="407">IF(L88="","",K88-L88)</f>
        <v/>
      </c>
      <c r="P88" s="83" t="str">
        <f t="shared" ref="P88" si="408">IF(R90="","",P87-R88)</f>
        <v/>
      </c>
      <c r="Q88" s="84" t="str">
        <f t="shared" ref="Q88" si="409">IF(S90="","",P87-S88)</f>
        <v/>
      </c>
      <c r="R88" s="85" t="str">
        <f t="shared" ref="R88:S88" si="410">IF(OR($A90="集水",$A90="吸水"),0.4,"")</f>
        <v/>
      </c>
      <c r="S88" s="85" t="str">
        <f t="shared" si="410"/>
        <v/>
      </c>
      <c r="T88" s="86" t="str">
        <f t="shared" ref="T88" si="411">IF(Q88="","",P88-Q88)</f>
        <v/>
      </c>
      <c r="U88" s="88"/>
      <c r="V88" s="89"/>
    </row>
    <row r="89" spans="1:22" ht="9" customHeight="1" x14ac:dyDescent="0.55000000000000004">
      <c r="A89" s="90"/>
      <c r="B89" s="91"/>
      <c r="C89" s="92" t="str">
        <f t="shared" ref="C89" si="412">IF(B87="","",B89-B87)</f>
        <v/>
      </c>
      <c r="D89" s="91"/>
      <c r="E89" s="93" t="str">
        <f t="shared" ref="E89" si="413">IF(D87="","",D89-D87)</f>
        <v/>
      </c>
      <c r="F89" s="94"/>
      <c r="G89" s="85"/>
      <c r="H89" s="85"/>
      <c r="I89" s="95"/>
      <c r="J89" s="86"/>
      <c r="K89" s="94"/>
      <c r="L89" s="85"/>
      <c r="M89" s="85"/>
      <c r="N89" s="95"/>
      <c r="O89" s="86"/>
      <c r="P89" s="94"/>
      <c r="Q89" s="85"/>
      <c r="R89" s="85"/>
      <c r="S89" s="95"/>
      <c r="T89" s="86"/>
      <c r="U89" s="96"/>
      <c r="V89" s="97"/>
    </row>
    <row r="90" spans="1:22" ht="9" customHeight="1" x14ac:dyDescent="0.55000000000000004">
      <c r="A90" s="98"/>
      <c r="B90" s="99"/>
      <c r="C90" s="100"/>
      <c r="D90" s="99"/>
      <c r="E90" s="101"/>
      <c r="F90" s="102" t="str">
        <f t="shared" ref="F90" si="414">IF(H90="","",F87-H90)</f>
        <v/>
      </c>
      <c r="G90" s="103" t="str">
        <f t="shared" ref="G90" si="415">IF(I90="","",F87-I90)</f>
        <v/>
      </c>
      <c r="H90" s="104"/>
      <c r="I90" s="104"/>
      <c r="J90" s="105"/>
      <c r="K90" s="106" t="str">
        <f t="shared" ref="K90" si="416">IF(M90="","",K87-M90)</f>
        <v/>
      </c>
      <c r="L90" s="103" t="str">
        <f t="shared" ref="L90" si="417">IF(N90="","",K87-N90)</f>
        <v/>
      </c>
      <c r="M90" s="104"/>
      <c r="N90" s="107"/>
      <c r="O90" s="105"/>
      <c r="P90" s="102" t="str">
        <f t="shared" ref="P90" si="418">IF(R90="","",P87-R90)</f>
        <v/>
      </c>
      <c r="Q90" s="103" t="str">
        <f t="shared" ref="Q90" si="419">IF(S90="","",P87-S90)</f>
        <v/>
      </c>
      <c r="R90" s="104"/>
      <c r="S90" s="104"/>
      <c r="T90" s="105"/>
      <c r="U90" s="108"/>
      <c r="V90" s="109"/>
    </row>
    <row r="91" spans="1:22" ht="9" customHeight="1" x14ac:dyDescent="0.55000000000000004">
      <c r="A91" s="19"/>
      <c r="B91" s="69"/>
      <c r="C91" s="70"/>
      <c r="D91" s="69"/>
      <c r="E91" s="71"/>
      <c r="F91" s="72"/>
      <c r="G91" s="73"/>
      <c r="H91" s="74"/>
      <c r="I91" s="75"/>
      <c r="J91" s="76"/>
      <c r="K91" s="72"/>
      <c r="L91" s="73"/>
      <c r="M91" s="74"/>
      <c r="N91" s="75"/>
      <c r="O91" s="76"/>
      <c r="P91" s="72"/>
      <c r="Q91" s="73"/>
      <c r="R91" s="74"/>
      <c r="S91" s="75"/>
      <c r="T91" s="76"/>
      <c r="U91" s="77" t="str">
        <f t="shared" ref="U91" si="420">IF(OR(F94="",P94=""),"",B91/(F94-P94))</f>
        <v/>
      </c>
      <c r="V91" s="78"/>
    </row>
    <row r="92" spans="1:22" ht="9" customHeight="1" x14ac:dyDescent="0.55000000000000004">
      <c r="A92" s="79"/>
      <c r="B92" s="80"/>
      <c r="C92" s="81"/>
      <c r="D92" s="80"/>
      <c r="E92" s="82"/>
      <c r="F92" s="83" t="str">
        <f t="shared" ref="F92" si="421">IF(H94="","",F91-H92)</f>
        <v/>
      </c>
      <c r="G92" s="84" t="str">
        <f t="shared" ref="G92" si="422">IF(I94="","",F91-I92)</f>
        <v/>
      </c>
      <c r="H92" s="85" t="str">
        <f t="shared" ref="H92:I92" si="423">IF(OR($A94="集水",$A94="吸水"),0.4,"")</f>
        <v/>
      </c>
      <c r="I92" s="85" t="str">
        <f t="shared" si="423"/>
        <v/>
      </c>
      <c r="J92" s="86" t="str">
        <f t="shared" ref="J92" si="424">IF(G92="","",F92-G92)</f>
        <v/>
      </c>
      <c r="K92" s="83" t="str">
        <f t="shared" ref="K92" si="425">IF(M94="","",K91-M92)</f>
        <v/>
      </c>
      <c r="L92" s="87" t="str">
        <f t="shared" ref="L92" si="426">IF(N94="","",K91-N92)</f>
        <v/>
      </c>
      <c r="M92" s="85" t="str">
        <f t="shared" ref="M92:N92" si="427">IF(M94="","",IF(OR($A94="集水",$A94="吸水"),0.4,""))</f>
        <v/>
      </c>
      <c r="N92" s="85" t="str">
        <f t="shared" si="427"/>
        <v/>
      </c>
      <c r="O92" s="86" t="str">
        <f t="shared" ref="O92" si="428">IF(L92="","",K92-L92)</f>
        <v/>
      </c>
      <c r="P92" s="83" t="str">
        <f t="shared" ref="P92" si="429">IF(R94="","",P91-R92)</f>
        <v/>
      </c>
      <c r="Q92" s="84" t="str">
        <f t="shared" ref="Q92" si="430">IF(S94="","",P91-S92)</f>
        <v/>
      </c>
      <c r="R92" s="85" t="str">
        <f t="shared" ref="R92:S92" si="431">IF(OR($A94="集水",$A94="吸水"),0.4,"")</f>
        <v/>
      </c>
      <c r="S92" s="85" t="str">
        <f t="shared" si="431"/>
        <v/>
      </c>
      <c r="T92" s="86" t="str">
        <f t="shared" ref="T92" si="432">IF(Q92="","",P92-Q92)</f>
        <v/>
      </c>
      <c r="U92" s="88"/>
      <c r="V92" s="89"/>
    </row>
    <row r="93" spans="1:22" ht="9" customHeight="1" x14ac:dyDescent="0.55000000000000004">
      <c r="A93" s="90"/>
      <c r="B93" s="91"/>
      <c r="C93" s="92" t="str">
        <f t="shared" ref="C93" si="433">IF(B91="","",B93-B91)</f>
        <v/>
      </c>
      <c r="D93" s="91"/>
      <c r="E93" s="93" t="str">
        <f t="shared" ref="E93" si="434">IF(D91="","",D93-D91)</f>
        <v/>
      </c>
      <c r="F93" s="94"/>
      <c r="G93" s="85"/>
      <c r="H93" s="85"/>
      <c r="I93" s="95"/>
      <c r="J93" s="86"/>
      <c r="K93" s="94"/>
      <c r="L93" s="85"/>
      <c r="M93" s="85"/>
      <c r="N93" s="95"/>
      <c r="O93" s="86"/>
      <c r="P93" s="94"/>
      <c r="Q93" s="85"/>
      <c r="R93" s="85"/>
      <c r="S93" s="95"/>
      <c r="T93" s="86"/>
      <c r="U93" s="96"/>
      <c r="V93" s="97"/>
    </row>
    <row r="94" spans="1:22" ht="9" customHeight="1" x14ac:dyDescent="0.55000000000000004">
      <c r="A94" s="98"/>
      <c r="B94" s="99"/>
      <c r="C94" s="100"/>
      <c r="D94" s="99"/>
      <c r="E94" s="101"/>
      <c r="F94" s="102" t="str">
        <f t="shared" ref="F94" si="435">IF(H94="","",F91-H94)</f>
        <v/>
      </c>
      <c r="G94" s="103" t="str">
        <f t="shared" ref="G94" si="436">IF(I94="","",F91-I94)</f>
        <v/>
      </c>
      <c r="H94" s="104"/>
      <c r="I94" s="104"/>
      <c r="J94" s="105"/>
      <c r="K94" s="106" t="str">
        <f t="shared" ref="K94" si="437">IF(M94="","",K91-M94)</f>
        <v/>
      </c>
      <c r="L94" s="103" t="str">
        <f t="shared" ref="L94" si="438">IF(N94="","",K91-N94)</f>
        <v/>
      </c>
      <c r="M94" s="104"/>
      <c r="N94" s="107"/>
      <c r="O94" s="105"/>
      <c r="P94" s="102" t="str">
        <f t="shared" ref="P94" si="439">IF(R94="","",P91-R94)</f>
        <v/>
      </c>
      <c r="Q94" s="103" t="str">
        <f t="shared" ref="Q94" si="440">IF(S94="","",P91-S94)</f>
        <v/>
      </c>
      <c r="R94" s="104"/>
      <c r="S94" s="104"/>
      <c r="T94" s="105"/>
      <c r="U94" s="108"/>
      <c r="V94" s="109"/>
    </row>
    <row r="95" spans="1:22" ht="9" customHeight="1" x14ac:dyDescent="0.55000000000000004">
      <c r="A95" s="19"/>
      <c r="B95" s="69"/>
      <c r="C95" s="70"/>
      <c r="D95" s="69"/>
      <c r="E95" s="71"/>
      <c r="F95" s="72"/>
      <c r="G95" s="73"/>
      <c r="H95" s="74"/>
      <c r="I95" s="75"/>
      <c r="J95" s="76"/>
      <c r="K95" s="72"/>
      <c r="L95" s="73"/>
      <c r="M95" s="74"/>
      <c r="N95" s="75"/>
      <c r="O95" s="76"/>
      <c r="P95" s="72"/>
      <c r="Q95" s="73"/>
      <c r="R95" s="74"/>
      <c r="S95" s="75"/>
      <c r="T95" s="76"/>
      <c r="U95" s="77" t="str">
        <f t="shared" ref="U95" si="441">IF(OR(F98="",P98=""),"",B95/(F98-P98))</f>
        <v/>
      </c>
      <c r="V95" s="78"/>
    </row>
    <row r="96" spans="1:22" ht="9" customHeight="1" x14ac:dyDescent="0.55000000000000004">
      <c r="A96" s="79"/>
      <c r="B96" s="80"/>
      <c r="C96" s="81"/>
      <c r="D96" s="80"/>
      <c r="E96" s="82"/>
      <c r="F96" s="83" t="str">
        <f t="shared" ref="F96" si="442">IF(H98="","",F95-H96)</f>
        <v/>
      </c>
      <c r="G96" s="84" t="str">
        <f t="shared" ref="G96" si="443">IF(I98="","",F95-I96)</f>
        <v/>
      </c>
      <c r="H96" s="85" t="str">
        <f t="shared" ref="H96:I96" si="444">IF(OR($A98="集水",$A98="吸水"),0.4,"")</f>
        <v/>
      </c>
      <c r="I96" s="85" t="str">
        <f t="shared" si="444"/>
        <v/>
      </c>
      <c r="J96" s="86" t="str">
        <f t="shared" ref="J96" si="445">IF(G96="","",F96-G96)</f>
        <v/>
      </c>
      <c r="K96" s="83" t="str">
        <f t="shared" ref="K96" si="446">IF(M98="","",K95-M96)</f>
        <v/>
      </c>
      <c r="L96" s="87" t="str">
        <f t="shared" ref="L96" si="447">IF(N98="","",K95-N96)</f>
        <v/>
      </c>
      <c r="M96" s="85" t="str">
        <f t="shared" ref="M96:N96" si="448">IF(M98="","",IF(OR($A98="集水",$A98="吸水"),0.4,""))</f>
        <v/>
      </c>
      <c r="N96" s="85" t="str">
        <f t="shared" si="448"/>
        <v/>
      </c>
      <c r="O96" s="86" t="str">
        <f t="shared" ref="O96" si="449">IF(L96="","",K96-L96)</f>
        <v/>
      </c>
      <c r="P96" s="83" t="str">
        <f t="shared" ref="P96" si="450">IF(R98="","",P95-R96)</f>
        <v/>
      </c>
      <c r="Q96" s="84" t="str">
        <f t="shared" ref="Q96" si="451">IF(S98="","",P95-S96)</f>
        <v/>
      </c>
      <c r="R96" s="85" t="str">
        <f t="shared" ref="R96:S96" si="452">IF(OR($A98="集水",$A98="吸水"),0.4,"")</f>
        <v/>
      </c>
      <c r="S96" s="85" t="str">
        <f t="shared" si="452"/>
        <v/>
      </c>
      <c r="T96" s="86" t="str">
        <f t="shared" ref="T96" si="453">IF(Q96="","",P96-Q96)</f>
        <v/>
      </c>
      <c r="U96" s="88"/>
      <c r="V96" s="89"/>
    </row>
    <row r="97" spans="1:22" ht="9" customHeight="1" x14ac:dyDescent="0.55000000000000004">
      <c r="A97" s="90"/>
      <c r="B97" s="91"/>
      <c r="C97" s="92" t="str">
        <f t="shared" ref="C97" si="454">IF(B95="","",B97-B95)</f>
        <v/>
      </c>
      <c r="D97" s="91"/>
      <c r="E97" s="93" t="str">
        <f t="shared" ref="E97" si="455">IF(D95="","",D97-D95)</f>
        <v/>
      </c>
      <c r="F97" s="94"/>
      <c r="G97" s="85"/>
      <c r="H97" s="85"/>
      <c r="I97" s="95"/>
      <c r="J97" s="86"/>
      <c r="K97" s="94"/>
      <c r="L97" s="85"/>
      <c r="M97" s="85"/>
      <c r="N97" s="95"/>
      <c r="O97" s="86"/>
      <c r="P97" s="94"/>
      <c r="Q97" s="85"/>
      <c r="R97" s="85"/>
      <c r="S97" s="95"/>
      <c r="T97" s="86"/>
      <c r="U97" s="96"/>
      <c r="V97" s="97"/>
    </row>
    <row r="98" spans="1:22" ht="9" customHeight="1" x14ac:dyDescent="0.55000000000000004">
      <c r="A98" s="98"/>
      <c r="B98" s="99"/>
      <c r="C98" s="100"/>
      <c r="D98" s="99"/>
      <c r="E98" s="101"/>
      <c r="F98" s="102" t="str">
        <f t="shared" ref="F98" si="456">IF(H98="","",F95-H98)</f>
        <v/>
      </c>
      <c r="G98" s="103" t="str">
        <f t="shared" ref="G98" si="457">IF(I98="","",F95-I98)</f>
        <v/>
      </c>
      <c r="H98" s="104"/>
      <c r="I98" s="104"/>
      <c r="J98" s="105"/>
      <c r="K98" s="106" t="str">
        <f t="shared" ref="K98" si="458">IF(M98="","",K95-M98)</f>
        <v/>
      </c>
      <c r="L98" s="103" t="str">
        <f t="shared" ref="L98" si="459">IF(N98="","",K95-N98)</f>
        <v/>
      </c>
      <c r="M98" s="104"/>
      <c r="N98" s="107"/>
      <c r="O98" s="105"/>
      <c r="P98" s="102" t="str">
        <f t="shared" ref="P98" si="460">IF(R98="","",P95-R98)</f>
        <v/>
      </c>
      <c r="Q98" s="103" t="str">
        <f t="shared" ref="Q98" si="461">IF(S98="","",P95-S98)</f>
        <v/>
      </c>
      <c r="R98" s="104"/>
      <c r="S98" s="104"/>
      <c r="T98" s="105"/>
      <c r="U98" s="108"/>
      <c r="V98" s="109"/>
    </row>
    <row r="99" spans="1:22" ht="9" customHeight="1" x14ac:dyDescent="0.55000000000000004">
      <c r="A99" s="19"/>
      <c r="B99" s="69"/>
      <c r="C99" s="70"/>
      <c r="D99" s="69"/>
      <c r="E99" s="71"/>
      <c r="F99" s="72"/>
      <c r="G99" s="73"/>
      <c r="H99" s="74"/>
      <c r="I99" s="75"/>
      <c r="J99" s="76"/>
      <c r="K99" s="72"/>
      <c r="L99" s="73"/>
      <c r="M99" s="74"/>
      <c r="N99" s="75"/>
      <c r="O99" s="76"/>
      <c r="P99" s="72"/>
      <c r="Q99" s="73"/>
      <c r="R99" s="74"/>
      <c r="S99" s="75"/>
      <c r="T99" s="76"/>
      <c r="U99" s="77" t="str">
        <f t="shared" ref="U99" si="462">IF(OR(F102="",P102=""),"",B99/(F102-P102))</f>
        <v/>
      </c>
      <c r="V99" s="78"/>
    </row>
    <row r="100" spans="1:22" ht="9" customHeight="1" x14ac:dyDescent="0.55000000000000004">
      <c r="A100" s="79"/>
      <c r="B100" s="80"/>
      <c r="C100" s="81"/>
      <c r="D100" s="80"/>
      <c r="E100" s="82"/>
      <c r="F100" s="83" t="str">
        <f t="shared" ref="F100" si="463">IF(H102="","",F99-H100)</f>
        <v/>
      </c>
      <c r="G100" s="84" t="str">
        <f t="shared" ref="G100" si="464">IF(I102="","",F99-I100)</f>
        <v/>
      </c>
      <c r="H100" s="85" t="str">
        <f t="shared" ref="H100:I100" si="465">IF(OR($A102="集水",$A102="吸水"),0.4,"")</f>
        <v/>
      </c>
      <c r="I100" s="85" t="str">
        <f t="shared" si="465"/>
        <v/>
      </c>
      <c r="J100" s="86" t="str">
        <f t="shared" ref="J100" si="466">IF(G100="","",F100-G100)</f>
        <v/>
      </c>
      <c r="K100" s="83" t="str">
        <f t="shared" ref="K100" si="467">IF(M102="","",K99-M100)</f>
        <v/>
      </c>
      <c r="L100" s="87" t="str">
        <f t="shared" ref="L100" si="468">IF(N102="","",K99-N100)</f>
        <v/>
      </c>
      <c r="M100" s="85" t="str">
        <f t="shared" ref="M100:N100" si="469">IF(M102="","",IF(OR($A102="集水",$A102="吸水"),0.4,""))</f>
        <v/>
      </c>
      <c r="N100" s="85" t="str">
        <f t="shared" si="469"/>
        <v/>
      </c>
      <c r="O100" s="86" t="str">
        <f t="shared" ref="O100" si="470">IF(L100="","",K100-L100)</f>
        <v/>
      </c>
      <c r="P100" s="83" t="str">
        <f t="shared" ref="P100" si="471">IF(R102="","",P99-R100)</f>
        <v/>
      </c>
      <c r="Q100" s="84" t="str">
        <f t="shared" ref="Q100" si="472">IF(S102="","",P99-S100)</f>
        <v/>
      </c>
      <c r="R100" s="85" t="str">
        <f t="shared" ref="R100:S100" si="473">IF(OR($A102="集水",$A102="吸水"),0.4,"")</f>
        <v/>
      </c>
      <c r="S100" s="85" t="str">
        <f t="shared" si="473"/>
        <v/>
      </c>
      <c r="T100" s="86" t="str">
        <f t="shared" ref="T100" si="474">IF(Q100="","",P100-Q100)</f>
        <v/>
      </c>
      <c r="U100" s="88"/>
      <c r="V100" s="89"/>
    </row>
    <row r="101" spans="1:22" ht="9" customHeight="1" x14ac:dyDescent="0.55000000000000004">
      <c r="A101" s="90"/>
      <c r="B101" s="91"/>
      <c r="C101" s="92" t="str">
        <f t="shared" ref="C101" si="475">IF(B99="","",B101-B99)</f>
        <v/>
      </c>
      <c r="D101" s="91"/>
      <c r="E101" s="93" t="str">
        <f t="shared" ref="E101" si="476">IF(D99="","",D101-D99)</f>
        <v/>
      </c>
      <c r="F101" s="94"/>
      <c r="G101" s="85"/>
      <c r="H101" s="85"/>
      <c r="I101" s="95"/>
      <c r="J101" s="86"/>
      <c r="K101" s="94"/>
      <c r="L101" s="85"/>
      <c r="M101" s="85"/>
      <c r="N101" s="95"/>
      <c r="O101" s="86"/>
      <c r="P101" s="94"/>
      <c r="Q101" s="85"/>
      <c r="R101" s="85"/>
      <c r="S101" s="95"/>
      <c r="T101" s="86"/>
      <c r="U101" s="96"/>
      <c r="V101" s="97"/>
    </row>
    <row r="102" spans="1:22" ht="9" customHeight="1" x14ac:dyDescent="0.55000000000000004">
      <c r="A102" s="98"/>
      <c r="B102" s="99"/>
      <c r="C102" s="100"/>
      <c r="D102" s="99"/>
      <c r="E102" s="101"/>
      <c r="F102" s="102" t="str">
        <f t="shared" ref="F102" si="477">IF(H102="","",F99-H102)</f>
        <v/>
      </c>
      <c r="G102" s="103" t="str">
        <f t="shared" ref="G102" si="478">IF(I102="","",F99-I102)</f>
        <v/>
      </c>
      <c r="H102" s="104"/>
      <c r="I102" s="104"/>
      <c r="J102" s="105"/>
      <c r="K102" s="106" t="str">
        <f t="shared" ref="K102" si="479">IF(M102="","",K99-M102)</f>
        <v/>
      </c>
      <c r="L102" s="103" t="str">
        <f t="shared" ref="L102" si="480">IF(N102="","",K99-N102)</f>
        <v/>
      </c>
      <c r="M102" s="104"/>
      <c r="N102" s="107"/>
      <c r="O102" s="105"/>
      <c r="P102" s="102" t="str">
        <f t="shared" ref="P102" si="481">IF(R102="","",P99-R102)</f>
        <v/>
      </c>
      <c r="Q102" s="103" t="str">
        <f t="shared" ref="Q102" si="482">IF(S102="","",P99-S102)</f>
        <v/>
      </c>
      <c r="R102" s="104"/>
      <c r="S102" s="104"/>
      <c r="T102" s="105"/>
      <c r="U102" s="108"/>
      <c r="V102" s="109"/>
    </row>
    <row r="103" spans="1:22" ht="9" customHeight="1" x14ac:dyDescent="0.55000000000000004">
      <c r="A103" s="19"/>
      <c r="B103" s="69"/>
      <c r="C103" s="70"/>
      <c r="D103" s="69"/>
      <c r="E103" s="71"/>
      <c r="F103" s="72"/>
      <c r="G103" s="73"/>
      <c r="H103" s="74"/>
      <c r="I103" s="75"/>
      <c r="J103" s="76"/>
      <c r="K103" s="72"/>
      <c r="L103" s="73"/>
      <c r="M103" s="74"/>
      <c r="N103" s="75"/>
      <c r="O103" s="76"/>
      <c r="P103" s="72"/>
      <c r="Q103" s="73"/>
      <c r="R103" s="74"/>
      <c r="S103" s="75"/>
      <c r="T103" s="76"/>
      <c r="U103" s="77" t="str">
        <f t="shared" ref="U103" si="483">IF(OR(F106="",P106=""),"",B103/(F106-P106))</f>
        <v/>
      </c>
      <c r="V103" s="78"/>
    </row>
    <row r="104" spans="1:22" ht="9" customHeight="1" x14ac:dyDescent="0.55000000000000004">
      <c r="A104" s="79"/>
      <c r="B104" s="80"/>
      <c r="C104" s="81"/>
      <c r="D104" s="80"/>
      <c r="E104" s="82"/>
      <c r="F104" s="83" t="str">
        <f t="shared" ref="F104" si="484">IF(H106="","",F103-H104)</f>
        <v/>
      </c>
      <c r="G104" s="84" t="str">
        <f t="shared" ref="G104" si="485">IF(I106="","",F103-I104)</f>
        <v/>
      </c>
      <c r="H104" s="85" t="str">
        <f t="shared" ref="H104:I104" si="486">IF(OR($A106="集水",$A106="吸水"),0.4,"")</f>
        <v/>
      </c>
      <c r="I104" s="85" t="str">
        <f t="shared" si="486"/>
        <v/>
      </c>
      <c r="J104" s="86" t="str">
        <f t="shared" ref="J104" si="487">IF(G104="","",F104-G104)</f>
        <v/>
      </c>
      <c r="K104" s="83" t="str">
        <f t="shared" ref="K104" si="488">IF(M106="","",K103-M104)</f>
        <v/>
      </c>
      <c r="L104" s="87" t="str">
        <f t="shared" ref="L104" si="489">IF(N106="","",K103-N104)</f>
        <v/>
      </c>
      <c r="M104" s="85" t="str">
        <f t="shared" ref="M104:N104" si="490">IF(M106="","",IF(OR($A106="集水",$A106="吸水"),0.4,""))</f>
        <v/>
      </c>
      <c r="N104" s="85" t="str">
        <f t="shared" si="490"/>
        <v/>
      </c>
      <c r="O104" s="86" t="str">
        <f t="shared" ref="O104" si="491">IF(L104="","",K104-L104)</f>
        <v/>
      </c>
      <c r="P104" s="83" t="str">
        <f t="shared" ref="P104" si="492">IF(R106="","",P103-R104)</f>
        <v/>
      </c>
      <c r="Q104" s="84" t="str">
        <f t="shared" ref="Q104" si="493">IF(S106="","",P103-S104)</f>
        <v/>
      </c>
      <c r="R104" s="85" t="str">
        <f t="shared" ref="R104:S104" si="494">IF(OR($A106="集水",$A106="吸水"),0.4,"")</f>
        <v/>
      </c>
      <c r="S104" s="85" t="str">
        <f t="shared" si="494"/>
        <v/>
      </c>
      <c r="T104" s="86" t="str">
        <f t="shared" ref="T104" si="495">IF(Q104="","",P104-Q104)</f>
        <v/>
      </c>
      <c r="U104" s="88"/>
      <c r="V104" s="89"/>
    </row>
    <row r="105" spans="1:22" ht="9" customHeight="1" x14ac:dyDescent="0.55000000000000004">
      <c r="A105" s="90"/>
      <c r="B105" s="91"/>
      <c r="C105" s="92" t="str">
        <f t="shared" ref="C105" si="496">IF(B103="","",B105-B103)</f>
        <v/>
      </c>
      <c r="D105" s="91"/>
      <c r="E105" s="93" t="str">
        <f t="shared" ref="E105" si="497">IF(D103="","",D105-D103)</f>
        <v/>
      </c>
      <c r="F105" s="94"/>
      <c r="G105" s="85"/>
      <c r="H105" s="85"/>
      <c r="I105" s="95"/>
      <c r="J105" s="86"/>
      <c r="K105" s="94"/>
      <c r="L105" s="85"/>
      <c r="M105" s="85"/>
      <c r="N105" s="95"/>
      <c r="O105" s="86"/>
      <c r="P105" s="94"/>
      <c r="Q105" s="85"/>
      <c r="R105" s="85"/>
      <c r="S105" s="95"/>
      <c r="T105" s="86"/>
      <c r="U105" s="96"/>
      <c r="V105" s="97"/>
    </row>
    <row r="106" spans="1:22" ht="9" customHeight="1" x14ac:dyDescent="0.55000000000000004">
      <c r="A106" s="98"/>
      <c r="B106" s="99"/>
      <c r="C106" s="100"/>
      <c r="D106" s="99"/>
      <c r="E106" s="101"/>
      <c r="F106" s="102" t="str">
        <f t="shared" ref="F106" si="498">IF(H106="","",F103-H106)</f>
        <v/>
      </c>
      <c r="G106" s="103" t="str">
        <f t="shared" ref="G106" si="499">IF(I106="","",F103-I106)</f>
        <v/>
      </c>
      <c r="H106" s="104"/>
      <c r="I106" s="104"/>
      <c r="J106" s="105"/>
      <c r="K106" s="106" t="str">
        <f t="shared" ref="K106" si="500">IF(M106="","",K103-M106)</f>
        <v/>
      </c>
      <c r="L106" s="103" t="str">
        <f t="shared" ref="L106" si="501">IF(N106="","",K103-N106)</f>
        <v/>
      </c>
      <c r="M106" s="104"/>
      <c r="N106" s="107"/>
      <c r="O106" s="105"/>
      <c r="P106" s="102" t="str">
        <f t="shared" ref="P106" si="502">IF(R106="","",P103-R106)</f>
        <v/>
      </c>
      <c r="Q106" s="103" t="str">
        <f t="shared" ref="Q106" si="503">IF(S106="","",P103-S106)</f>
        <v/>
      </c>
      <c r="R106" s="104"/>
      <c r="S106" s="104"/>
      <c r="T106" s="105"/>
      <c r="U106" s="108"/>
      <c r="V106" s="109"/>
    </row>
    <row r="107" spans="1:22" ht="9" customHeight="1" x14ac:dyDescent="0.55000000000000004">
      <c r="A107" s="19"/>
      <c r="B107" s="69"/>
      <c r="C107" s="70"/>
      <c r="D107" s="69"/>
      <c r="E107" s="71"/>
      <c r="F107" s="72"/>
      <c r="G107" s="73"/>
      <c r="H107" s="74"/>
      <c r="I107" s="75"/>
      <c r="J107" s="76"/>
      <c r="K107" s="72"/>
      <c r="L107" s="73"/>
      <c r="M107" s="74"/>
      <c r="N107" s="75"/>
      <c r="O107" s="76"/>
      <c r="P107" s="72"/>
      <c r="Q107" s="73"/>
      <c r="R107" s="74"/>
      <c r="S107" s="75"/>
      <c r="T107" s="76"/>
      <c r="U107" s="77" t="str">
        <f t="shared" ref="U107" si="504">IF(OR(F110="",P110=""),"",B107/(F110-P110))</f>
        <v/>
      </c>
      <c r="V107" s="78"/>
    </row>
    <row r="108" spans="1:22" ht="9" customHeight="1" x14ac:dyDescent="0.55000000000000004">
      <c r="A108" s="79"/>
      <c r="B108" s="80"/>
      <c r="C108" s="81"/>
      <c r="D108" s="80"/>
      <c r="E108" s="82"/>
      <c r="F108" s="83" t="str">
        <f t="shared" ref="F108" si="505">IF(H110="","",F107-H108)</f>
        <v/>
      </c>
      <c r="G108" s="84" t="str">
        <f t="shared" ref="G108" si="506">IF(I110="","",F107-I108)</f>
        <v/>
      </c>
      <c r="H108" s="85" t="str">
        <f t="shared" ref="H108:I108" si="507">IF(OR($A110="集水",$A110="吸水"),0.4,"")</f>
        <v/>
      </c>
      <c r="I108" s="85" t="str">
        <f t="shared" si="507"/>
        <v/>
      </c>
      <c r="J108" s="86" t="str">
        <f t="shared" ref="J108" si="508">IF(G108="","",F108-G108)</f>
        <v/>
      </c>
      <c r="K108" s="83" t="str">
        <f t="shared" ref="K108" si="509">IF(M110="","",K107-M108)</f>
        <v/>
      </c>
      <c r="L108" s="87" t="str">
        <f t="shared" ref="L108" si="510">IF(N110="","",K107-N108)</f>
        <v/>
      </c>
      <c r="M108" s="85" t="str">
        <f t="shared" ref="M108:N108" si="511">IF(M110="","",IF(OR($A110="集水",$A110="吸水"),0.4,""))</f>
        <v/>
      </c>
      <c r="N108" s="85" t="str">
        <f t="shared" si="511"/>
        <v/>
      </c>
      <c r="O108" s="86" t="str">
        <f t="shared" ref="O108" si="512">IF(L108="","",K108-L108)</f>
        <v/>
      </c>
      <c r="P108" s="83" t="str">
        <f t="shared" ref="P108" si="513">IF(R110="","",P107-R108)</f>
        <v/>
      </c>
      <c r="Q108" s="84" t="str">
        <f t="shared" ref="Q108" si="514">IF(S110="","",P107-S108)</f>
        <v/>
      </c>
      <c r="R108" s="85" t="str">
        <f t="shared" ref="R108:S108" si="515">IF(OR($A110="集水",$A110="吸水"),0.4,"")</f>
        <v/>
      </c>
      <c r="S108" s="85" t="str">
        <f t="shared" si="515"/>
        <v/>
      </c>
      <c r="T108" s="86" t="str">
        <f t="shared" ref="T108" si="516">IF(Q108="","",P108-Q108)</f>
        <v/>
      </c>
      <c r="U108" s="88"/>
      <c r="V108" s="89"/>
    </row>
    <row r="109" spans="1:22" ht="9" customHeight="1" x14ac:dyDescent="0.55000000000000004">
      <c r="A109" s="90"/>
      <c r="B109" s="91"/>
      <c r="C109" s="92" t="str">
        <f t="shared" ref="C109" si="517">IF(B107="","",B109-B107)</f>
        <v/>
      </c>
      <c r="D109" s="91"/>
      <c r="E109" s="93" t="str">
        <f t="shared" ref="E109" si="518">IF(D107="","",D109-D107)</f>
        <v/>
      </c>
      <c r="F109" s="94"/>
      <c r="G109" s="85"/>
      <c r="H109" s="85"/>
      <c r="I109" s="95"/>
      <c r="J109" s="86"/>
      <c r="K109" s="94"/>
      <c r="L109" s="85"/>
      <c r="M109" s="85"/>
      <c r="N109" s="95"/>
      <c r="O109" s="86"/>
      <c r="P109" s="94"/>
      <c r="Q109" s="85"/>
      <c r="R109" s="85"/>
      <c r="S109" s="95"/>
      <c r="T109" s="86"/>
      <c r="U109" s="96"/>
      <c r="V109" s="97"/>
    </row>
    <row r="110" spans="1:22" ht="9" customHeight="1" x14ac:dyDescent="0.55000000000000004">
      <c r="A110" s="98"/>
      <c r="B110" s="99"/>
      <c r="C110" s="100"/>
      <c r="D110" s="99"/>
      <c r="E110" s="101"/>
      <c r="F110" s="102" t="str">
        <f t="shared" ref="F110" si="519">IF(H110="","",F107-H110)</f>
        <v/>
      </c>
      <c r="G110" s="103" t="str">
        <f t="shared" ref="G110" si="520">IF(I110="","",F107-I110)</f>
        <v/>
      </c>
      <c r="H110" s="104"/>
      <c r="I110" s="104"/>
      <c r="J110" s="105"/>
      <c r="K110" s="106" t="str">
        <f t="shared" ref="K110" si="521">IF(M110="","",K107-M110)</f>
        <v/>
      </c>
      <c r="L110" s="103" t="str">
        <f t="shared" ref="L110" si="522">IF(N110="","",K107-N110)</f>
        <v/>
      </c>
      <c r="M110" s="104"/>
      <c r="N110" s="107"/>
      <c r="O110" s="105"/>
      <c r="P110" s="102" t="str">
        <f t="shared" ref="P110" si="523">IF(R110="","",P107-R110)</f>
        <v/>
      </c>
      <c r="Q110" s="103" t="str">
        <f t="shared" ref="Q110" si="524">IF(S110="","",P107-S110)</f>
        <v/>
      </c>
      <c r="R110" s="104"/>
      <c r="S110" s="104"/>
      <c r="T110" s="105"/>
      <c r="U110" s="108"/>
      <c r="V110" s="109"/>
    </row>
    <row r="111" spans="1:22" ht="9" customHeight="1" x14ac:dyDescent="0.55000000000000004">
      <c r="A111" s="19"/>
      <c r="B111" s="69"/>
      <c r="C111" s="70"/>
      <c r="D111" s="69"/>
      <c r="E111" s="71"/>
      <c r="F111" s="72"/>
      <c r="G111" s="73"/>
      <c r="H111" s="74"/>
      <c r="I111" s="75"/>
      <c r="J111" s="76"/>
      <c r="K111" s="72"/>
      <c r="L111" s="73"/>
      <c r="M111" s="74"/>
      <c r="N111" s="75"/>
      <c r="O111" s="76"/>
      <c r="P111" s="72"/>
      <c r="Q111" s="73"/>
      <c r="R111" s="74"/>
      <c r="S111" s="75"/>
      <c r="T111" s="76"/>
      <c r="U111" s="77" t="str">
        <f t="shared" ref="U111" si="525">IF(OR(F114="",P114=""),"",B111/(F114-P114))</f>
        <v/>
      </c>
      <c r="V111" s="78"/>
    </row>
    <row r="112" spans="1:22" ht="9" customHeight="1" x14ac:dyDescent="0.55000000000000004">
      <c r="A112" s="79"/>
      <c r="B112" s="80"/>
      <c r="C112" s="81"/>
      <c r="D112" s="80"/>
      <c r="E112" s="82"/>
      <c r="F112" s="83" t="str">
        <f t="shared" ref="F112" si="526">IF(H114="","",F111-H112)</f>
        <v/>
      </c>
      <c r="G112" s="84" t="str">
        <f t="shared" ref="G112" si="527">IF(I114="","",F111-I112)</f>
        <v/>
      </c>
      <c r="H112" s="85" t="str">
        <f t="shared" ref="H112:I112" si="528">IF(OR($A114="集水",$A114="吸水"),0.4,"")</f>
        <v/>
      </c>
      <c r="I112" s="85" t="str">
        <f t="shared" si="528"/>
        <v/>
      </c>
      <c r="J112" s="86" t="str">
        <f t="shared" ref="J112" si="529">IF(G112="","",F112-G112)</f>
        <v/>
      </c>
      <c r="K112" s="83" t="str">
        <f t="shared" ref="K112" si="530">IF(M114="","",K111-M112)</f>
        <v/>
      </c>
      <c r="L112" s="87" t="str">
        <f t="shared" ref="L112" si="531">IF(N114="","",K111-N112)</f>
        <v/>
      </c>
      <c r="M112" s="85" t="str">
        <f t="shared" ref="M112:N112" si="532">IF(M114="","",IF(OR($A114="集水",$A114="吸水"),0.4,""))</f>
        <v/>
      </c>
      <c r="N112" s="85" t="str">
        <f t="shared" si="532"/>
        <v/>
      </c>
      <c r="O112" s="86" t="str">
        <f t="shared" ref="O112" si="533">IF(L112="","",K112-L112)</f>
        <v/>
      </c>
      <c r="P112" s="83" t="str">
        <f t="shared" ref="P112" si="534">IF(R114="","",P111-R112)</f>
        <v/>
      </c>
      <c r="Q112" s="84" t="str">
        <f t="shared" ref="Q112" si="535">IF(S114="","",P111-S112)</f>
        <v/>
      </c>
      <c r="R112" s="85" t="str">
        <f t="shared" ref="R112:S112" si="536">IF(OR($A114="集水",$A114="吸水"),0.4,"")</f>
        <v/>
      </c>
      <c r="S112" s="85" t="str">
        <f t="shared" si="536"/>
        <v/>
      </c>
      <c r="T112" s="86" t="str">
        <f t="shared" ref="T112" si="537">IF(Q112="","",P112-Q112)</f>
        <v/>
      </c>
      <c r="U112" s="88"/>
      <c r="V112" s="89"/>
    </row>
    <row r="113" spans="1:22" ht="9" customHeight="1" x14ac:dyDescent="0.55000000000000004">
      <c r="A113" s="90"/>
      <c r="B113" s="91"/>
      <c r="C113" s="92" t="str">
        <f t="shared" ref="C113" si="538">IF(B111="","",B113-B111)</f>
        <v/>
      </c>
      <c r="D113" s="91"/>
      <c r="E113" s="93" t="str">
        <f t="shared" ref="E113" si="539">IF(D111="","",D113-D111)</f>
        <v/>
      </c>
      <c r="F113" s="94"/>
      <c r="G113" s="85"/>
      <c r="H113" s="85"/>
      <c r="I113" s="95"/>
      <c r="J113" s="86"/>
      <c r="K113" s="94"/>
      <c r="L113" s="85"/>
      <c r="M113" s="85"/>
      <c r="N113" s="95"/>
      <c r="O113" s="86"/>
      <c r="P113" s="94"/>
      <c r="Q113" s="85"/>
      <c r="R113" s="85"/>
      <c r="S113" s="95"/>
      <c r="T113" s="86"/>
      <c r="U113" s="96"/>
      <c r="V113" s="97"/>
    </row>
    <row r="114" spans="1:22" ht="9" customHeight="1" x14ac:dyDescent="0.55000000000000004">
      <c r="A114" s="98"/>
      <c r="B114" s="99"/>
      <c r="C114" s="100"/>
      <c r="D114" s="99"/>
      <c r="E114" s="101"/>
      <c r="F114" s="102" t="str">
        <f t="shared" ref="F114" si="540">IF(H114="","",F111-H114)</f>
        <v/>
      </c>
      <c r="G114" s="103" t="str">
        <f t="shared" ref="G114" si="541">IF(I114="","",F111-I114)</f>
        <v/>
      </c>
      <c r="H114" s="104"/>
      <c r="I114" s="104"/>
      <c r="J114" s="105"/>
      <c r="K114" s="106" t="str">
        <f t="shared" ref="K114" si="542">IF(M114="","",K111-M114)</f>
        <v/>
      </c>
      <c r="L114" s="103" t="str">
        <f t="shared" ref="L114" si="543">IF(N114="","",K111-N114)</f>
        <v/>
      </c>
      <c r="M114" s="104"/>
      <c r="N114" s="107"/>
      <c r="O114" s="105"/>
      <c r="P114" s="102" t="str">
        <f t="shared" ref="P114" si="544">IF(R114="","",P111-R114)</f>
        <v/>
      </c>
      <c r="Q114" s="103" t="str">
        <f t="shared" ref="Q114" si="545">IF(S114="","",P111-S114)</f>
        <v/>
      </c>
      <c r="R114" s="104"/>
      <c r="S114" s="104"/>
      <c r="T114" s="105"/>
      <c r="U114" s="108"/>
      <c r="V114" s="109"/>
    </row>
    <row r="115" spans="1:22" ht="9" customHeight="1" x14ac:dyDescent="0.55000000000000004">
      <c r="A115" s="19"/>
      <c r="B115" s="69"/>
      <c r="C115" s="70"/>
      <c r="D115" s="69"/>
      <c r="E115" s="71"/>
      <c r="F115" s="72"/>
      <c r="G115" s="73"/>
      <c r="H115" s="74"/>
      <c r="I115" s="75"/>
      <c r="J115" s="76"/>
      <c r="K115" s="72"/>
      <c r="L115" s="73"/>
      <c r="M115" s="74"/>
      <c r="N115" s="75"/>
      <c r="O115" s="76"/>
      <c r="P115" s="72"/>
      <c r="Q115" s="73"/>
      <c r="R115" s="74"/>
      <c r="S115" s="75"/>
      <c r="T115" s="76"/>
      <c r="U115" s="77" t="str">
        <f t="shared" ref="U115" si="546">IF(OR(F118="",P118=""),"",B115/(F118-P118))</f>
        <v/>
      </c>
      <c r="V115" s="78"/>
    </row>
    <row r="116" spans="1:22" ht="9" customHeight="1" x14ac:dyDescent="0.55000000000000004">
      <c r="A116" s="79"/>
      <c r="B116" s="80"/>
      <c r="C116" s="81"/>
      <c r="D116" s="80"/>
      <c r="E116" s="82"/>
      <c r="F116" s="83" t="str">
        <f t="shared" ref="F116" si="547">IF(H118="","",F115-H116)</f>
        <v/>
      </c>
      <c r="G116" s="84" t="str">
        <f t="shared" ref="G116" si="548">IF(I118="","",F115-I116)</f>
        <v/>
      </c>
      <c r="H116" s="85" t="str">
        <f t="shared" ref="H116:I116" si="549">IF(OR($A118="集水",$A118="吸水"),0.4,"")</f>
        <v/>
      </c>
      <c r="I116" s="85" t="str">
        <f t="shared" si="549"/>
        <v/>
      </c>
      <c r="J116" s="86" t="str">
        <f t="shared" ref="J116" si="550">IF(G116="","",F116-G116)</f>
        <v/>
      </c>
      <c r="K116" s="83" t="str">
        <f t="shared" ref="K116" si="551">IF(M118="","",K115-M116)</f>
        <v/>
      </c>
      <c r="L116" s="87" t="str">
        <f t="shared" ref="L116" si="552">IF(N118="","",K115-N116)</f>
        <v/>
      </c>
      <c r="M116" s="85" t="str">
        <f t="shared" ref="M116:N116" si="553">IF(M118="","",IF(OR($A118="集水",$A118="吸水"),0.4,""))</f>
        <v/>
      </c>
      <c r="N116" s="85" t="str">
        <f t="shared" si="553"/>
        <v/>
      </c>
      <c r="O116" s="86" t="str">
        <f t="shared" ref="O116" si="554">IF(L116="","",K116-L116)</f>
        <v/>
      </c>
      <c r="P116" s="83" t="str">
        <f t="shared" ref="P116" si="555">IF(R118="","",P115-R116)</f>
        <v/>
      </c>
      <c r="Q116" s="84" t="str">
        <f t="shared" ref="Q116" si="556">IF(S118="","",P115-S116)</f>
        <v/>
      </c>
      <c r="R116" s="85" t="str">
        <f t="shared" ref="R116:S116" si="557">IF(OR($A118="集水",$A118="吸水"),0.4,"")</f>
        <v/>
      </c>
      <c r="S116" s="85" t="str">
        <f t="shared" si="557"/>
        <v/>
      </c>
      <c r="T116" s="86" t="str">
        <f t="shared" ref="T116" si="558">IF(Q116="","",P116-Q116)</f>
        <v/>
      </c>
      <c r="U116" s="88"/>
      <c r="V116" s="89"/>
    </row>
    <row r="117" spans="1:22" ht="9" customHeight="1" x14ac:dyDescent="0.55000000000000004">
      <c r="A117" s="90"/>
      <c r="B117" s="91"/>
      <c r="C117" s="92" t="str">
        <f t="shared" ref="C117" si="559">IF(B115="","",B117-B115)</f>
        <v/>
      </c>
      <c r="D117" s="91"/>
      <c r="E117" s="93" t="str">
        <f t="shared" ref="E117" si="560">IF(D115="","",D117-D115)</f>
        <v/>
      </c>
      <c r="F117" s="94"/>
      <c r="G117" s="85"/>
      <c r="H117" s="85"/>
      <c r="I117" s="95"/>
      <c r="J117" s="86"/>
      <c r="K117" s="94"/>
      <c r="L117" s="85"/>
      <c r="M117" s="85"/>
      <c r="N117" s="95"/>
      <c r="O117" s="86"/>
      <c r="P117" s="94"/>
      <c r="Q117" s="85"/>
      <c r="R117" s="85"/>
      <c r="S117" s="95"/>
      <c r="T117" s="86"/>
      <c r="U117" s="96"/>
      <c r="V117" s="97"/>
    </row>
    <row r="118" spans="1:22" ht="9" customHeight="1" x14ac:dyDescent="0.55000000000000004">
      <c r="A118" s="98"/>
      <c r="B118" s="99"/>
      <c r="C118" s="100"/>
      <c r="D118" s="99"/>
      <c r="E118" s="101"/>
      <c r="F118" s="102" t="str">
        <f t="shared" ref="F118" si="561">IF(H118="","",F115-H118)</f>
        <v/>
      </c>
      <c r="G118" s="103" t="str">
        <f t="shared" ref="G118" si="562">IF(I118="","",F115-I118)</f>
        <v/>
      </c>
      <c r="H118" s="104"/>
      <c r="I118" s="104"/>
      <c r="J118" s="105"/>
      <c r="K118" s="106" t="str">
        <f t="shared" ref="K118" si="563">IF(M118="","",K115-M118)</f>
        <v/>
      </c>
      <c r="L118" s="103" t="str">
        <f t="shared" ref="L118" si="564">IF(N118="","",K115-N118)</f>
        <v/>
      </c>
      <c r="M118" s="104"/>
      <c r="N118" s="107"/>
      <c r="O118" s="105"/>
      <c r="P118" s="102" t="str">
        <f t="shared" ref="P118" si="565">IF(R118="","",P115-R118)</f>
        <v/>
      </c>
      <c r="Q118" s="103" t="str">
        <f t="shared" ref="Q118" si="566">IF(S118="","",P115-S118)</f>
        <v/>
      </c>
      <c r="R118" s="104"/>
      <c r="S118" s="104"/>
      <c r="T118" s="105"/>
      <c r="U118" s="108"/>
      <c r="V118" s="109"/>
    </row>
    <row r="119" spans="1:22" ht="9" customHeight="1" x14ac:dyDescent="0.55000000000000004">
      <c r="A119" s="19"/>
      <c r="B119" s="69"/>
      <c r="C119" s="70"/>
      <c r="D119" s="69"/>
      <c r="E119" s="71"/>
      <c r="F119" s="72"/>
      <c r="G119" s="73"/>
      <c r="H119" s="74"/>
      <c r="I119" s="75"/>
      <c r="J119" s="76"/>
      <c r="K119" s="72"/>
      <c r="L119" s="73"/>
      <c r="M119" s="74"/>
      <c r="N119" s="75"/>
      <c r="O119" s="76"/>
      <c r="P119" s="72"/>
      <c r="Q119" s="73"/>
      <c r="R119" s="74"/>
      <c r="S119" s="75"/>
      <c r="T119" s="76"/>
      <c r="U119" s="77" t="str">
        <f t="shared" ref="U119" si="567">IF(OR(F122="",P122=""),"",B119/(F122-P122))</f>
        <v/>
      </c>
      <c r="V119" s="78"/>
    </row>
    <row r="120" spans="1:22" ht="9" customHeight="1" x14ac:dyDescent="0.55000000000000004">
      <c r="A120" s="79"/>
      <c r="B120" s="80"/>
      <c r="C120" s="81"/>
      <c r="D120" s="80"/>
      <c r="E120" s="82"/>
      <c r="F120" s="83" t="str">
        <f t="shared" ref="F120" si="568">IF(H122="","",F119-H120)</f>
        <v/>
      </c>
      <c r="G120" s="84" t="str">
        <f t="shared" ref="G120" si="569">IF(I122="","",F119-I120)</f>
        <v/>
      </c>
      <c r="H120" s="85" t="str">
        <f t="shared" ref="H120:I120" si="570">IF(OR($A122="集水",$A122="吸水"),0.4,"")</f>
        <v/>
      </c>
      <c r="I120" s="85" t="str">
        <f t="shared" si="570"/>
        <v/>
      </c>
      <c r="J120" s="86" t="str">
        <f t="shared" ref="J120" si="571">IF(G120="","",F120-G120)</f>
        <v/>
      </c>
      <c r="K120" s="83" t="str">
        <f t="shared" ref="K120" si="572">IF(M122="","",K119-M120)</f>
        <v/>
      </c>
      <c r="L120" s="87" t="str">
        <f t="shared" ref="L120" si="573">IF(N122="","",K119-N120)</f>
        <v/>
      </c>
      <c r="M120" s="85" t="str">
        <f t="shared" ref="M120:N120" si="574">IF(M122="","",IF(OR($A122="集水",$A122="吸水"),0.4,""))</f>
        <v/>
      </c>
      <c r="N120" s="85" t="str">
        <f t="shared" si="574"/>
        <v/>
      </c>
      <c r="O120" s="86" t="str">
        <f t="shared" ref="O120" si="575">IF(L120="","",K120-L120)</f>
        <v/>
      </c>
      <c r="P120" s="83" t="str">
        <f t="shared" ref="P120" si="576">IF(R122="","",P119-R120)</f>
        <v/>
      </c>
      <c r="Q120" s="84" t="str">
        <f t="shared" ref="Q120" si="577">IF(S122="","",P119-S120)</f>
        <v/>
      </c>
      <c r="R120" s="85" t="str">
        <f t="shared" ref="R120:S120" si="578">IF(OR($A122="集水",$A122="吸水"),0.4,"")</f>
        <v/>
      </c>
      <c r="S120" s="85" t="str">
        <f t="shared" si="578"/>
        <v/>
      </c>
      <c r="T120" s="86" t="str">
        <f t="shared" ref="T120" si="579">IF(Q120="","",P120-Q120)</f>
        <v/>
      </c>
      <c r="U120" s="88"/>
      <c r="V120" s="89"/>
    </row>
    <row r="121" spans="1:22" ht="9" customHeight="1" x14ac:dyDescent="0.55000000000000004">
      <c r="A121" s="90"/>
      <c r="B121" s="91"/>
      <c r="C121" s="92" t="str">
        <f t="shared" ref="C121" si="580">IF(B119="","",B121-B119)</f>
        <v/>
      </c>
      <c r="D121" s="91"/>
      <c r="E121" s="93" t="str">
        <f t="shared" ref="E121" si="581">IF(D119="","",D121-D119)</f>
        <v/>
      </c>
      <c r="F121" s="94"/>
      <c r="G121" s="85"/>
      <c r="H121" s="85"/>
      <c r="I121" s="95"/>
      <c r="J121" s="86"/>
      <c r="K121" s="94"/>
      <c r="L121" s="85"/>
      <c r="M121" s="85"/>
      <c r="N121" s="95"/>
      <c r="O121" s="86"/>
      <c r="P121" s="94"/>
      <c r="Q121" s="85"/>
      <c r="R121" s="85"/>
      <c r="S121" s="95"/>
      <c r="T121" s="86"/>
      <c r="U121" s="96"/>
      <c r="V121" s="97"/>
    </row>
    <row r="122" spans="1:22" ht="9" customHeight="1" x14ac:dyDescent="0.55000000000000004">
      <c r="A122" s="98"/>
      <c r="B122" s="99"/>
      <c r="C122" s="100"/>
      <c r="D122" s="99"/>
      <c r="E122" s="101"/>
      <c r="F122" s="102" t="str">
        <f t="shared" ref="F122" si="582">IF(H122="","",F119-H122)</f>
        <v/>
      </c>
      <c r="G122" s="103" t="str">
        <f t="shared" ref="G122" si="583">IF(I122="","",F119-I122)</f>
        <v/>
      </c>
      <c r="H122" s="104"/>
      <c r="I122" s="104"/>
      <c r="J122" s="105"/>
      <c r="K122" s="106" t="str">
        <f t="shared" ref="K122" si="584">IF(M122="","",K119-M122)</f>
        <v/>
      </c>
      <c r="L122" s="103" t="str">
        <f t="shared" ref="L122" si="585">IF(N122="","",K119-N122)</f>
        <v/>
      </c>
      <c r="M122" s="104"/>
      <c r="N122" s="107"/>
      <c r="O122" s="105"/>
      <c r="P122" s="102" t="str">
        <f t="shared" ref="P122" si="586">IF(R122="","",P119-R122)</f>
        <v/>
      </c>
      <c r="Q122" s="103" t="str">
        <f t="shared" ref="Q122" si="587">IF(S122="","",P119-S122)</f>
        <v/>
      </c>
      <c r="R122" s="104"/>
      <c r="S122" s="104"/>
      <c r="T122" s="105"/>
      <c r="U122" s="108"/>
      <c r="V122" s="109"/>
    </row>
    <row r="123" spans="1:22" ht="9" customHeight="1" x14ac:dyDescent="0.55000000000000004">
      <c r="A123" s="19"/>
      <c r="B123" s="69"/>
      <c r="C123" s="70"/>
      <c r="D123" s="69"/>
      <c r="E123" s="71"/>
      <c r="F123" s="72"/>
      <c r="G123" s="73"/>
      <c r="H123" s="74"/>
      <c r="I123" s="75"/>
      <c r="J123" s="76"/>
      <c r="K123" s="72"/>
      <c r="L123" s="73"/>
      <c r="M123" s="74"/>
      <c r="N123" s="75"/>
      <c r="O123" s="76"/>
      <c r="P123" s="72"/>
      <c r="Q123" s="73"/>
      <c r="R123" s="74"/>
      <c r="S123" s="75"/>
      <c r="T123" s="76"/>
      <c r="U123" s="77" t="str">
        <f t="shared" ref="U123" si="588">IF(OR(F126="",P126=""),"",B123/(F126-P126))</f>
        <v/>
      </c>
      <c r="V123" s="78"/>
    </row>
    <row r="124" spans="1:22" ht="9" customHeight="1" x14ac:dyDescent="0.55000000000000004">
      <c r="A124" s="79"/>
      <c r="B124" s="80"/>
      <c r="C124" s="81"/>
      <c r="D124" s="80"/>
      <c r="E124" s="82"/>
      <c r="F124" s="83" t="str">
        <f t="shared" ref="F124" si="589">IF(H126="","",F123-H124)</f>
        <v/>
      </c>
      <c r="G124" s="84" t="str">
        <f t="shared" ref="G124" si="590">IF(I126="","",F123-I124)</f>
        <v/>
      </c>
      <c r="H124" s="85" t="str">
        <f t="shared" ref="H124:I124" si="591">IF(OR($A126="集水",$A126="吸水"),0.4,"")</f>
        <v/>
      </c>
      <c r="I124" s="85" t="str">
        <f t="shared" si="591"/>
        <v/>
      </c>
      <c r="J124" s="86" t="str">
        <f t="shared" ref="J124" si="592">IF(G124="","",F124-G124)</f>
        <v/>
      </c>
      <c r="K124" s="83" t="str">
        <f t="shared" ref="K124" si="593">IF(M126="","",K123-M124)</f>
        <v/>
      </c>
      <c r="L124" s="87" t="str">
        <f t="shared" ref="L124" si="594">IF(N126="","",K123-N124)</f>
        <v/>
      </c>
      <c r="M124" s="85" t="str">
        <f t="shared" ref="M124:N124" si="595">IF(M126="","",IF(OR($A126="集水",$A126="吸水"),0.4,""))</f>
        <v/>
      </c>
      <c r="N124" s="85" t="str">
        <f t="shared" si="595"/>
        <v/>
      </c>
      <c r="O124" s="86" t="str">
        <f t="shared" ref="O124" si="596">IF(L124="","",K124-L124)</f>
        <v/>
      </c>
      <c r="P124" s="83" t="str">
        <f t="shared" ref="P124" si="597">IF(R126="","",P123-R124)</f>
        <v/>
      </c>
      <c r="Q124" s="84" t="str">
        <f t="shared" ref="Q124" si="598">IF(S126="","",P123-S124)</f>
        <v/>
      </c>
      <c r="R124" s="85" t="str">
        <f t="shared" ref="R124:S124" si="599">IF(OR($A126="集水",$A126="吸水"),0.4,"")</f>
        <v/>
      </c>
      <c r="S124" s="85" t="str">
        <f t="shared" si="599"/>
        <v/>
      </c>
      <c r="T124" s="86" t="str">
        <f t="shared" ref="T124" si="600">IF(Q124="","",P124-Q124)</f>
        <v/>
      </c>
      <c r="U124" s="88"/>
      <c r="V124" s="89"/>
    </row>
    <row r="125" spans="1:22" ht="9" customHeight="1" x14ac:dyDescent="0.55000000000000004">
      <c r="A125" s="90"/>
      <c r="B125" s="91"/>
      <c r="C125" s="92" t="str">
        <f t="shared" ref="C125" si="601">IF(B123="","",B125-B123)</f>
        <v/>
      </c>
      <c r="D125" s="91"/>
      <c r="E125" s="93" t="str">
        <f t="shared" ref="E125" si="602">IF(D123="","",D125-D123)</f>
        <v/>
      </c>
      <c r="F125" s="94"/>
      <c r="G125" s="85"/>
      <c r="H125" s="85"/>
      <c r="I125" s="95"/>
      <c r="J125" s="86"/>
      <c r="K125" s="94"/>
      <c r="L125" s="85"/>
      <c r="M125" s="85"/>
      <c r="N125" s="95"/>
      <c r="O125" s="86"/>
      <c r="P125" s="94"/>
      <c r="Q125" s="85"/>
      <c r="R125" s="85"/>
      <c r="S125" s="95"/>
      <c r="T125" s="86"/>
      <c r="U125" s="96"/>
      <c r="V125" s="97"/>
    </row>
    <row r="126" spans="1:22" ht="9" customHeight="1" x14ac:dyDescent="0.55000000000000004">
      <c r="A126" s="98"/>
      <c r="B126" s="99"/>
      <c r="C126" s="100"/>
      <c r="D126" s="99"/>
      <c r="E126" s="101"/>
      <c r="F126" s="102" t="str">
        <f t="shared" ref="F126" si="603">IF(H126="","",F123-H126)</f>
        <v/>
      </c>
      <c r="G126" s="103" t="str">
        <f t="shared" ref="G126" si="604">IF(I126="","",F123-I126)</f>
        <v/>
      </c>
      <c r="H126" s="104"/>
      <c r="I126" s="104"/>
      <c r="J126" s="105"/>
      <c r="K126" s="106" t="str">
        <f t="shared" ref="K126" si="605">IF(M126="","",K123-M126)</f>
        <v/>
      </c>
      <c r="L126" s="103" t="str">
        <f t="shared" ref="L126" si="606">IF(N126="","",K123-N126)</f>
        <v/>
      </c>
      <c r="M126" s="104"/>
      <c r="N126" s="107"/>
      <c r="O126" s="105"/>
      <c r="P126" s="102" t="str">
        <f t="shared" ref="P126" si="607">IF(R126="","",P123-R126)</f>
        <v/>
      </c>
      <c r="Q126" s="103" t="str">
        <f t="shared" ref="Q126" si="608">IF(S126="","",P123-S126)</f>
        <v/>
      </c>
      <c r="R126" s="104"/>
      <c r="S126" s="104"/>
      <c r="T126" s="105"/>
      <c r="U126" s="108"/>
      <c r="V126" s="109"/>
    </row>
    <row r="127" spans="1:22" ht="9" customHeight="1" x14ac:dyDescent="0.55000000000000004">
      <c r="A127" s="19"/>
      <c r="B127" s="69"/>
      <c r="C127" s="70"/>
      <c r="D127" s="69"/>
      <c r="E127" s="71"/>
      <c r="F127" s="72"/>
      <c r="G127" s="73"/>
      <c r="H127" s="74"/>
      <c r="I127" s="75"/>
      <c r="J127" s="76"/>
      <c r="K127" s="72"/>
      <c r="L127" s="73"/>
      <c r="M127" s="74"/>
      <c r="N127" s="75"/>
      <c r="O127" s="76"/>
      <c r="P127" s="72"/>
      <c r="Q127" s="73"/>
      <c r="R127" s="74"/>
      <c r="S127" s="75"/>
      <c r="T127" s="76"/>
      <c r="U127" s="77" t="str">
        <f t="shared" ref="U127" si="609">IF(OR(F130="",P130=""),"",B127/(F130-P130))</f>
        <v/>
      </c>
      <c r="V127" s="78"/>
    </row>
    <row r="128" spans="1:22" ht="9" customHeight="1" x14ac:dyDescent="0.55000000000000004">
      <c r="A128" s="79"/>
      <c r="B128" s="80"/>
      <c r="C128" s="81"/>
      <c r="D128" s="80"/>
      <c r="E128" s="82"/>
      <c r="F128" s="83" t="str">
        <f t="shared" ref="F128" si="610">IF(H130="","",F127-H128)</f>
        <v/>
      </c>
      <c r="G128" s="84" t="str">
        <f t="shared" ref="G128" si="611">IF(I130="","",F127-I128)</f>
        <v/>
      </c>
      <c r="H128" s="85" t="str">
        <f t="shared" ref="H128:I128" si="612">IF(OR($A130="集水",$A130="吸水"),0.4,"")</f>
        <v/>
      </c>
      <c r="I128" s="85" t="str">
        <f t="shared" si="612"/>
        <v/>
      </c>
      <c r="J128" s="86" t="str">
        <f t="shared" ref="J128" si="613">IF(G128="","",F128-G128)</f>
        <v/>
      </c>
      <c r="K128" s="83" t="str">
        <f t="shared" ref="K128" si="614">IF(M130="","",K127-M128)</f>
        <v/>
      </c>
      <c r="L128" s="87" t="str">
        <f t="shared" ref="L128" si="615">IF(N130="","",K127-N128)</f>
        <v/>
      </c>
      <c r="M128" s="85" t="str">
        <f t="shared" ref="M128:N128" si="616">IF(M130="","",IF(OR($A130="集水",$A130="吸水"),0.4,""))</f>
        <v/>
      </c>
      <c r="N128" s="85" t="str">
        <f t="shared" si="616"/>
        <v/>
      </c>
      <c r="O128" s="86" t="str">
        <f t="shared" ref="O128" si="617">IF(L128="","",K128-L128)</f>
        <v/>
      </c>
      <c r="P128" s="83" t="str">
        <f t="shared" ref="P128" si="618">IF(R130="","",P127-R128)</f>
        <v/>
      </c>
      <c r="Q128" s="84" t="str">
        <f t="shared" ref="Q128" si="619">IF(S130="","",P127-S128)</f>
        <v/>
      </c>
      <c r="R128" s="85" t="str">
        <f t="shared" ref="R128:S128" si="620">IF(OR($A130="集水",$A130="吸水"),0.4,"")</f>
        <v/>
      </c>
      <c r="S128" s="85" t="str">
        <f t="shared" si="620"/>
        <v/>
      </c>
      <c r="T128" s="86" t="str">
        <f t="shared" ref="T128" si="621">IF(Q128="","",P128-Q128)</f>
        <v/>
      </c>
      <c r="U128" s="88"/>
      <c r="V128" s="89"/>
    </row>
    <row r="129" spans="1:22" ht="9" customHeight="1" x14ac:dyDescent="0.55000000000000004">
      <c r="A129" s="90"/>
      <c r="B129" s="91"/>
      <c r="C129" s="92" t="str">
        <f t="shared" ref="C129" si="622">IF(B127="","",B129-B127)</f>
        <v/>
      </c>
      <c r="D129" s="91"/>
      <c r="E129" s="93" t="str">
        <f t="shared" ref="E129" si="623">IF(D127="","",D129-D127)</f>
        <v/>
      </c>
      <c r="F129" s="94"/>
      <c r="G129" s="85"/>
      <c r="H129" s="85"/>
      <c r="I129" s="95"/>
      <c r="J129" s="86"/>
      <c r="K129" s="94"/>
      <c r="L129" s="85"/>
      <c r="M129" s="85"/>
      <c r="N129" s="95"/>
      <c r="O129" s="86"/>
      <c r="P129" s="94"/>
      <c r="Q129" s="85"/>
      <c r="R129" s="85"/>
      <c r="S129" s="95"/>
      <c r="T129" s="86"/>
      <c r="U129" s="96"/>
      <c r="V129" s="97"/>
    </row>
    <row r="130" spans="1:22" ht="9" customHeight="1" x14ac:dyDescent="0.55000000000000004">
      <c r="A130" s="98"/>
      <c r="B130" s="99"/>
      <c r="C130" s="100"/>
      <c r="D130" s="99"/>
      <c r="E130" s="101"/>
      <c r="F130" s="102" t="str">
        <f t="shared" ref="F130" si="624">IF(H130="","",F127-H130)</f>
        <v/>
      </c>
      <c r="G130" s="103" t="str">
        <f t="shared" ref="G130" si="625">IF(I130="","",F127-I130)</f>
        <v/>
      </c>
      <c r="H130" s="104"/>
      <c r="I130" s="104"/>
      <c r="J130" s="105"/>
      <c r="K130" s="106" t="str">
        <f t="shared" ref="K130" si="626">IF(M130="","",K127-M130)</f>
        <v/>
      </c>
      <c r="L130" s="103" t="str">
        <f t="shared" ref="L130" si="627">IF(N130="","",K127-N130)</f>
        <v/>
      </c>
      <c r="M130" s="104"/>
      <c r="N130" s="107"/>
      <c r="O130" s="105"/>
      <c r="P130" s="102" t="str">
        <f t="shared" ref="P130" si="628">IF(R130="","",P127-R130)</f>
        <v/>
      </c>
      <c r="Q130" s="103" t="str">
        <f t="shared" ref="Q130" si="629">IF(S130="","",P127-S130)</f>
        <v/>
      </c>
      <c r="R130" s="104"/>
      <c r="S130" s="104"/>
      <c r="T130" s="105"/>
      <c r="U130" s="108"/>
      <c r="V130" s="109"/>
    </row>
    <row r="131" spans="1:22" ht="9" customHeight="1" x14ac:dyDescent="0.55000000000000004">
      <c r="A131" s="19"/>
      <c r="B131" s="69"/>
      <c r="C131" s="70"/>
      <c r="D131" s="69"/>
      <c r="E131" s="71"/>
      <c r="F131" s="72"/>
      <c r="G131" s="73"/>
      <c r="H131" s="74"/>
      <c r="I131" s="75"/>
      <c r="J131" s="76"/>
      <c r="K131" s="72"/>
      <c r="L131" s="73"/>
      <c r="M131" s="74"/>
      <c r="N131" s="75"/>
      <c r="O131" s="76"/>
      <c r="P131" s="72"/>
      <c r="Q131" s="73"/>
      <c r="R131" s="74"/>
      <c r="S131" s="75"/>
      <c r="T131" s="76"/>
      <c r="U131" s="77" t="str">
        <f t="shared" ref="U131" si="630">IF(OR(F134="",P134=""),"",B131/(F134-P134))</f>
        <v/>
      </c>
      <c r="V131" s="78"/>
    </row>
    <row r="132" spans="1:22" ht="9" customHeight="1" x14ac:dyDescent="0.55000000000000004">
      <c r="A132" s="79"/>
      <c r="B132" s="80"/>
      <c r="C132" s="81"/>
      <c r="D132" s="80"/>
      <c r="E132" s="82"/>
      <c r="F132" s="83" t="str">
        <f t="shared" ref="F132" si="631">IF(H134="","",F131-H132)</f>
        <v/>
      </c>
      <c r="G132" s="84" t="str">
        <f t="shared" ref="G132" si="632">IF(I134="","",F131-I132)</f>
        <v/>
      </c>
      <c r="H132" s="85" t="str">
        <f t="shared" ref="H132:I132" si="633">IF(OR($A134="集水",$A134="吸水"),0.4,"")</f>
        <v/>
      </c>
      <c r="I132" s="85" t="str">
        <f t="shared" si="633"/>
        <v/>
      </c>
      <c r="J132" s="86" t="str">
        <f t="shared" ref="J132" si="634">IF(G132="","",F132-G132)</f>
        <v/>
      </c>
      <c r="K132" s="83" t="str">
        <f t="shared" ref="K132" si="635">IF(M134="","",K131-M132)</f>
        <v/>
      </c>
      <c r="L132" s="87" t="str">
        <f t="shared" ref="L132" si="636">IF(N134="","",K131-N132)</f>
        <v/>
      </c>
      <c r="M132" s="85" t="str">
        <f t="shared" ref="M132:N132" si="637">IF(M134="","",IF(OR($A134="集水",$A134="吸水"),0.4,""))</f>
        <v/>
      </c>
      <c r="N132" s="85" t="str">
        <f t="shared" si="637"/>
        <v/>
      </c>
      <c r="O132" s="86" t="str">
        <f t="shared" ref="O132" si="638">IF(L132="","",K132-L132)</f>
        <v/>
      </c>
      <c r="P132" s="83" t="str">
        <f t="shared" ref="P132" si="639">IF(R134="","",P131-R132)</f>
        <v/>
      </c>
      <c r="Q132" s="84" t="str">
        <f t="shared" ref="Q132" si="640">IF(S134="","",P131-S132)</f>
        <v/>
      </c>
      <c r="R132" s="85" t="str">
        <f t="shared" ref="R132:S132" si="641">IF(OR($A134="集水",$A134="吸水"),0.4,"")</f>
        <v/>
      </c>
      <c r="S132" s="85" t="str">
        <f t="shared" si="641"/>
        <v/>
      </c>
      <c r="T132" s="86" t="str">
        <f t="shared" ref="T132" si="642">IF(Q132="","",P132-Q132)</f>
        <v/>
      </c>
      <c r="U132" s="88"/>
      <c r="V132" s="89"/>
    </row>
    <row r="133" spans="1:22" ht="9" customHeight="1" x14ac:dyDescent="0.55000000000000004">
      <c r="A133" s="90"/>
      <c r="B133" s="91"/>
      <c r="C133" s="92" t="str">
        <f t="shared" ref="C133" si="643">IF(B131="","",B133-B131)</f>
        <v/>
      </c>
      <c r="D133" s="91"/>
      <c r="E133" s="93" t="str">
        <f t="shared" ref="E133" si="644">IF(D131="","",D133-D131)</f>
        <v/>
      </c>
      <c r="F133" s="94"/>
      <c r="G133" s="85"/>
      <c r="H133" s="85"/>
      <c r="I133" s="95"/>
      <c r="J133" s="86"/>
      <c r="K133" s="94"/>
      <c r="L133" s="85"/>
      <c r="M133" s="85"/>
      <c r="N133" s="95"/>
      <c r="O133" s="86"/>
      <c r="P133" s="94"/>
      <c r="Q133" s="85"/>
      <c r="R133" s="85"/>
      <c r="S133" s="95"/>
      <c r="T133" s="86"/>
      <c r="U133" s="96"/>
      <c r="V133" s="97"/>
    </row>
    <row r="134" spans="1:22" ht="9" customHeight="1" x14ac:dyDescent="0.55000000000000004">
      <c r="A134" s="98"/>
      <c r="B134" s="99"/>
      <c r="C134" s="100"/>
      <c r="D134" s="99"/>
      <c r="E134" s="101"/>
      <c r="F134" s="102" t="str">
        <f t="shared" ref="F134" si="645">IF(H134="","",F131-H134)</f>
        <v/>
      </c>
      <c r="G134" s="103" t="str">
        <f t="shared" ref="G134" si="646">IF(I134="","",F131-I134)</f>
        <v/>
      </c>
      <c r="H134" s="104"/>
      <c r="I134" s="104"/>
      <c r="J134" s="105"/>
      <c r="K134" s="106" t="str">
        <f t="shared" ref="K134" si="647">IF(M134="","",K131-M134)</f>
        <v/>
      </c>
      <c r="L134" s="103" t="str">
        <f t="shared" ref="L134" si="648">IF(N134="","",K131-N134)</f>
        <v/>
      </c>
      <c r="M134" s="104"/>
      <c r="N134" s="107"/>
      <c r="O134" s="105"/>
      <c r="P134" s="102" t="str">
        <f t="shared" ref="P134" si="649">IF(R134="","",P131-R134)</f>
        <v/>
      </c>
      <c r="Q134" s="103" t="str">
        <f t="shared" ref="Q134" si="650">IF(S134="","",P131-S134)</f>
        <v/>
      </c>
      <c r="R134" s="104"/>
      <c r="S134" s="104"/>
      <c r="T134" s="105"/>
      <c r="U134" s="108"/>
      <c r="V134" s="109"/>
    </row>
    <row r="135" spans="1:22" ht="9" customHeight="1" x14ac:dyDescent="0.55000000000000004">
      <c r="A135" s="19"/>
      <c r="B135" s="69"/>
      <c r="C135" s="70"/>
      <c r="D135" s="69"/>
      <c r="E135" s="71"/>
      <c r="F135" s="72"/>
      <c r="G135" s="73"/>
      <c r="H135" s="74"/>
      <c r="I135" s="75"/>
      <c r="J135" s="76"/>
      <c r="K135" s="72"/>
      <c r="L135" s="73"/>
      <c r="M135" s="74"/>
      <c r="N135" s="75"/>
      <c r="O135" s="76"/>
      <c r="P135" s="72"/>
      <c r="Q135" s="73"/>
      <c r="R135" s="74"/>
      <c r="S135" s="75"/>
      <c r="T135" s="76"/>
      <c r="U135" s="77" t="str">
        <f t="shared" ref="U135" si="651">IF(OR(F138="",P138=""),"",B135/(F138-P138))</f>
        <v/>
      </c>
      <c r="V135" s="78"/>
    </row>
    <row r="136" spans="1:22" ht="9" customHeight="1" x14ac:dyDescent="0.55000000000000004">
      <c r="A136" s="79"/>
      <c r="B136" s="80"/>
      <c r="C136" s="81"/>
      <c r="D136" s="80"/>
      <c r="E136" s="82"/>
      <c r="F136" s="83" t="str">
        <f t="shared" ref="F136" si="652">IF(H138="","",F135-H136)</f>
        <v/>
      </c>
      <c r="G136" s="84" t="str">
        <f t="shared" ref="G136" si="653">IF(I138="","",F135-I136)</f>
        <v/>
      </c>
      <c r="H136" s="85" t="str">
        <f t="shared" ref="H136:I136" si="654">IF(OR($A138="集水",$A138="吸水"),0.4,"")</f>
        <v/>
      </c>
      <c r="I136" s="85" t="str">
        <f t="shared" si="654"/>
        <v/>
      </c>
      <c r="J136" s="86" t="str">
        <f t="shared" ref="J136" si="655">IF(G136="","",F136-G136)</f>
        <v/>
      </c>
      <c r="K136" s="83" t="str">
        <f t="shared" ref="K136" si="656">IF(M138="","",K135-M136)</f>
        <v/>
      </c>
      <c r="L136" s="87" t="str">
        <f t="shared" ref="L136" si="657">IF(N138="","",K135-N136)</f>
        <v/>
      </c>
      <c r="M136" s="85" t="str">
        <f t="shared" ref="M136:N136" si="658">IF(M138="","",IF(OR($A138="集水",$A138="吸水"),0.4,""))</f>
        <v/>
      </c>
      <c r="N136" s="85" t="str">
        <f t="shared" si="658"/>
        <v/>
      </c>
      <c r="O136" s="86" t="str">
        <f t="shared" ref="O136" si="659">IF(L136="","",K136-L136)</f>
        <v/>
      </c>
      <c r="P136" s="83" t="str">
        <f t="shared" ref="P136" si="660">IF(R138="","",P135-R136)</f>
        <v/>
      </c>
      <c r="Q136" s="84" t="str">
        <f t="shared" ref="Q136" si="661">IF(S138="","",P135-S136)</f>
        <v/>
      </c>
      <c r="R136" s="85" t="str">
        <f t="shared" ref="R136:S136" si="662">IF(OR($A138="集水",$A138="吸水"),0.4,"")</f>
        <v/>
      </c>
      <c r="S136" s="85" t="str">
        <f t="shared" si="662"/>
        <v/>
      </c>
      <c r="T136" s="86" t="str">
        <f t="shared" ref="T136" si="663">IF(Q136="","",P136-Q136)</f>
        <v/>
      </c>
      <c r="U136" s="88"/>
      <c r="V136" s="89"/>
    </row>
    <row r="137" spans="1:22" ht="9" customHeight="1" x14ac:dyDescent="0.55000000000000004">
      <c r="A137" s="90"/>
      <c r="B137" s="91"/>
      <c r="C137" s="92" t="str">
        <f t="shared" ref="C137" si="664">IF(B135="","",B137-B135)</f>
        <v/>
      </c>
      <c r="D137" s="91"/>
      <c r="E137" s="93" t="str">
        <f t="shared" ref="E137" si="665">IF(D135="","",D137-D135)</f>
        <v/>
      </c>
      <c r="F137" s="94"/>
      <c r="G137" s="85"/>
      <c r="H137" s="85"/>
      <c r="I137" s="95"/>
      <c r="J137" s="86"/>
      <c r="K137" s="94"/>
      <c r="L137" s="85"/>
      <c r="M137" s="85"/>
      <c r="N137" s="95"/>
      <c r="O137" s="86"/>
      <c r="P137" s="94"/>
      <c r="Q137" s="85"/>
      <c r="R137" s="85"/>
      <c r="S137" s="95"/>
      <c r="T137" s="86"/>
      <c r="U137" s="96"/>
      <c r="V137" s="97"/>
    </row>
    <row r="138" spans="1:22" ht="9" customHeight="1" x14ac:dyDescent="0.55000000000000004">
      <c r="A138" s="98"/>
      <c r="B138" s="99"/>
      <c r="C138" s="100"/>
      <c r="D138" s="99"/>
      <c r="E138" s="101"/>
      <c r="F138" s="102" t="str">
        <f t="shared" ref="F138" si="666">IF(H138="","",F135-H138)</f>
        <v/>
      </c>
      <c r="G138" s="103" t="str">
        <f t="shared" ref="G138" si="667">IF(I138="","",F135-I138)</f>
        <v/>
      </c>
      <c r="H138" s="104"/>
      <c r="I138" s="104"/>
      <c r="J138" s="105"/>
      <c r="K138" s="106" t="str">
        <f t="shared" ref="K138" si="668">IF(M138="","",K135-M138)</f>
        <v/>
      </c>
      <c r="L138" s="103" t="str">
        <f t="shared" ref="L138" si="669">IF(N138="","",K135-N138)</f>
        <v/>
      </c>
      <c r="M138" s="104"/>
      <c r="N138" s="107"/>
      <c r="O138" s="105"/>
      <c r="P138" s="102" t="str">
        <f t="shared" ref="P138" si="670">IF(R138="","",P135-R138)</f>
        <v/>
      </c>
      <c r="Q138" s="103" t="str">
        <f t="shared" ref="Q138" si="671">IF(S138="","",P135-S138)</f>
        <v/>
      </c>
      <c r="R138" s="104"/>
      <c r="S138" s="104"/>
      <c r="T138" s="105"/>
      <c r="U138" s="108"/>
      <c r="V138" s="109"/>
    </row>
    <row r="139" spans="1:22" ht="9" customHeight="1" x14ac:dyDescent="0.55000000000000004">
      <c r="A139" s="19"/>
      <c r="B139" s="69"/>
      <c r="C139" s="70"/>
      <c r="D139" s="69"/>
      <c r="E139" s="71"/>
      <c r="F139" s="72"/>
      <c r="G139" s="73"/>
      <c r="H139" s="74"/>
      <c r="I139" s="75"/>
      <c r="J139" s="76"/>
      <c r="K139" s="72"/>
      <c r="L139" s="73"/>
      <c r="M139" s="74"/>
      <c r="N139" s="75"/>
      <c r="O139" s="76"/>
      <c r="P139" s="72"/>
      <c r="Q139" s="73"/>
      <c r="R139" s="74"/>
      <c r="S139" s="75"/>
      <c r="T139" s="76"/>
      <c r="U139" s="77" t="str">
        <f t="shared" ref="U139" si="672">IF(OR(F142="",P142=""),"",B139/(F142-P142))</f>
        <v/>
      </c>
      <c r="V139" s="78"/>
    </row>
    <row r="140" spans="1:22" ht="9" customHeight="1" x14ac:dyDescent="0.55000000000000004">
      <c r="A140" s="79"/>
      <c r="B140" s="80"/>
      <c r="C140" s="81"/>
      <c r="D140" s="80"/>
      <c r="E140" s="82"/>
      <c r="F140" s="83" t="str">
        <f t="shared" ref="F140" si="673">IF(H142="","",F139-H140)</f>
        <v/>
      </c>
      <c r="G140" s="84" t="str">
        <f t="shared" ref="G140" si="674">IF(I142="","",F139-I140)</f>
        <v/>
      </c>
      <c r="H140" s="85" t="str">
        <f t="shared" ref="H140:I140" si="675">IF(OR($A142="集水",$A142="吸水"),0.4,"")</f>
        <v/>
      </c>
      <c r="I140" s="85" t="str">
        <f t="shared" si="675"/>
        <v/>
      </c>
      <c r="J140" s="86" t="str">
        <f t="shared" ref="J140" si="676">IF(G140="","",F140-G140)</f>
        <v/>
      </c>
      <c r="K140" s="83" t="str">
        <f t="shared" ref="K140" si="677">IF(M142="","",K139-M140)</f>
        <v/>
      </c>
      <c r="L140" s="87" t="str">
        <f t="shared" ref="L140" si="678">IF(N142="","",K139-N140)</f>
        <v/>
      </c>
      <c r="M140" s="85" t="str">
        <f t="shared" ref="M140:N140" si="679">IF(M142="","",IF(OR($A142="集水",$A142="吸水"),0.4,""))</f>
        <v/>
      </c>
      <c r="N140" s="85" t="str">
        <f t="shared" si="679"/>
        <v/>
      </c>
      <c r="O140" s="86" t="str">
        <f t="shared" ref="O140" si="680">IF(L140="","",K140-L140)</f>
        <v/>
      </c>
      <c r="P140" s="83" t="str">
        <f t="shared" ref="P140" si="681">IF(R142="","",P139-R140)</f>
        <v/>
      </c>
      <c r="Q140" s="84" t="str">
        <f t="shared" ref="Q140" si="682">IF(S142="","",P139-S140)</f>
        <v/>
      </c>
      <c r="R140" s="85" t="str">
        <f t="shared" ref="R140:S140" si="683">IF(OR($A142="集水",$A142="吸水"),0.4,"")</f>
        <v/>
      </c>
      <c r="S140" s="85" t="str">
        <f t="shared" si="683"/>
        <v/>
      </c>
      <c r="T140" s="86" t="str">
        <f t="shared" ref="T140" si="684">IF(Q140="","",P140-Q140)</f>
        <v/>
      </c>
      <c r="U140" s="88"/>
      <c r="V140" s="89"/>
    </row>
    <row r="141" spans="1:22" ht="9" customHeight="1" x14ac:dyDescent="0.55000000000000004">
      <c r="A141" s="90"/>
      <c r="B141" s="91"/>
      <c r="C141" s="92" t="str">
        <f t="shared" ref="C141" si="685">IF(B139="","",B141-B139)</f>
        <v/>
      </c>
      <c r="D141" s="91"/>
      <c r="E141" s="93" t="str">
        <f t="shared" ref="E141" si="686">IF(D139="","",D141-D139)</f>
        <v/>
      </c>
      <c r="F141" s="94"/>
      <c r="G141" s="85"/>
      <c r="H141" s="85"/>
      <c r="I141" s="95"/>
      <c r="J141" s="86"/>
      <c r="K141" s="94"/>
      <c r="L141" s="85"/>
      <c r="M141" s="85"/>
      <c r="N141" s="95"/>
      <c r="O141" s="86"/>
      <c r="P141" s="94"/>
      <c r="Q141" s="85"/>
      <c r="R141" s="85"/>
      <c r="S141" s="95"/>
      <c r="T141" s="86"/>
      <c r="U141" s="96"/>
      <c r="V141" s="97"/>
    </row>
    <row r="142" spans="1:22" ht="9" customHeight="1" x14ac:dyDescent="0.55000000000000004">
      <c r="A142" s="98"/>
      <c r="B142" s="99"/>
      <c r="C142" s="100"/>
      <c r="D142" s="99"/>
      <c r="E142" s="101"/>
      <c r="F142" s="102" t="str">
        <f t="shared" ref="F142" si="687">IF(H142="","",F139-H142)</f>
        <v/>
      </c>
      <c r="G142" s="103" t="str">
        <f t="shared" ref="G142" si="688">IF(I142="","",F139-I142)</f>
        <v/>
      </c>
      <c r="H142" s="104"/>
      <c r="I142" s="104"/>
      <c r="J142" s="105"/>
      <c r="K142" s="106" t="str">
        <f t="shared" ref="K142" si="689">IF(M142="","",K139-M142)</f>
        <v/>
      </c>
      <c r="L142" s="103" t="str">
        <f t="shared" ref="L142" si="690">IF(N142="","",K139-N142)</f>
        <v/>
      </c>
      <c r="M142" s="104"/>
      <c r="N142" s="107"/>
      <c r="O142" s="105"/>
      <c r="P142" s="102" t="str">
        <f t="shared" ref="P142" si="691">IF(R142="","",P139-R142)</f>
        <v/>
      </c>
      <c r="Q142" s="103" t="str">
        <f t="shared" ref="Q142" si="692">IF(S142="","",P139-S142)</f>
        <v/>
      </c>
      <c r="R142" s="104"/>
      <c r="S142" s="104"/>
      <c r="T142" s="105"/>
      <c r="U142" s="108"/>
      <c r="V142" s="109"/>
    </row>
    <row r="143" spans="1:22" ht="9" customHeight="1" x14ac:dyDescent="0.55000000000000004">
      <c r="A143" s="19"/>
      <c r="B143" s="69"/>
      <c r="C143" s="70"/>
      <c r="D143" s="69"/>
      <c r="E143" s="71"/>
      <c r="F143" s="72"/>
      <c r="G143" s="73"/>
      <c r="H143" s="74"/>
      <c r="I143" s="75"/>
      <c r="J143" s="76"/>
      <c r="K143" s="72"/>
      <c r="L143" s="73"/>
      <c r="M143" s="74"/>
      <c r="N143" s="75"/>
      <c r="O143" s="76"/>
      <c r="P143" s="72"/>
      <c r="Q143" s="73"/>
      <c r="R143" s="74"/>
      <c r="S143" s="75"/>
      <c r="T143" s="76"/>
      <c r="U143" s="77" t="str">
        <f t="shared" ref="U143" si="693">IF(OR(F146="",P146=""),"",B143/(F146-P146))</f>
        <v/>
      </c>
      <c r="V143" s="78"/>
    </row>
    <row r="144" spans="1:22" ht="9" customHeight="1" x14ac:dyDescent="0.55000000000000004">
      <c r="A144" s="79"/>
      <c r="B144" s="80"/>
      <c r="C144" s="81"/>
      <c r="D144" s="80"/>
      <c r="E144" s="82"/>
      <c r="F144" s="83" t="str">
        <f t="shared" ref="F144" si="694">IF(H146="","",F143-H144)</f>
        <v/>
      </c>
      <c r="G144" s="84" t="str">
        <f t="shared" ref="G144" si="695">IF(I146="","",F143-I144)</f>
        <v/>
      </c>
      <c r="H144" s="85" t="str">
        <f t="shared" ref="H144:I144" si="696">IF(OR($A146="集水",$A146="吸水"),0.4,"")</f>
        <v/>
      </c>
      <c r="I144" s="85" t="str">
        <f t="shared" si="696"/>
        <v/>
      </c>
      <c r="J144" s="86" t="str">
        <f t="shared" ref="J144" si="697">IF(G144="","",F144-G144)</f>
        <v/>
      </c>
      <c r="K144" s="83" t="str">
        <f t="shared" ref="K144" si="698">IF(M146="","",K143-M144)</f>
        <v/>
      </c>
      <c r="L144" s="87" t="str">
        <f t="shared" ref="L144" si="699">IF(N146="","",K143-N144)</f>
        <v/>
      </c>
      <c r="M144" s="85" t="str">
        <f t="shared" ref="M144:N144" si="700">IF(M146="","",IF(OR($A146="集水",$A146="吸水"),0.4,""))</f>
        <v/>
      </c>
      <c r="N144" s="85" t="str">
        <f t="shared" si="700"/>
        <v/>
      </c>
      <c r="O144" s="86" t="str">
        <f t="shared" ref="O144" si="701">IF(L144="","",K144-L144)</f>
        <v/>
      </c>
      <c r="P144" s="83" t="str">
        <f t="shared" ref="P144" si="702">IF(R146="","",P143-R144)</f>
        <v/>
      </c>
      <c r="Q144" s="84" t="str">
        <f t="shared" ref="Q144" si="703">IF(S146="","",P143-S144)</f>
        <v/>
      </c>
      <c r="R144" s="85" t="str">
        <f t="shared" ref="R144:S144" si="704">IF(OR($A146="集水",$A146="吸水"),0.4,"")</f>
        <v/>
      </c>
      <c r="S144" s="85" t="str">
        <f t="shared" si="704"/>
        <v/>
      </c>
      <c r="T144" s="86" t="str">
        <f t="shared" ref="T144" si="705">IF(Q144="","",P144-Q144)</f>
        <v/>
      </c>
      <c r="U144" s="88"/>
      <c r="V144" s="89"/>
    </row>
    <row r="145" spans="1:22" ht="9" customHeight="1" x14ac:dyDescent="0.55000000000000004">
      <c r="A145" s="90"/>
      <c r="B145" s="91"/>
      <c r="C145" s="92" t="str">
        <f t="shared" ref="C145" si="706">IF(B143="","",B145-B143)</f>
        <v/>
      </c>
      <c r="D145" s="91"/>
      <c r="E145" s="93" t="str">
        <f t="shared" ref="E145" si="707">IF(D143="","",D145-D143)</f>
        <v/>
      </c>
      <c r="F145" s="94"/>
      <c r="G145" s="85"/>
      <c r="H145" s="85"/>
      <c r="I145" s="95"/>
      <c r="J145" s="86"/>
      <c r="K145" s="94"/>
      <c r="L145" s="85"/>
      <c r="M145" s="85"/>
      <c r="N145" s="95"/>
      <c r="O145" s="86"/>
      <c r="P145" s="94"/>
      <c r="Q145" s="85"/>
      <c r="R145" s="85"/>
      <c r="S145" s="95"/>
      <c r="T145" s="86"/>
      <c r="U145" s="96"/>
      <c r="V145" s="97"/>
    </row>
    <row r="146" spans="1:22" ht="9" customHeight="1" x14ac:dyDescent="0.55000000000000004">
      <c r="A146" s="98"/>
      <c r="B146" s="99"/>
      <c r="C146" s="100"/>
      <c r="D146" s="99"/>
      <c r="E146" s="101"/>
      <c r="F146" s="102" t="str">
        <f t="shared" ref="F146" si="708">IF(H146="","",F143-H146)</f>
        <v/>
      </c>
      <c r="G146" s="103" t="str">
        <f t="shared" ref="G146" si="709">IF(I146="","",F143-I146)</f>
        <v/>
      </c>
      <c r="H146" s="104"/>
      <c r="I146" s="104"/>
      <c r="J146" s="105"/>
      <c r="K146" s="106" t="str">
        <f t="shared" ref="K146" si="710">IF(M146="","",K143-M146)</f>
        <v/>
      </c>
      <c r="L146" s="103" t="str">
        <f t="shared" ref="L146" si="711">IF(N146="","",K143-N146)</f>
        <v/>
      </c>
      <c r="M146" s="104"/>
      <c r="N146" s="107"/>
      <c r="O146" s="105"/>
      <c r="P146" s="102" t="str">
        <f t="shared" ref="P146" si="712">IF(R146="","",P143-R146)</f>
        <v/>
      </c>
      <c r="Q146" s="103" t="str">
        <f t="shared" ref="Q146" si="713">IF(S146="","",P143-S146)</f>
        <v/>
      </c>
      <c r="R146" s="104"/>
      <c r="S146" s="104"/>
      <c r="T146" s="105"/>
      <c r="U146" s="108"/>
      <c r="V146" s="109"/>
    </row>
    <row r="147" spans="1:22" ht="9" customHeight="1" x14ac:dyDescent="0.55000000000000004">
      <c r="A147" s="19"/>
      <c r="B147" s="69"/>
      <c r="C147" s="70"/>
      <c r="D147" s="69"/>
      <c r="E147" s="71"/>
      <c r="F147" s="72"/>
      <c r="G147" s="73"/>
      <c r="H147" s="74"/>
      <c r="I147" s="75"/>
      <c r="J147" s="76"/>
      <c r="K147" s="72"/>
      <c r="L147" s="73"/>
      <c r="M147" s="74"/>
      <c r="N147" s="75"/>
      <c r="O147" s="76"/>
      <c r="P147" s="72"/>
      <c r="Q147" s="73"/>
      <c r="R147" s="74"/>
      <c r="S147" s="75"/>
      <c r="T147" s="76"/>
      <c r="U147" s="77" t="str">
        <f t="shared" ref="U147" si="714">IF(OR(F150="",P150=""),"",B147/(F150-P150))</f>
        <v/>
      </c>
      <c r="V147" s="78"/>
    </row>
    <row r="148" spans="1:22" ht="9" customHeight="1" x14ac:dyDescent="0.55000000000000004">
      <c r="A148" s="79"/>
      <c r="B148" s="80"/>
      <c r="C148" s="81"/>
      <c r="D148" s="80"/>
      <c r="E148" s="82"/>
      <c r="F148" s="83" t="str">
        <f t="shared" ref="F148" si="715">IF(H150="","",F147-H148)</f>
        <v/>
      </c>
      <c r="G148" s="84" t="str">
        <f t="shared" ref="G148" si="716">IF(I150="","",F147-I148)</f>
        <v/>
      </c>
      <c r="H148" s="85" t="str">
        <f t="shared" ref="H148:I148" si="717">IF(OR($A150="集水",$A150="吸水"),0.4,"")</f>
        <v/>
      </c>
      <c r="I148" s="85" t="str">
        <f t="shared" si="717"/>
        <v/>
      </c>
      <c r="J148" s="86" t="str">
        <f t="shared" ref="J148" si="718">IF(G148="","",F148-G148)</f>
        <v/>
      </c>
      <c r="K148" s="83" t="str">
        <f t="shared" ref="K148" si="719">IF(M150="","",K147-M148)</f>
        <v/>
      </c>
      <c r="L148" s="87" t="str">
        <f t="shared" ref="L148" si="720">IF(N150="","",K147-N148)</f>
        <v/>
      </c>
      <c r="M148" s="85" t="str">
        <f t="shared" ref="M148:N148" si="721">IF(M150="","",IF(OR($A150="集水",$A150="吸水"),0.4,""))</f>
        <v/>
      </c>
      <c r="N148" s="85" t="str">
        <f t="shared" si="721"/>
        <v/>
      </c>
      <c r="O148" s="86" t="str">
        <f t="shared" ref="O148" si="722">IF(L148="","",K148-L148)</f>
        <v/>
      </c>
      <c r="P148" s="83" t="str">
        <f t="shared" ref="P148" si="723">IF(R150="","",P147-R148)</f>
        <v/>
      </c>
      <c r="Q148" s="84" t="str">
        <f t="shared" ref="Q148" si="724">IF(S150="","",P147-S148)</f>
        <v/>
      </c>
      <c r="R148" s="85" t="str">
        <f t="shared" ref="R148:S148" si="725">IF(OR($A150="集水",$A150="吸水"),0.4,"")</f>
        <v/>
      </c>
      <c r="S148" s="85" t="str">
        <f t="shared" si="725"/>
        <v/>
      </c>
      <c r="T148" s="86" t="str">
        <f t="shared" ref="T148" si="726">IF(Q148="","",P148-Q148)</f>
        <v/>
      </c>
      <c r="U148" s="88"/>
      <c r="V148" s="89"/>
    </row>
    <row r="149" spans="1:22" ht="9" customHeight="1" x14ac:dyDescent="0.55000000000000004">
      <c r="A149" s="90"/>
      <c r="B149" s="91"/>
      <c r="C149" s="92" t="str">
        <f t="shared" ref="C149" si="727">IF(B147="","",B149-B147)</f>
        <v/>
      </c>
      <c r="D149" s="91"/>
      <c r="E149" s="93" t="str">
        <f t="shared" ref="E149" si="728">IF(D147="","",D149-D147)</f>
        <v/>
      </c>
      <c r="F149" s="94"/>
      <c r="G149" s="85"/>
      <c r="H149" s="85"/>
      <c r="I149" s="95"/>
      <c r="J149" s="86"/>
      <c r="K149" s="94"/>
      <c r="L149" s="85"/>
      <c r="M149" s="85"/>
      <c r="N149" s="95"/>
      <c r="O149" s="86"/>
      <c r="P149" s="94"/>
      <c r="Q149" s="85"/>
      <c r="R149" s="85"/>
      <c r="S149" s="95"/>
      <c r="T149" s="86"/>
      <c r="U149" s="96"/>
      <c r="V149" s="97"/>
    </row>
    <row r="150" spans="1:22" ht="9" customHeight="1" x14ac:dyDescent="0.55000000000000004">
      <c r="A150" s="98"/>
      <c r="B150" s="99"/>
      <c r="C150" s="100"/>
      <c r="D150" s="99"/>
      <c r="E150" s="101"/>
      <c r="F150" s="102" t="str">
        <f t="shared" ref="F150" si="729">IF(H150="","",F147-H150)</f>
        <v/>
      </c>
      <c r="G150" s="103" t="str">
        <f t="shared" ref="G150" si="730">IF(I150="","",F147-I150)</f>
        <v/>
      </c>
      <c r="H150" s="104"/>
      <c r="I150" s="104"/>
      <c r="J150" s="105"/>
      <c r="K150" s="106" t="str">
        <f t="shared" ref="K150" si="731">IF(M150="","",K147-M150)</f>
        <v/>
      </c>
      <c r="L150" s="103" t="str">
        <f t="shared" ref="L150" si="732">IF(N150="","",K147-N150)</f>
        <v/>
      </c>
      <c r="M150" s="104"/>
      <c r="N150" s="107"/>
      <c r="O150" s="105"/>
      <c r="P150" s="102" t="str">
        <f t="shared" ref="P150" si="733">IF(R150="","",P147-R150)</f>
        <v/>
      </c>
      <c r="Q150" s="103" t="str">
        <f t="shared" ref="Q150" si="734">IF(S150="","",P147-S150)</f>
        <v/>
      </c>
      <c r="R150" s="104"/>
      <c r="S150" s="104"/>
      <c r="T150" s="105"/>
      <c r="U150" s="108"/>
      <c r="V150" s="109"/>
    </row>
    <row r="151" spans="1:22" ht="9" customHeight="1" x14ac:dyDescent="0.55000000000000004">
      <c r="A151" s="19"/>
      <c r="B151" s="69"/>
      <c r="C151" s="70"/>
      <c r="D151" s="69"/>
      <c r="E151" s="71"/>
      <c r="F151" s="72"/>
      <c r="G151" s="73"/>
      <c r="H151" s="74"/>
      <c r="I151" s="75"/>
      <c r="J151" s="76"/>
      <c r="K151" s="72"/>
      <c r="L151" s="73"/>
      <c r="M151" s="74"/>
      <c r="N151" s="75"/>
      <c r="O151" s="76"/>
      <c r="P151" s="72"/>
      <c r="Q151" s="73"/>
      <c r="R151" s="74"/>
      <c r="S151" s="75"/>
      <c r="T151" s="76"/>
      <c r="U151" s="77" t="str">
        <f t="shared" ref="U151" si="735">IF(OR(F154="",P154=""),"",B151/(F154-P154))</f>
        <v/>
      </c>
      <c r="V151" s="78"/>
    </row>
    <row r="152" spans="1:22" ht="9" customHeight="1" x14ac:dyDescent="0.55000000000000004">
      <c r="A152" s="79"/>
      <c r="B152" s="80"/>
      <c r="C152" s="81"/>
      <c r="D152" s="80"/>
      <c r="E152" s="82"/>
      <c r="F152" s="83" t="str">
        <f t="shared" ref="F152" si="736">IF(H154="","",F151-H152)</f>
        <v/>
      </c>
      <c r="G152" s="84" t="str">
        <f t="shared" ref="G152" si="737">IF(I154="","",F151-I152)</f>
        <v/>
      </c>
      <c r="H152" s="85" t="str">
        <f t="shared" ref="H152:I152" si="738">IF(OR($A154="集水",$A154="吸水"),0.4,"")</f>
        <v/>
      </c>
      <c r="I152" s="85" t="str">
        <f t="shared" si="738"/>
        <v/>
      </c>
      <c r="J152" s="86" t="str">
        <f t="shared" ref="J152" si="739">IF(G152="","",F152-G152)</f>
        <v/>
      </c>
      <c r="K152" s="83" t="str">
        <f t="shared" ref="K152" si="740">IF(M154="","",K151-M152)</f>
        <v/>
      </c>
      <c r="L152" s="87" t="str">
        <f t="shared" ref="L152" si="741">IF(N154="","",K151-N152)</f>
        <v/>
      </c>
      <c r="M152" s="85" t="str">
        <f t="shared" ref="M152:N152" si="742">IF(M154="","",IF(OR($A154="集水",$A154="吸水"),0.4,""))</f>
        <v/>
      </c>
      <c r="N152" s="85" t="str">
        <f t="shared" si="742"/>
        <v/>
      </c>
      <c r="O152" s="86" t="str">
        <f t="shared" ref="O152" si="743">IF(L152="","",K152-L152)</f>
        <v/>
      </c>
      <c r="P152" s="83" t="str">
        <f t="shared" ref="P152" si="744">IF(R154="","",P151-R152)</f>
        <v/>
      </c>
      <c r="Q152" s="84" t="str">
        <f t="shared" ref="Q152" si="745">IF(S154="","",P151-S152)</f>
        <v/>
      </c>
      <c r="R152" s="85" t="str">
        <f t="shared" ref="R152:S152" si="746">IF(OR($A154="集水",$A154="吸水"),0.4,"")</f>
        <v/>
      </c>
      <c r="S152" s="85" t="str">
        <f t="shared" si="746"/>
        <v/>
      </c>
      <c r="T152" s="86" t="str">
        <f t="shared" ref="T152" si="747">IF(Q152="","",P152-Q152)</f>
        <v/>
      </c>
      <c r="U152" s="88"/>
      <c r="V152" s="89"/>
    </row>
    <row r="153" spans="1:22" ht="9" customHeight="1" x14ac:dyDescent="0.55000000000000004">
      <c r="A153" s="90"/>
      <c r="B153" s="91"/>
      <c r="C153" s="92" t="str">
        <f t="shared" ref="C153" si="748">IF(B151="","",B153-B151)</f>
        <v/>
      </c>
      <c r="D153" s="91"/>
      <c r="E153" s="93" t="str">
        <f t="shared" ref="E153" si="749">IF(D151="","",D153-D151)</f>
        <v/>
      </c>
      <c r="F153" s="94"/>
      <c r="G153" s="85"/>
      <c r="H153" s="85"/>
      <c r="I153" s="95"/>
      <c r="J153" s="86"/>
      <c r="K153" s="94"/>
      <c r="L153" s="85"/>
      <c r="M153" s="85"/>
      <c r="N153" s="95"/>
      <c r="O153" s="86"/>
      <c r="P153" s="94"/>
      <c r="Q153" s="85"/>
      <c r="R153" s="85"/>
      <c r="S153" s="95"/>
      <c r="T153" s="86"/>
      <c r="U153" s="96"/>
      <c r="V153" s="97"/>
    </row>
    <row r="154" spans="1:22" ht="9" customHeight="1" x14ac:dyDescent="0.55000000000000004">
      <c r="A154" s="98"/>
      <c r="B154" s="99"/>
      <c r="C154" s="100"/>
      <c r="D154" s="99"/>
      <c r="E154" s="101"/>
      <c r="F154" s="102" t="str">
        <f t="shared" ref="F154" si="750">IF(H154="","",F151-H154)</f>
        <v/>
      </c>
      <c r="G154" s="103" t="str">
        <f t="shared" ref="G154" si="751">IF(I154="","",F151-I154)</f>
        <v/>
      </c>
      <c r="H154" s="104"/>
      <c r="I154" s="104"/>
      <c r="J154" s="105"/>
      <c r="K154" s="106" t="str">
        <f t="shared" ref="K154" si="752">IF(M154="","",K151-M154)</f>
        <v/>
      </c>
      <c r="L154" s="103" t="str">
        <f t="shared" ref="L154" si="753">IF(N154="","",K151-N154)</f>
        <v/>
      </c>
      <c r="M154" s="104"/>
      <c r="N154" s="107"/>
      <c r="O154" s="105"/>
      <c r="P154" s="102" t="str">
        <f t="shared" ref="P154" si="754">IF(R154="","",P151-R154)</f>
        <v/>
      </c>
      <c r="Q154" s="103" t="str">
        <f t="shared" ref="Q154" si="755">IF(S154="","",P151-S154)</f>
        <v/>
      </c>
      <c r="R154" s="104"/>
      <c r="S154" s="104"/>
      <c r="T154" s="105"/>
      <c r="U154" s="108"/>
      <c r="V154" s="109"/>
    </row>
    <row r="155" spans="1:22" ht="9" customHeight="1" x14ac:dyDescent="0.55000000000000004">
      <c r="A155" s="19"/>
      <c r="B155" s="69"/>
      <c r="C155" s="70"/>
      <c r="D155" s="69"/>
      <c r="E155" s="71"/>
      <c r="F155" s="72"/>
      <c r="G155" s="73"/>
      <c r="H155" s="74"/>
      <c r="I155" s="75"/>
      <c r="J155" s="76"/>
      <c r="K155" s="72"/>
      <c r="L155" s="73"/>
      <c r="M155" s="74"/>
      <c r="N155" s="75"/>
      <c r="O155" s="76"/>
      <c r="P155" s="72"/>
      <c r="Q155" s="73"/>
      <c r="R155" s="74"/>
      <c r="S155" s="75"/>
      <c r="T155" s="76"/>
      <c r="U155" s="77" t="str">
        <f t="shared" ref="U155" si="756">IF(OR(F158="",P158=""),"",B155/(F158-P158))</f>
        <v/>
      </c>
      <c r="V155" s="78"/>
    </row>
    <row r="156" spans="1:22" ht="9" customHeight="1" x14ac:dyDescent="0.55000000000000004">
      <c r="A156" s="79"/>
      <c r="B156" s="80"/>
      <c r="C156" s="81"/>
      <c r="D156" s="80"/>
      <c r="E156" s="82"/>
      <c r="F156" s="83" t="str">
        <f t="shared" ref="F156" si="757">IF(H158="","",F155-H156)</f>
        <v/>
      </c>
      <c r="G156" s="84" t="str">
        <f t="shared" ref="G156" si="758">IF(I158="","",F155-I156)</f>
        <v/>
      </c>
      <c r="H156" s="85" t="str">
        <f t="shared" ref="H156:I156" si="759">IF(OR($A158="集水",$A158="吸水"),0.4,"")</f>
        <v/>
      </c>
      <c r="I156" s="85" t="str">
        <f t="shared" si="759"/>
        <v/>
      </c>
      <c r="J156" s="86" t="str">
        <f t="shared" ref="J156" si="760">IF(G156="","",F156-G156)</f>
        <v/>
      </c>
      <c r="K156" s="83" t="str">
        <f t="shared" ref="K156" si="761">IF(M158="","",K155-M156)</f>
        <v/>
      </c>
      <c r="L156" s="87" t="str">
        <f t="shared" ref="L156" si="762">IF(N158="","",K155-N156)</f>
        <v/>
      </c>
      <c r="M156" s="85" t="str">
        <f t="shared" ref="M156:N156" si="763">IF(M158="","",IF(OR($A158="集水",$A158="吸水"),0.4,""))</f>
        <v/>
      </c>
      <c r="N156" s="85" t="str">
        <f t="shared" si="763"/>
        <v/>
      </c>
      <c r="O156" s="86" t="str">
        <f t="shared" ref="O156" si="764">IF(L156="","",K156-L156)</f>
        <v/>
      </c>
      <c r="P156" s="83" t="str">
        <f t="shared" ref="P156" si="765">IF(R158="","",P155-R156)</f>
        <v/>
      </c>
      <c r="Q156" s="84" t="str">
        <f t="shared" ref="Q156" si="766">IF(S158="","",P155-S156)</f>
        <v/>
      </c>
      <c r="R156" s="85" t="str">
        <f t="shared" ref="R156:S156" si="767">IF(OR($A158="集水",$A158="吸水"),0.4,"")</f>
        <v/>
      </c>
      <c r="S156" s="85" t="str">
        <f t="shared" si="767"/>
        <v/>
      </c>
      <c r="T156" s="86" t="str">
        <f t="shared" ref="T156" si="768">IF(Q156="","",P156-Q156)</f>
        <v/>
      </c>
      <c r="U156" s="88"/>
      <c r="V156" s="89"/>
    </row>
    <row r="157" spans="1:22" ht="9" customHeight="1" x14ac:dyDescent="0.55000000000000004">
      <c r="A157" s="90"/>
      <c r="B157" s="91"/>
      <c r="C157" s="92" t="str">
        <f t="shared" ref="C157" si="769">IF(B155="","",B157-B155)</f>
        <v/>
      </c>
      <c r="D157" s="91"/>
      <c r="E157" s="93" t="str">
        <f t="shared" ref="E157" si="770">IF(D155="","",D157-D155)</f>
        <v/>
      </c>
      <c r="F157" s="94"/>
      <c r="G157" s="85"/>
      <c r="H157" s="85"/>
      <c r="I157" s="95"/>
      <c r="J157" s="86"/>
      <c r="K157" s="94"/>
      <c r="L157" s="85"/>
      <c r="M157" s="85"/>
      <c r="N157" s="95"/>
      <c r="O157" s="86"/>
      <c r="P157" s="94"/>
      <c r="Q157" s="85"/>
      <c r="R157" s="85"/>
      <c r="S157" s="95"/>
      <c r="T157" s="86"/>
      <c r="U157" s="96"/>
      <c r="V157" s="97"/>
    </row>
    <row r="158" spans="1:22" ht="9" customHeight="1" x14ac:dyDescent="0.55000000000000004">
      <c r="A158" s="98"/>
      <c r="B158" s="99"/>
      <c r="C158" s="100"/>
      <c r="D158" s="99"/>
      <c r="E158" s="101"/>
      <c r="F158" s="102" t="str">
        <f t="shared" ref="F158" si="771">IF(H158="","",F155-H158)</f>
        <v/>
      </c>
      <c r="G158" s="103" t="str">
        <f t="shared" ref="G158" si="772">IF(I158="","",F155-I158)</f>
        <v/>
      </c>
      <c r="H158" s="104"/>
      <c r="I158" s="104"/>
      <c r="J158" s="105"/>
      <c r="K158" s="106" t="str">
        <f t="shared" ref="K158" si="773">IF(M158="","",K155-M158)</f>
        <v/>
      </c>
      <c r="L158" s="103" t="str">
        <f t="shared" ref="L158" si="774">IF(N158="","",K155-N158)</f>
        <v/>
      </c>
      <c r="M158" s="104"/>
      <c r="N158" s="107"/>
      <c r="O158" s="105"/>
      <c r="P158" s="102" t="str">
        <f t="shared" ref="P158" si="775">IF(R158="","",P155-R158)</f>
        <v/>
      </c>
      <c r="Q158" s="103" t="str">
        <f t="shared" ref="Q158" si="776">IF(S158="","",P155-S158)</f>
        <v/>
      </c>
      <c r="R158" s="104"/>
      <c r="S158" s="104"/>
      <c r="T158" s="105"/>
      <c r="U158" s="108"/>
      <c r="V158" s="109"/>
    </row>
    <row r="159" spans="1:22" ht="9" customHeight="1" x14ac:dyDescent="0.55000000000000004">
      <c r="A159" s="19"/>
      <c r="B159" s="69"/>
      <c r="C159" s="70"/>
      <c r="D159" s="69"/>
      <c r="E159" s="71"/>
      <c r="F159" s="72"/>
      <c r="G159" s="73"/>
      <c r="H159" s="74"/>
      <c r="I159" s="75"/>
      <c r="J159" s="76"/>
      <c r="K159" s="72"/>
      <c r="L159" s="73"/>
      <c r="M159" s="74"/>
      <c r="N159" s="75"/>
      <c r="O159" s="76"/>
      <c r="P159" s="72"/>
      <c r="Q159" s="73"/>
      <c r="R159" s="74"/>
      <c r="S159" s="75"/>
      <c r="T159" s="76"/>
      <c r="U159" s="77" t="str">
        <f t="shared" ref="U159" si="777">IF(OR(F162="",P162=""),"",B159/(F162-P162))</f>
        <v/>
      </c>
      <c r="V159" s="78"/>
    </row>
    <row r="160" spans="1:22" ht="9" customHeight="1" x14ac:dyDescent="0.55000000000000004">
      <c r="A160" s="79"/>
      <c r="B160" s="80"/>
      <c r="C160" s="81"/>
      <c r="D160" s="80"/>
      <c r="E160" s="82"/>
      <c r="F160" s="83" t="str">
        <f t="shared" ref="F160" si="778">IF(H162="","",F159-H160)</f>
        <v/>
      </c>
      <c r="G160" s="84" t="str">
        <f t="shared" ref="G160" si="779">IF(I162="","",F159-I160)</f>
        <v/>
      </c>
      <c r="H160" s="85" t="str">
        <f t="shared" ref="H160:I160" si="780">IF(OR($A162="集水",$A162="吸水"),0.4,"")</f>
        <v/>
      </c>
      <c r="I160" s="85" t="str">
        <f t="shared" si="780"/>
        <v/>
      </c>
      <c r="J160" s="86" t="str">
        <f t="shared" ref="J160" si="781">IF(G160="","",F160-G160)</f>
        <v/>
      </c>
      <c r="K160" s="83" t="str">
        <f t="shared" ref="K160" si="782">IF(M162="","",K159-M160)</f>
        <v/>
      </c>
      <c r="L160" s="87" t="str">
        <f t="shared" ref="L160" si="783">IF(N162="","",K159-N160)</f>
        <v/>
      </c>
      <c r="M160" s="85" t="str">
        <f t="shared" ref="M160:N160" si="784">IF(M162="","",IF(OR($A162="集水",$A162="吸水"),0.4,""))</f>
        <v/>
      </c>
      <c r="N160" s="85" t="str">
        <f t="shared" si="784"/>
        <v/>
      </c>
      <c r="O160" s="86" t="str">
        <f t="shared" ref="O160" si="785">IF(L160="","",K160-L160)</f>
        <v/>
      </c>
      <c r="P160" s="83" t="str">
        <f t="shared" ref="P160" si="786">IF(R162="","",P159-R160)</f>
        <v/>
      </c>
      <c r="Q160" s="84" t="str">
        <f t="shared" ref="Q160" si="787">IF(S162="","",P159-S160)</f>
        <v/>
      </c>
      <c r="R160" s="85" t="str">
        <f t="shared" ref="R160:S160" si="788">IF(OR($A162="集水",$A162="吸水"),0.4,"")</f>
        <v/>
      </c>
      <c r="S160" s="85" t="str">
        <f t="shared" si="788"/>
        <v/>
      </c>
      <c r="T160" s="86" t="str">
        <f t="shared" ref="T160" si="789">IF(Q160="","",P160-Q160)</f>
        <v/>
      </c>
      <c r="U160" s="88"/>
      <c r="V160" s="89"/>
    </row>
    <row r="161" spans="1:22" ht="9" customHeight="1" x14ac:dyDescent="0.55000000000000004">
      <c r="A161" s="90"/>
      <c r="B161" s="91"/>
      <c r="C161" s="92" t="str">
        <f t="shared" ref="C161" si="790">IF(B159="","",B161-B159)</f>
        <v/>
      </c>
      <c r="D161" s="91"/>
      <c r="E161" s="93" t="str">
        <f t="shared" ref="E161" si="791">IF(D159="","",D161-D159)</f>
        <v/>
      </c>
      <c r="F161" s="94"/>
      <c r="G161" s="85"/>
      <c r="H161" s="85"/>
      <c r="I161" s="95"/>
      <c r="J161" s="86"/>
      <c r="K161" s="94"/>
      <c r="L161" s="85"/>
      <c r="M161" s="85"/>
      <c r="N161" s="95"/>
      <c r="O161" s="86"/>
      <c r="P161" s="94"/>
      <c r="Q161" s="85"/>
      <c r="R161" s="85"/>
      <c r="S161" s="95"/>
      <c r="T161" s="86"/>
      <c r="U161" s="96"/>
      <c r="V161" s="97"/>
    </row>
    <row r="162" spans="1:22" ht="9" customHeight="1" x14ac:dyDescent="0.55000000000000004">
      <c r="A162" s="98"/>
      <c r="B162" s="99"/>
      <c r="C162" s="100"/>
      <c r="D162" s="99"/>
      <c r="E162" s="101"/>
      <c r="F162" s="102" t="str">
        <f t="shared" ref="F162" si="792">IF(H162="","",F159-H162)</f>
        <v/>
      </c>
      <c r="G162" s="103" t="str">
        <f t="shared" ref="G162" si="793">IF(I162="","",F159-I162)</f>
        <v/>
      </c>
      <c r="H162" s="104"/>
      <c r="I162" s="104"/>
      <c r="J162" s="105"/>
      <c r="K162" s="106" t="str">
        <f t="shared" ref="K162" si="794">IF(M162="","",K159-M162)</f>
        <v/>
      </c>
      <c r="L162" s="103" t="str">
        <f t="shared" ref="L162" si="795">IF(N162="","",K159-N162)</f>
        <v/>
      </c>
      <c r="M162" s="104"/>
      <c r="N162" s="107"/>
      <c r="O162" s="105"/>
      <c r="P162" s="102" t="str">
        <f t="shared" ref="P162" si="796">IF(R162="","",P159-R162)</f>
        <v/>
      </c>
      <c r="Q162" s="103" t="str">
        <f t="shared" ref="Q162" si="797">IF(S162="","",P159-S162)</f>
        <v/>
      </c>
      <c r="R162" s="104"/>
      <c r="S162" s="104"/>
      <c r="T162" s="105"/>
      <c r="U162" s="108"/>
      <c r="V162" s="109"/>
    </row>
    <row r="163" spans="1:22" ht="9" customHeight="1" x14ac:dyDescent="0.55000000000000004">
      <c r="A163" s="19"/>
      <c r="B163" s="69"/>
      <c r="C163" s="70"/>
      <c r="D163" s="69"/>
      <c r="E163" s="71"/>
      <c r="F163" s="72"/>
      <c r="G163" s="73"/>
      <c r="H163" s="74"/>
      <c r="I163" s="75"/>
      <c r="J163" s="76"/>
      <c r="K163" s="72"/>
      <c r="L163" s="73"/>
      <c r="M163" s="74"/>
      <c r="N163" s="75"/>
      <c r="O163" s="76"/>
      <c r="P163" s="72"/>
      <c r="Q163" s="73"/>
      <c r="R163" s="74"/>
      <c r="S163" s="75"/>
      <c r="T163" s="76"/>
      <c r="U163" s="77" t="str">
        <f t="shared" ref="U163" si="798">IF(OR(F166="",P166=""),"",B163/(F166-P166))</f>
        <v/>
      </c>
      <c r="V163" s="78"/>
    </row>
    <row r="164" spans="1:22" ht="9" customHeight="1" x14ac:dyDescent="0.55000000000000004">
      <c r="A164" s="79"/>
      <c r="B164" s="80"/>
      <c r="C164" s="81"/>
      <c r="D164" s="80"/>
      <c r="E164" s="82"/>
      <c r="F164" s="83" t="str">
        <f t="shared" ref="F164" si="799">IF(H166="","",F163-H164)</f>
        <v/>
      </c>
      <c r="G164" s="84" t="str">
        <f t="shared" ref="G164" si="800">IF(I166="","",F163-I164)</f>
        <v/>
      </c>
      <c r="H164" s="85" t="str">
        <f t="shared" ref="H164:I164" si="801">IF(OR($A166="集水",$A166="吸水"),0.4,"")</f>
        <v/>
      </c>
      <c r="I164" s="85" t="str">
        <f t="shared" si="801"/>
        <v/>
      </c>
      <c r="J164" s="86" t="str">
        <f t="shared" ref="J164" si="802">IF(G164="","",F164-G164)</f>
        <v/>
      </c>
      <c r="K164" s="83" t="str">
        <f t="shared" ref="K164" si="803">IF(M166="","",K163-M164)</f>
        <v/>
      </c>
      <c r="L164" s="87" t="str">
        <f t="shared" ref="L164" si="804">IF(N166="","",K163-N164)</f>
        <v/>
      </c>
      <c r="M164" s="85" t="str">
        <f t="shared" ref="M164:N164" si="805">IF(M166="","",IF(OR($A166="集水",$A166="吸水"),0.4,""))</f>
        <v/>
      </c>
      <c r="N164" s="85" t="str">
        <f t="shared" si="805"/>
        <v/>
      </c>
      <c r="O164" s="86" t="str">
        <f t="shared" ref="O164" si="806">IF(L164="","",K164-L164)</f>
        <v/>
      </c>
      <c r="P164" s="83" t="str">
        <f t="shared" ref="P164" si="807">IF(R166="","",P163-R164)</f>
        <v/>
      </c>
      <c r="Q164" s="84" t="str">
        <f t="shared" ref="Q164" si="808">IF(S166="","",P163-S164)</f>
        <v/>
      </c>
      <c r="R164" s="85" t="str">
        <f t="shared" ref="R164:S164" si="809">IF(OR($A166="集水",$A166="吸水"),0.4,"")</f>
        <v/>
      </c>
      <c r="S164" s="85" t="str">
        <f t="shared" si="809"/>
        <v/>
      </c>
      <c r="T164" s="86" t="str">
        <f t="shared" ref="T164" si="810">IF(Q164="","",P164-Q164)</f>
        <v/>
      </c>
      <c r="U164" s="88"/>
      <c r="V164" s="89"/>
    </row>
    <row r="165" spans="1:22" ht="9" customHeight="1" x14ac:dyDescent="0.55000000000000004">
      <c r="A165" s="90"/>
      <c r="B165" s="91"/>
      <c r="C165" s="92" t="str">
        <f t="shared" ref="C165" si="811">IF(B163="","",B165-B163)</f>
        <v/>
      </c>
      <c r="D165" s="91"/>
      <c r="E165" s="93" t="str">
        <f t="shared" ref="E165" si="812">IF(D163="","",D165-D163)</f>
        <v/>
      </c>
      <c r="F165" s="94"/>
      <c r="G165" s="85"/>
      <c r="H165" s="85"/>
      <c r="I165" s="95"/>
      <c r="J165" s="86"/>
      <c r="K165" s="94"/>
      <c r="L165" s="85"/>
      <c r="M165" s="85"/>
      <c r="N165" s="95"/>
      <c r="O165" s="86"/>
      <c r="P165" s="94"/>
      <c r="Q165" s="85"/>
      <c r="R165" s="85"/>
      <c r="S165" s="95"/>
      <c r="T165" s="86"/>
      <c r="U165" s="96"/>
      <c r="V165" s="97"/>
    </row>
    <row r="166" spans="1:22" ht="9" customHeight="1" x14ac:dyDescent="0.55000000000000004">
      <c r="A166" s="98"/>
      <c r="B166" s="99"/>
      <c r="C166" s="100"/>
      <c r="D166" s="99"/>
      <c r="E166" s="101"/>
      <c r="F166" s="102" t="str">
        <f t="shared" ref="F166" si="813">IF(H166="","",F163-H166)</f>
        <v/>
      </c>
      <c r="G166" s="103" t="str">
        <f t="shared" ref="G166" si="814">IF(I166="","",F163-I166)</f>
        <v/>
      </c>
      <c r="H166" s="104"/>
      <c r="I166" s="104"/>
      <c r="J166" s="105"/>
      <c r="K166" s="106" t="str">
        <f t="shared" ref="K166" si="815">IF(M166="","",K163-M166)</f>
        <v/>
      </c>
      <c r="L166" s="103" t="str">
        <f t="shared" ref="L166" si="816">IF(N166="","",K163-N166)</f>
        <v/>
      </c>
      <c r="M166" s="104"/>
      <c r="N166" s="107"/>
      <c r="O166" s="105"/>
      <c r="P166" s="102" t="str">
        <f t="shared" ref="P166" si="817">IF(R166="","",P163-R166)</f>
        <v/>
      </c>
      <c r="Q166" s="103" t="str">
        <f t="shared" ref="Q166" si="818">IF(S166="","",P163-S166)</f>
        <v/>
      </c>
      <c r="R166" s="104"/>
      <c r="S166" s="104"/>
      <c r="T166" s="105"/>
      <c r="U166" s="108"/>
      <c r="V166" s="109"/>
    </row>
    <row r="167" spans="1:22" ht="9" customHeight="1" x14ac:dyDescent="0.55000000000000004">
      <c r="A167" s="19"/>
      <c r="B167" s="69"/>
      <c r="C167" s="70"/>
      <c r="D167" s="69"/>
      <c r="E167" s="71"/>
      <c r="F167" s="72"/>
      <c r="G167" s="73"/>
      <c r="H167" s="74"/>
      <c r="I167" s="75"/>
      <c r="J167" s="76"/>
      <c r="K167" s="72"/>
      <c r="L167" s="73"/>
      <c r="M167" s="74"/>
      <c r="N167" s="75"/>
      <c r="O167" s="76"/>
      <c r="P167" s="72"/>
      <c r="Q167" s="73"/>
      <c r="R167" s="74"/>
      <c r="S167" s="75"/>
      <c r="T167" s="76"/>
      <c r="U167" s="77" t="str">
        <f t="shared" ref="U167" si="819">IF(OR(F170="",P170=""),"",B167/(F170-P170))</f>
        <v/>
      </c>
      <c r="V167" s="78"/>
    </row>
    <row r="168" spans="1:22" ht="9" customHeight="1" x14ac:dyDescent="0.55000000000000004">
      <c r="A168" s="79"/>
      <c r="B168" s="80"/>
      <c r="C168" s="81"/>
      <c r="D168" s="80"/>
      <c r="E168" s="82"/>
      <c r="F168" s="83" t="str">
        <f t="shared" ref="F168" si="820">IF(H170="","",F167-H168)</f>
        <v/>
      </c>
      <c r="G168" s="84" t="str">
        <f t="shared" ref="G168" si="821">IF(I170="","",F167-I168)</f>
        <v/>
      </c>
      <c r="H168" s="85" t="str">
        <f t="shared" ref="H168:I168" si="822">IF(OR($A170="集水",$A170="吸水"),0.4,"")</f>
        <v/>
      </c>
      <c r="I168" s="85" t="str">
        <f t="shared" si="822"/>
        <v/>
      </c>
      <c r="J168" s="86" t="str">
        <f t="shared" ref="J168" si="823">IF(G168="","",F168-G168)</f>
        <v/>
      </c>
      <c r="K168" s="83" t="str">
        <f t="shared" ref="K168" si="824">IF(M170="","",K167-M168)</f>
        <v/>
      </c>
      <c r="L168" s="87" t="str">
        <f t="shared" ref="L168" si="825">IF(N170="","",K167-N168)</f>
        <v/>
      </c>
      <c r="M168" s="85" t="str">
        <f t="shared" ref="M168:N168" si="826">IF(M170="","",IF(OR($A170="集水",$A170="吸水"),0.4,""))</f>
        <v/>
      </c>
      <c r="N168" s="85" t="str">
        <f t="shared" si="826"/>
        <v/>
      </c>
      <c r="O168" s="86" t="str">
        <f t="shared" ref="O168" si="827">IF(L168="","",K168-L168)</f>
        <v/>
      </c>
      <c r="P168" s="83" t="str">
        <f t="shared" ref="P168" si="828">IF(R170="","",P167-R168)</f>
        <v/>
      </c>
      <c r="Q168" s="84" t="str">
        <f t="shared" ref="Q168" si="829">IF(S170="","",P167-S168)</f>
        <v/>
      </c>
      <c r="R168" s="85" t="str">
        <f t="shared" ref="R168:S168" si="830">IF(OR($A170="集水",$A170="吸水"),0.4,"")</f>
        <v/>
      </c>
      <c r="S168" s="85" t="str">
        <f t="shared" si="830"/>
        <v/>
      </c>
      <c r="T168" s="86" t="str">
        <f t="shared" ref="T168" si="831">IF(Q168="","",P168-Q168)</f>
        <v/>
      </c>
      <c r="U168" s="88"/>
      <c r="V168" s="89"/>
    </row>
    <row r="169" spans="1:22" ht="9" customHeight="1" x14ac:dyDescent="0.55000000000000004">
      <c r="A169" s="90"/>
      <c r="B169" s="91"/>
      <c r="C169" s="92" t="str">
        <f t="shared" ref="C169" si="832">IF(B167="","",B169-B167)</f>
        <v/>
      </c>
      <c r="D169" s="91"/>
      <c r="E169" s="93" t="str">
        <f t="shared" ref="E169" si="833">IF(D167="","",D169-D167)</f>
        <v/>
      </c>
      <c r="F169" s="94"/>
      <c r="G169" s="85"/>
      <c r="H169" s="85"/>
      <c r="I169" s="95"/>
      <c r="J169" s="86"/>
      <c r="K169" s="94"/>
      <c r="L169" s="85"/>
      <c r="M169" s="85"/>
      <c r="N169" s="95"/>
      <c r="O169" s="86"/>
      <c r="P169" s="94"/>
      <c r="Q169" s="85"/>
      <c r="R169" s="85"/>
      <c r="S169" s="95"/>
      <c r="T169" s="86"/>
      <c r="U169" s="96"/>
      <c r="V169" s="97"/>
    </row>
    <row r="170" spans="1:22" ht="9" customHeight="1" x14ac:dyDescent="0.55000000000000004">
      <c r="A170" s="98"/>
      <c r="B170" s="99"/>
      <c r="C170" s="100"/>
      <c r="D170" s="99"/>
      <c r="E170" s="101"/>
      <c r="F170" s="102" t="str">
        <f t="shared" ref="F170" si="834">IF(H170="","",F167-H170)</f>
        <v/>
      </c>
      <c r="G170" s="103" t="str">
        <f t="shared" ref="G170" si="835">IF(I170="","",F167-I170)</f>
        <v/>
      </c>
      <c r="H170" s="104"/>
      <c r="I170" s="104"/>
      <c r="J170" s="105"/>
      <c r="K170" s="106" t="str">
        <f t="shared" ref="K170" si="836">IF(M170="","",K167-M170)</f>
        <v/>
      </c>
      <c r="L170" s="103" t="str">
        <f t="shared" ref="L170" si="837">IF(N170="","",K167-N170)</f>
        <v/>
      </c>
      <c r="M170" s="104"/>
      <c r="N170" s="107"/>
      <c r="O170" s="105"/>
      <c r="P170" s="102" t="str">
        <f t="shared" ref="P170" si="838">IF(R170="","",P167-R170)</f>
        <v/>
      </c>
      <c r="Q170" s="103" t="str">
        <f t="shared" ref="Q170" si="839">IF(S170="","",P167-S170)</f>
        <v/>
      </c>
      <c r="R170" s="104"/>
      <c r="S170" s="104"/>
      <c r="T170" s="105"/>
      <c r="U170" s="108"/>
      <c r="V170" s="109"/>
    </row>
    <row r="171" spans="1:22" ht="9" customHeight="1" x14ac:dyDescent="0.55000000000000004">
      <c r="A171" s="19"/>
      <c r="B171" s="69"/>
      <c r="C171" s="70"/>
      <c r="D171" s="69"/>
      <c r="E171" s="71"/>
      <c r="F171" s="72"/>
      <c r="G171" s="73"/>
      <c r="H171" s="74"/>
      <c r="I171" s="75"/>
      <c r="J171" s="76"/>
      <c r="K171" s="72"/>
      <c r="L171" s="73"/>
      <c r="M171" s="74"/>
      <c r="N171" s="75"/>
      <c r="O171" s="76"/>
      <c r="P171" s="72"/>
      <c r="Q171" s="73"/>
      <c r="R171" s="74"/>
      <c r="S171" s="75"/>
      <c r="T171" s="76"/>
      <c r="U171" s="77" t="str">
        <f t="shared" ref="U171" si="840">IF(OR(F174="",P174=""),"",B171/(F174-P174))</f>
        <v/>
      </c>
      <c r="V171" s="78"/>
    </row>
    <row r="172" spans="1:22" ht="9" customHeight="1" x14ac:dyDescent="0.55000000000000004">
      <c r="A172" s="79"/>
      <c r="B172" s="80"/>
      <c r="C172" s="81"/>
      <c r="D172" s="80"/>
      <c r="E172" s="82"/>
      <c r="F172" s="83" t="str">
        <f t="shared" ref="F172" si="841">IF(H174="","",F171-H172)</f>
        <v/>
      </c>
      <c r="G172" s="84" t="str">
        <f t="shared" ref="G172" si="842">IF(I174="","",F171-I172)</f>
        <v/>
      </c>
      <c r="H172" s="85" t="str">
        <f t="shared" ref="H172:I172" si="843">IF(OR($A174="集水",$A174="吸水"),0.4,"")</f>
        <v/>
      </c>
      <c r="I172" s="85" t="str">
        <f t="shared" si="843"/>
        <v/>
      </c>
      <c r="J172" s="86" t="str">
        <f t="shared" ref="J172" si="844">IF(G172="","",F172-G172)</f>
        <v/>
      </c>
      <c r="K172" s="83" t="str">
        <f t="shared" ref="K172" si="845">IF(M174="","",K171-M172)</f>
        <v/>
      </c>
      <c r="L172" s="87" t="str">
        <f t="shared" ref="L172" si="846">IF(N174="","",K171-N172)</f>
        <v/>
      </c>
      <c r="M172" s="85" t="str">
        <f t="shared" ref="M172:N172" si="847">IF(M174="","",IF(OR($A174="集水",$A174="吸水"),0.4,""))</f>
        <v/>
      </c>
      <c r="N172" s="85" t="str">
        <f t="shared" si="847"/>
        <v/>
      </c>
      <c r="O172" s="86" t="str">
        <f t="shared" ref="O172" si="848">IF(L172="","",K172-L172)</f>
        <v/>
      </c>
      <c r="P172" s="83" t="str">
        <f t="shared" ref="P172" si="849">IF(R174="","",P171-R172)</f>
        <v/>
      </c>
      <c r="Q172" s="84" t="str">
        <f t="shared" ref="Q172" si="850">IF(S174="","",P171-S172)</f>
        <v/>
      </c>
      <c r="R172" s="85" t="str">
        <f t="shared" ref="R172:S172" si="851">IF(OR($A174="集水",$A174="吸水"),0.4,"")</f>
        <v/>
      </c>
      <c r="S172" s="85" t="str">
        <f t="shared" si="851"/>
        <v/>
      </c>
      <c r="T172" s="86" t="str">
        <f t="shared" ref="T172" si="852">IF(Q172="","",P172-Q172)</f>
        <v/>
      </c>
      <c r="U172" s="88"/>
      <c r="V172" s="89"/>
    </row>
    <row r="173" spans="1:22" ht="9" customHeight="1" x14ac:dyDescent="0.55000000000000004">
      <c r="A173" s="90"/>
      <c r="B173" s="91"/>
      <c r="C173" s="92" t="str">
        <f t="shared" ref="C173" si="853">IF(B171="","",B173-B171)</f>
        <v/>
      </c>
      <c r="D173" s="91"/>
      <c r="E173" s="93" t="str">
        <f t="shared" ref="E173" si="854">IF(D171="","",D173-D171)</f>
        <v/>
      </c>
      <c r="F173" s="94"/>
      <c r="G173" s="85"/>
      <c r="H173" s="85"/>
      <c r="I173" s="95"/>
      <c r="J173" s="86"/>
      <c r="K173" s="94"/>
      <c r="L173" s="85"/>
      <c r="M173" s="85"/>
      <c r="N173" s="95"/>
      <c r="O173" s="86"/>
      <c r="P173" s="94"/>
      <c r="Q173" s="85"/>
      <c r="R173" s="85"/>
      <c r="S173" s="95"/>
      <c r="T173" s="86"/>
      <c r="U173" s="96"/>
      <c r="V173" s="97"/>
    </row>
    <row r="174" spans="1:22" ht="9" customHeight="1" x14ac:dyDescent="0.55000000000000004">
      <c r="A174" s="98"/>
      <c r="B174" s="99"/>
      <c r="C174" s="100"/>
      <c r="D174" s="99"/>
      <c r="E174" s="101"/>
      <c r="F174" s="102" t="str">
        <f t="shared" ref="F174" si="855">IF(H174="","",F171-H174)</f>
        <v/>
      </c>
      <c r="G174" s="103" t="str">
        <f t="shared" ref="G174" si="856">IF(I174="","",F171-I174)</f>
        <v/>
      </c>
      <c r="H174" s="104"/>
      <c r="I174" s="104"/>
      <c r="J174" s="105"/>
      <c r="K174" s="106" t="str">
        <f t="shared" ref="K174" si="857">IF(M174="","",K171-M174)</f>
        <v/>
      </c>
      <c r="L174" s="103" t="str">
        <f t="shared" ref="L174" si="858">IF(N174="","",K171-N174)</f>
        <v/>
      </c>
      <c r="M174" s="104"/>
      <c r="N174" s="107"/>
      <c r="O174" s="105"/>
      <c r="P174" s="102" t="str">
        <f t="shared" ref="P174" si="859">IF(R174="","",P171-R174)</f>
        <v/>
      </c>
      <c r="Q174" s="103" t="str">
        <f t="shared" ref="Q174" si="860">IF(S174="","",P171-S174)</f>
        <v/>
      </c>
      <c r="R174" s="104"/>
      <c r="S174" s="104"/>
      <c r="T174" s="105"/>
      <c r="U174" s="108"/>
      <c r="V174" s="109"/>
    </row>
    <row r="175" spans="1:22" ht="9" customHeight="1" x14ac:dyDescent="0.55000000000000004">
      <c r="A175" s="19"/>
      <c r="B175" s="69"/>
      <c r="C175" s="70"/>
      <c r="D175" s="69"/>
      <c r="E175" s="71"/>
      <c r="F175" s="72"/>
      <c r="G175" s="73"/>
      <c r="H175" s="74"/>
      <c r="I175" s="75"/>
      <c r="J175" s="76"/>
      <c r="K175" s="72"/>
      <c r="L175" s="73"/>
      <c r="M175" s="74"/>
      <c r="N175" s="75"/>
      <c r="O175" s="76"/>
      <c r="P175" s="72"/>
      <c r="Q175" s="73"/>
      <c r="R175" s="74"/>
      <c r="S175" s="75"/>
      <c r="T175" s="76"/>
      <c r="U175" s="77" t="str">
        <f t="shared" ref="U175" si="861">IF(OR(F178="",P178=""),"",B175/(F178-P178))</f>
        <v/>
      </c>
      <c r="V175" s="78"/>
    </row>
    <row r="176" spans="1:22" ht="9" customHeight="1" x14ac:dyDescent="0.55000000000000004">
      <c r="A176" s="79"/>
      <c r="B176" s="80"/>
      <c r="C176" s="81"/>
      <c r="D176" s="80"/>
      <c r="E176" s="82"/>
      <c r="F176" s="83" t="str">
        <f t="shared" ref="F176" si="862">IF(H178="","",F175-H176)</f>
        <v/>
      </c>
      <c r="G176" s="84" t="str">
        <f t="shared" ref="G176" si="863">IF(I178="","",F175-I176)</f>
        <v/>
      </c>
      <c r="H176" s="85" t="str">
        <f t="shared" ref="H176:I176" si="864">IF(OR($A178="集水",$A178="吸水"),0.4,"")</f>
        <v/>
      </c>
      <c r="I176" s="85" t="str">
        <f t="shared" si="864"/>
        <v/>
      </c>
      <c r="J176" s="86" t="str">
        <f t="shared" ref="J176" si="865">IF(G176="","",F176-G176)</f>
        <v/>
      </c>
      <c r="K176" s="83" t="str">
        <f t="shared" ref="K176" si="866">IF(M178="","",K175-M176)</f>
        <v/>
      </c>
      <c r="L176" s="87" t="str">
        <f t="shared" ref="L176" si="867">IF(N178="","",K175-N176)</f>
        <v/>
      </c>
      <c r="M176" s="85" t="str">
        <f t="shared" ref="M176:N176" si="868">IF(M178="","",IF(OR($A178="集水",$A178="吸水"),0.4,""))</f>
        <v/>
      </c>
      <c r="N176" s="85" t="str">
        <f t="shared" si="868"/>
        <v/>
      </c>
      <c r="O176" s="86" t="str">
        <f t="shared" ref="O176" si="869">IF(L176="","",K176-L176)</f>
        <v/>
      </c>
      <c r="P176" s="83" t="str">
        <f t="shared" ref="P176" si="870">IF(R178="","",P175-R176)</f>
        <v/>
      </c>
      <c r="Q176" s="84" t="str">
        <f t="shared" ref="Q176" si="871">IF(S178="","",P175-S176)</f>
        <v/>
      </c>
      <c r="R176" s="85" t="str">
        <f t="shared" ref="R176:S176" si="872">IF(OR($A178="集水",$A178="吸水"),0.4,"")</f>
        <v/>
      </c>
      <c r="S176" s="85" t="str">
        <f t="shared" si="872"/>
        <v/>
      </c>
      <c r="T176" s="86" t="str">
        <f t="shared" ref="T176" si="873">IF(Q176="","",P176-Q176)</f>
        <v/>
      </c>
      <c r="U176" s="88"/>
      <c r="V176" s="89"/>
    </row>
    <row r="177" spans="1:22" ht="9" customHeight="1" x14ac:dyDescent="0.55000000000000004">
      <c r="A177" s="90"/>
      <c r="B177" s="91"/>
      <c r="C177" s="92" t="str">
        <f t="shared" ref="C177" si="874">IF(B175="","",B177-B175)</f>
        <v/>
      </c>
      <c r="D177" s="91"/>
      <c r="E177" s="93" t="str">
        <f t="shared" ref="E177" si="875">IF(D175="","",D177-D175)</f>
        <v/>
      </c>
      <c r="F177" s="94"/>
      <c r="G177" s="85"/>
      <c r="H177" s="85"/>
      <c r="I177" s="95"/>
      <c r="J177" s="86"/>
      <c r="K177" s="94"/>
      <c r="L177" s="85"/>
      <c r="M177" s="85"/>
      <c r="N177" s="95"/>
      <c r="O177" s="86"/>
      <c r="P177" s="94"/>
      <c r="Q177" s="85"/>
      <c r="R177" s="85"/>
      <c r="S177" s="95"/>
      <c r="T177" s="86"/>
      <c r="U177" s="96"/>
      <c r="V177" s="97"/>
    </row>
    <row r="178" spans="1:22" ht="9" customHeight="1" x14ac:dyDescent="0.55000000000000004">
      <c r="A178" s="98"/>
      <c r="B178" s="99"/>
      <c r="C178" s="100"/>
      <c r="D178" s="99"/>
      <c r="E178" s="101"/>
      <c r="F178" s="102" t="str">
        <f t="shared" ref="F178" si="876">IF(H178="","",F175-H178)</f>
        <v/>
      </c>
      <c r="G178" s="103" t="str">
        <f t="shared" ref="G178" si="877">IF(I178="","",F175-I178)</f>
        <v/>
      </c>
      <c r="H178" s="104"/>
      <c r="I178" s="104"/>
      <c r="J178" s="105"/>
      <c r="K178" s="106" t="str">
        <f t="shared" ref="K178" si="878">IF(M178="","",K175-M178)</f>
        <v/>
      </c>
      <c r="L178" s="103" t="str">
        <f t="shared" ref="L178" si="879">IF(N178="","",K175-N178)</f>
        <v/>
      </c>
      <c r="M178" s="104"/>
      <c r="N178" s="107"/>
      <c r="O178" s="105"/>
      <c r="P178" s="102" t="str">
        <f t="shared" ref="P178" si="880">IF(R178="","",P175-R178)</f>
        <v/>
      </c>
      <c r="Q178" s="103" t="str">
        <f t="shared" ref="Q178" si="881">IF(S178="","",P175-S178)</f>
        <v/>
      </c>
      <c r="R178" s="104"/>
      <c r="S178" s="104"/>
      <c r="T178" s="105"/>
      <c r="U178" s="108"/>
      <c r="V178" s="109"/>
    </row>
    <row r="179" spans="1:22" ht="9" customHeight="1" x14ac:dyDescent="0.55000000000000004">
      <c r="A179" s="19"/>
      <c r="B179" s="69"/>
      <c r="C179" s="70"/>
      <c r="D179" s="69"/>
      <c r="E179" s="71"/>
      <c r="F179" s="72"/>
      <c r="G179" s="73"/>
      <c r="H179" s="74"/>
      <c r="I179" s="75"/>
      <c r="J179" s="76"/>
      <c r="K179" s="72"/>
      <c r="L179" s="73"/>
      <c r="M179" s="74"/>
      <c r="N179" s="75"/>
      <c r="O179" s="76"/>
      <c r="P179" s="72"/>
      <c r="Q179" s="73"/>
      <c r="R179" s="74"/>
      <c r="S179" s="75"/>
      <c r="T179" s="76"/>
      <c r="U179" s="77" t="str">
        <f t="shared" ref="U179" si="882">IF(OR(F182="",P182=""),"",B179/(F182-P182))</f>
        <v/>
      </c>
      <c r="V179" s="78"/>
    </row>
    <row r="180" spans="1:22" ht="9" customHeight="1" x14ac:dyDescent="0.55000000000000004">
      <c r="A180" s="79"/>
      <c r="B180" s="80"/>
      <c r="C180" s="81"/>
      <c r="D180" s="80"/>
      <c r="E180" s="82"/>
      <c r="F180" s="83" t="str">
        <f t="shared" ref="F180" si="883">IF(H182="","",F179-H180)</f>
        <v/>
      </c>
      <c r="G180" s="84" t="str">
        <f t="shared" ref="G180" si="884">IF(I182="","",F179-I180)</f>
        <v/>
      </c>
      <c r="H180" s="85" t="str">
        <f t="shared" ref="H180:I180" si="885">IF(OR($A182="集水",$A182="吸水"),0.4,"")</f>
        <v/>
      </c>
      <c r="I180" s="85" t="str">
        <f t="shared" si="885"/>
        <v/>
      </c>
      <c r="J180" s="86" t="str">
        <f t="shared" ref="J180" si="886">IF(G180="","",F180-G180)</f>
        <v/>
      </c>
      <c r="K180" s="83" t="str">
        <f t="shared" ref="K180" si="887">IF(M182="","",K179-M180)</f>
        <v/>
      </c>
      <c r="L180" s="87" t="str">
        <f t="shared" ref="L180" si="888">IF(N182="","",K179-N180)</f>
        <v/>
      </c>
      <c r="M180" s="85" t="str">
        <f t="shared" ref="M180:N180" si="889">IF(M182="","",IF(OR($A182="集水",$A182="吸水"),0.4,""))</f>
        <v/>
      </c>
      <c r="N180" s="85" t="str">
        <f t="shared" si="889"/>
        <v/>
      </c>
      <c r="O180" s="86" t="str">
        <f t="shared" ref="O180" si="890">IF(L180="","",K180-L180)</f>
        <v/>
      </c>
      <c r="P180" s="83" t="str">
        <f t="shared" ref="P180" si="891">IF(R182="","",P179-R180)</f>
        <v/>
      </c>
      <c r="Q180" s="84" t="str">
        <f t="shared" ref="Q180" si="892">IF(S182="","",P179-S180)</f>
        <v/>
      </c>
      <c r="R180" s="85" t="str">
        <f t="shared" ref="R180:S180" si="893">IF(OR($A182="集水",$A182="吸水"),0.4,"")</f>
        <v/>
      </c>
      <c r="S180" s="85" t="str">
        <f t="shared" si="893"/>
        <v/>
      </c>
      <c r="T180" s="86" t="str">
        <f t="shared" ref="T180" si="894">IF(Q180="","",P180-Q180)</f>
        <v/>
      </c>
      <c r="U180" s="88"/>
      <c r="V180" s="89"/>
    </row>
    <row r="181" spans="1:22" ht="9" customHeight="1" x14ac:dyDescent="0.55000000000000004">
      <c r="A181" s="90"/>
      <c r="B181" s="91"/>
      <c r="C181" s="92" t="str">
        <f t="shared" ref="C181" si="895">IF(B179="","",B181-B179)</f>
        <v/>
      </c>
      <c r="D181" s="91"/>
      <c r="E181" s="93" t="str">
        <f t="shared" ref="E181" si="896">IF(D179="","",D181-D179)</f>
        <v/>
      </c>
      <c r="F181" s="94"/>
      <c r="G181" s="85"/>
      <c r="H181" s="85"/>
      <c r="I181" s="95"/>
      <c r="J181" s="86"/>
      <c r="K181" s="94"/>
      <c r="L181" s="85"/>
      <c r="M181" s="85"/>
      <c r="N181" s="95"/>
      <c r="O181" s="86"/>
      <c r="P181" s="94"/>
      <c r="Q181" s="85"/>
      <c r="R181" s="85"/>
      <c r="S181" s="95"/>
      <c r="T181" s="86"/>
      <c r="U181" s="96"/>
      <c r="V181" s="97"/>
    </row>
    <row r="182" spans="1:22" ht="9" customHeight="1" x14ac:dyDescent="0.55000000000000004">
      <c r="A182" s="98"/>
      <c r="B182" s="99"/>
      <c r="C182" s="100"/>
      <c r="D182" s="99"/>
      <c r="E182" s="101"/>
      <c r="F182" s="102" t="str">
        <f t="shared" ref="F182" si="897">IF(H182="","",F179-H182)</f>
        <v/>
      </c>
      <c r="G182" s="103" t="str">
        <f t="shared" ref="G182" si="898">IF(I182="","",F179-I182)</f>
        <v/>
      </c>
      <c r="H182" s="104"/>
      <c r="I182" s="104"/>
      <c r="J182" s="105"/>
      <c r="K182" s="106" t="str">
        <f t="shared" ref="K182" si="899">IF(M182="","",K179-M182)</f>
        <v/>
      </c>
      <c r="L182" s="103" t="str">
        <f t="shared" ref="L182" si="900">IF(N182="","",K179-N182)</f>
        <v/>
      </c>
      <c r="M182" s="104"/>
      <c r="N182" s="107"/>
      <c r="O182" s="105"/>
      <c r="P182" s="102" t="str">
        <f t="shared" ref="P182" si="901">IF(R182="","",P179-R182)</f>
        <v/>
      </c>
      <c r="Q182" s="103" t="str">
        <f t="shared" ref="Q182" si="902">IF(S182="","",P179-S182)</f>
        <v/>
      </c>
      <c r="R182" s="104"/>
      <c r="S182" s="104"/>
      <c r="T182" s="105"/>
      <c r="U182" s="108"/>
      <c r="V182" s="109"/>
    </row>
    <row r="183" spans="1:22" ht="9" customHeight="1" x14ac:dyDescent="0.55000000000000004">
      <c r="A183" s="19"/>
      <c r="B183" s="69"/>
      <c r="C183" s="70"/>
      <c r="D183" s="69"/>
      <c r="E183" s="71"/>
      <c r="F183" s="72"/>
      <c r="G183" s="73"/>
      <c r="H183" s="74"/>
      <c r="I183" s="75"/>
      <c r="J183" s="76"/>
      <c r="K183" s="72"/>
      <c r="L183" s="73"/>
      <c r="M183" s="74"/>
      <c r="N183" s="75"/>
      <c r="O183" s="76"/>
      <c r="P183" s="72"/>
      <c r="Q183" s="73"/>
      <c r="R183" s="74"/>
      <c r="S183" s="75"/>
      <c r="T183" s="76"/>
      <c r="U183" s="77" t="str">
        <f t="shared" ref="U183" si="903">IF(OR(F186="",P186=""),"",B183/(F186-P186))</f>
        <v/>
      </c>
      <c r="V183" s="78"/>
    </row>
    <row r="184" spans="1:22" ht="9" customHeight="1" x14ac:dyDescent="0.55000000000000004">
      <c r="A184" s="79"/>
      <c r="B184" s="80"/>
      <c r="C184" s="81"/>
      <c r="D184" s="80"/>
      <c r="E184" s="82"/>
      <c r="F184" s="83" t="str">
        <f t="shared" ref="F184" si="904">IF(H186="","",F183-H184)</f>
        <v/>
      </c>
      <c r="G184" s="84" t="str">
        <f t="shared" ref="G184" si="905">IF(I186="","",F183-I184)</f>
        <v/>
      </c>
      <c r="H184" s="85" t="str">
        <f t="shared" ref="H184:I184" si="906">IF(OR($A186="集水",$A186="吸水"),0.4,"")</f>
        <v/>
      </c>
      <c r="I184" s="85" t="str">
        <f t="shared" si="906"/>
        <v/>
      </c>
      <c r="J184" s="86" t="str">
        <f t="shared" ref="J184" si="907">IF(G184="","",F184-G184)</f>
        <v/>
      </c>
      <c r="K184" s="83" t="str">
        <f t="shared" ref="K184" si="908">IF(M186="","",K183-M184)</f>
        <v/>
      </c>
      <c r="L184" s="87" t="str">
        <f t="shared" ref="L184" si="909">IF(N186="","",K183-N184)</f>
        <v/>
      </c>
      <c r="M184" s="85" t="str">
        <f t="shared" ref="M184:N184" si="910">IF(M186="","",IF(OR($A186="集水",$A186="吸水"),0.4,""))</f>
        <v/>
      </c>
      <c r="N184" s="85" t="str">
        <f t="shared" si="910"/>
        <v/>
      </c>
      <c r="O184" s="86" t="str">
        <f t="shared" ref="O184" si="911">IF(L184="","",K184-L184)</f>
        <v/>
      </c>
      <c r="P184" s="83" t="str">
        <f t="shared" ref="P184" si="912">IF(R186="","",P183-R184)</f>
        <v/>
      </c>
      <c r="Q184" s="84" t="str">
        <f t="shared" ref="Q184" si="913">IF(S186="","",P183-S184)</f>
        <v/>
      </c>
      <c r="R184" s="85" t="str">
        <f t="shared" ref="R184:S184" si="914">IF(OR($A186="集水",$A186="吸水"),0.4,"")</f>
        <v/>
      </c>
      <c r="S184" s="85" t="str">
        <f t="shared" si="914"/>
        <v/>
      </c>
      <c r="T184" s="86" t="str">
        <f t="shared" ref="T184" si="915">IF(Q184="","",P184-Q184)</f>
        <v/>
      </c>
      <c r="U184" s="88"/>
      <c r="V184" s="89"/>
    </row>
    <row r="185" spans="1:22" ht="9" customHeight="1" x14ac:dyDescent="0.55000000000000004">
      <c r="A185" s="90"/>
      <c r="B185" s="91"/>
      <c r="C185" s="92" t="str">
        <f t="shared" ref="C185" si="916">IF(B183="","",B185-B183)</f>
        <v/>
      </c>
      <c r="D185" s="91"/>
      <c r="E185" s="93" t="str">
        <f t="shared" ref="E185" si="917">IF(D183="","",D185-D183)</f>
        <v/>
      </c>
      <c r="F185" s="94"/>
      <c r="G185" s="85"/>
      <c r="H185" s="85"/>
      <c r="I185" s="95"/>
      <c r="J185" s="86"/>
      <c r="K185" s="94"/>
      <c r="L185" s="85"/>
      <c r="M185" s="85"/>
      <c r="N185" s="95"/>
      <c r="O185" s="86"/>
      <c r="P185" s="94"/>
      <c r="Q185" s="85"/>
      <c r="R185" s="85"/>
      <c r="S185" s="95"/>
      <c r="T185" s="86"/>
      <c r="U185" s="96"/>
      <c r="V185" s="97"/>
    </row>
    <row r="186" spans="1:22" ht="9" customHeight="1" x14ac:dyDescent="0.55000000000000004">
      <c r="A186" s="98"/>
      <c r="B186" s="99"/>
      <c r="C186" s="100"/>
      <c r="D186" s="99"/>
      <c r="E186" s="101"/>
      <c r="F186" s="102" t="str">
        <f t="shared" ref="F186" si="918">IF(H186="","",F183-H186)</f>
        <v/>
      </c>
      <c r="G186" s="103" t="str">
        <f t="shared" ref="G186" si="919">IF(I186="","",F183-I186)</f>
        <v/>
      </c>
      <c r="H186" s="104"/>
      <c r="I186" s="104"/>
      <c r="J186" s="105"/>
      <c r="K186" s="106" t="str">
        <f t="shared" ref="K186" si="920">IF(M186="","",K183-M186)</f>
        <v/>
      </c>
      <c r="L186" s="103" t="str">
        <f t="shared" ref="L186" si="921">IF(N186="","",K183-N186)</f>
        <v/>
      </c>
      <c r="M186" s="104"/>
      <c r="N186" s="107"/>
      <c r="O186" s="105"/>
      <c r="P186" s="102" t="str">
        <f t="shared" ref="P186" si="922">IF(R186="","",P183-R186)</f>
        <v/>
      </c>
      <c r="Q186" s="103" t="str">
        <f t="shared" ref="Q186" si="923">IF(S186="","",P183-S186)</f>
        <v/>
      </c>
      <c r="R186" s="104"/>
      <c r="S186" s="104"/>
      <c r="T186" s="105"/>
      <c r="U186" s="108"/>
      <c r="V186" s="109"/>
    </row>
    <row r="187" spans="1:22" ht="9" customHeight="1" x14ac:dyDescent="0.55000000000000004">
      <c r="A187" s="19"/>
      <c r="B187" s="69"/>
      <c r="C187" s="70"/>
      <c r="D187" s="69"/>
      <c r="E187" s="71"/>
      <c r="F187" s="72"/>
      <c r="G187" s="73"/>
      <c r="H187" s="74"/>
      <c r="I187" s="75"/>
      <c r="J187" s="76"/>
      <c r="K187" s="72"/>
      <c r="L187" s="73"/>
      <c r="M187" s="74"/>
      <c r="N187" s="75"/>
      <c r="O187" s="76"/>
      <c r="P187" s="72"/>
      <c r="Q187" s="73"/>
      <c r="R187" s="74"/>
      <c r="S187" s="75"/>
      <c r="T187" s="76"/>
      <c r="U187" s="77" t="str">
        <f t="shared" ref="U187" si="924">IF(OR(F190="",P190=""),"",B187/(F190-P190))</f>
        <v/>
      </c>
      <c r="V187" s="78"/>
    </row>
    <row r="188" spans="1:22" ht="9" customHeight="1" x14ac:dyDescent="0.55000000000000004">
      <c r="A188" s="79"/>
      <c r="B188" s="80"/>
      <c r="C188" s="81"/>
      <c r="D188" s="80"/>
      <c r="E188" s="82"/>
      <c r="F188" s="83" t="str">
        <f t="shared" ref="F188" si="925">IF(H190="","",F187-H188)</f>
        <v/>
      </c>
      <c r="G188" s="84" t="str">
        <f t="shared" ref="G188" si="926">IF(I190="","",F187-I188)</f>
        <v/>
      </c>
      <c r="H188" s="85" t="str">
        <f t="shared" ref="H188:I188" si="927">IF(OR($A190="集水",$A190="吸水"),0.4,"")</f>
        <v/>
      </c>
      <c r="I188" s="85" t="str">
        <f t="shared" si="927"/>
        <v/>
      </c>
      <c r="J188" s="86" t="str">
        <f t="shared" ref="J188" si="928">IF(G188="","",F188-G188)</f>
        <v/>
      </c>
      <c r="K188" s="83" t="str">
        <f t="shared" ref="K188" si="929">IF(M190="","",K187-M188)</f>
        <v/>
      </c>
      <c r="L188" s="87" t="str">
        <f t="shared" ref="L188" si="930">IF(N190="","",K187-N188)</f>
        <v/>
      </c>
      <c r="M188" s="85" t="str">
        <f t="shared" ref="M188:N188" si="931">IF(M190="","",IF(OR($A190="集水",$A190="吸水"),0.4,""))</f>
        <v/>
      </c>
      <c r="N188" s="85" t="str">
        <f t="shared" si="931"/>
        <v/>
      </c>
      <c r="O188" s="86" t="str">
        <f t="shared" ref="O188" si="932">IF(L188="","",K188-L188)</f>
        <v/>
      </c>
      <c r="P188" s="83" t="str">
        <f t="shared" ref="P188" si="933">IF(R190="","",P187-R188)</f>
        <v/>
      </c>
      <c r="Q188" s="84" t="str">
        <f t="shared" ref="Q188" si="934">IF(S190="","",P187-S188)</f>
        <v/>
      </c>
      <c r="R188" s="85" t="str">
        <f t="shared" ref="R188:S188" si="935">IF(OR($A190="集水",$A190="吸水"),0.4,"")</f>
        <v/>
      </c>
      <c r="S188" s="85" t="str">
        <f t="shared" si="935"/>
        <v/>
      </c>
      <c r="T188" s="86" t="str">
        <f t="shared" ref="T188" si="936">IF(Q188="","",P188-Q188)</f>
        <v/>
      </c>
      <c r="U188" s="88"/>
      <c r="V188" s="89"/>
    </row>
    <row r="189" spans="1:22" ht="9" customHeight="1" x14ac:dyDescent="0.55000000000000004">
      <c r="A189" s="90"/>
      <c r="B189" s="91"/>
      <c r="C189" s="92" t="str">
        <f t="shared" ref="C189" si="937">IF(B187="","",B189-B187)</f>
        <v/>
      </c>
      <c r="D189" s="91"/>
      <c r="E189" s="93" t="str">
        <f t="shared" ref="E189" si="938">IF(D187="","",D189-D187)</f>
        <v/>
      </c>
      <c r="F189" s="94"/>
      <c r="G189" s="85"/>
      <c r="H189" s="85"/>
      <c r="I189" s="95"/>
      <c r="J189" s="86"/>
      <c r="K189" s="94"/>
      <c r="L189" s="85"/>
      <c r="M189" s="85"/>
      <c r="N189" s="95"/>
      <c r="O189" s="86"/>
      <c r="P189" s="94"/>
      <c r="Q189" s="85"/>
      <c r="R189" s="85"/>
      <c r="S189" s="95"/>
      <c r="T189" s="86"/>
      <c r="U189" s="96"/>
      <c r="V189" s="97"/>
    </row>
    <row r="190" spans="1:22" ht="9" customHeight="1" x14ac:dyDescent="0.55000000000000004">
      <c r="A190" s="98"/>
      <c r="B190" s="99"/>
      <c r="C190" s="100"/>
      <c r="D190" s="99"/>
      <c r="E190" s="101"/>
      <c r="F190" s="102" t="str">
        <f t="shared" ref="F190" si="939">IF(H190="","",F187-H190)</f>
        <v/>
      </c>
      <c r="G190" s="103" t="str">
        <f t="shared" ref="G190" si="940">IF(I190="","",F187-I190)</f>
        <v/>
      </c>
      <c r="H190" s="104"/>
      <c r="I190" s="104"/>
      <c r="J190" s="105"/>
      <c r="K190" s="106" t="str">
        <f t="shared" ref="K190" si="941">IF(M190="","",K187-M190)</f>
        <v/>
      </c>
      <c r="L190" s="103" t="str">
        <f t="shared" ref="L190" si="942">IF(N190="","",K187-N190)</f>
        <v/>
      </c>
      <c r="M190" s="104"/>
      <c r="N190" s="107"/>
      <c r="O190" s="105"/>
      <c r="P190" s="102" t="str">
        <f t="shared" ref="P190" si="943">IF(R190="","",P187-R190)</f>
        <v/>
      </c>
      <c r="Q190" s="103" t="str">
        <f t="shared" ref="Q190" si="944">IF(S190="","",P187-S190)</f>
        <v/>
      </c>
      <c r="R190" s="104"/>
      <c r="S190" s="104"/>
      <c r="T190" s="105"/>
      <c r="U190" s="108"/>
      <c r="V190" s="109"/>
    </row>
    <row r="191" spans="1:22" ht="9" customHeight="1" x14ac:dyDescent="0.55000000000000004">
      <c r="A191" s="19"/>
      <c r="B191" s="69"/>
      <c r="C191" s="70"/>
      <c r="D191" s="69"/>
      <c r="E191" s="71"/>
      <c r="F191" s="72"/>
      <c r="G191" s="73"/>
      <c r="H191" s="74"/>
      <c r="I191" s="75"/>
      <c r="J191" s="76"/>
      <c r="K191" s="72"/>
      <c r="L191" s="73"/>
      <c r="M191" s="74"/>
      <c r="N191" s="75"/>
      <c r="O191" s="76"/>
      <c r="P191" s="72"/>
      <c r="Q191" s="73"/>
      <c r="R191" s="74"/>
      <c r="S191" s="75"/>
      <c r="T191" s="76"/>
      <c r="U191" s="77" t="str">
        <f t="shared" ref="U191" si="945">IF(OR(F194="",P194=""),"",B191/(F194-P194))</f>
        <v/>
      </c>
      <c r="V191" s="78"/>
    </row>
    <row r="192" spans="1:22" ht="9" customHeight="1" x14ac:dyDescent="0.55000000000000004">
      <c r="A192" s="79"/>
      <c r="B192" s="80"/>
      <c r="C192" s="81"/>
      <c r="D192" s="80"/>
      <c r="E192" s="82"/>
      <c r="F192" s="83" t="str">
        <f t="shared" ref="F192" si="946">IF(H194="","",F191-H192)</f>
        <v/>
      </c>
      <c r="G192" s="84" t="str">
        <f t="shared" ref="G192" si="947">IF(I194="","",F191-I192)</f>
        <v/>
      </c>
      <c r="H192" s="85" t="str">
        <f t="shared" ref="H192:I192" si="948">IF(OR($A194="集水",$A194="吸水"),0.4,"")</f>
        <v/>
      </c>
      <c r="I192" s="85" t="str">
        <f t="shared" si="948"/>
        <v/>
      </c>
      <c r="J192" s="86" t="str">
        <f t="shared" ref="J192" si="949">IF(G192="","",F192-G192)</f>
        <v/>
      </c>
      <c r="K192" s="83" t="str">
        <f t="shared" ref="K192" si="950">IF(M194="","",K191-M192)</f>
        <v/>
      </c>
      <c r="L192" s="87" t="str">
        <f t="shared" ref="L192" si="951">IF(N194="","",K191-N192)</f>
        <v/>
      </c>
      <c r="M192" s="85" t="str">
        <f t="shared" ref="M192:N192" si="952">IF(M194="","",IF(OR($A194="集水",$A194="吸水"),0.4,""))</f>
        <v/>
      </c>
      <c r="N192" s="85" t="str">
        <f t="shared" si="952"/>
        <v/>
      </c>
      <c r="O192" s="86" t="str">
        <f t="shared" ref="O192" si="953">IF(L192="","",K192-L192)</f>
        <v/>
      </c>
      <c r="P192" s="83" t="str">
        <f t="shared" ref="P192" si="954">IF(R194="","",P191-R192)</f>
        <v/>
      </c>
      <c r="Q192" s="84" t="str">
        <f t="shared" ref="Q192" si="955">IF(S194="","",P191-S192)</f>
        <v/>
      </c>
      <c r="R192" s="85" t="str">
        <f t="shared" ref="R192:S192" si="956">IF(OR($A194="集水",$A194="吸水"),0.4,"")</f>
        <v/>
      </c>
      <c r="S192" s="85" t="str">
        <f t="shared" si="956"/>
        <v/>
      </c>
      <c r="T192" s="86" t="str">
        <f t="shared" ref="T192" si="957">IF(Q192="","",P192-Q192)</f>
        <v/>
      </c>
      <c r="U192" s="88"/>
      <c r="V192" s="89"/>
    </row>
    <row r="193" spans="1:22" ht="9" customHeight="1" x14ac:dyDescent="0.55000000000000004">
      <c r="A193" s="90"/>
      <c r="B193" s="91"/>
      <c r="C193" s="92" t="str">
        <f t="shared" ref="C193" si="958">IF(B191="","",B193-B191)</f>
        <v/>
      </c>
      <c r="D193" s="91"/>
      <c r="E193" s="93" t="str">
        <f t="shared" ref="E193" si="959">IF(D191="","",D193-D191)</f>
        <v/>
      </c>
      <c r="F193" s="94"/>
      <c r="G193" s="85"/>
      <c r="H193" s="85"/>
      <c r="I193" s="95"/>
      <c r="J193" s="86"/>
      <c r="K193" s="94"/>
      <c r="L193" s="85"/>
      <c r="M193" s="85"/>
      <c r="N193" s="95"/>
      <c r="O193" s="86"/>
      <c r="P193" s="94"/>
      <c r="Q193" s="85"/>
      <c r="R193" s="85"/>
      <c r="S193" s="95"/>
      <c r="T193" s="86"/>
      <c r="U193" s="96"/>
      <c r="V193" s="97"/>
    </row>
    <row r="194" spans="1:22" ht="9" customHeight="1" x14ac:dyDescent="0.55000000000000004">
      <c r="A194" s="98"/>
      <c r="B194" s="99"/>
      <c r="C194" s="100"/>
      <c r="D194" s="99"/>
      <c r="E194" s="101"/>
      <c r="F194" s="102" t="str">
        <f t="shared" ref="F194" si="960">IF(H194="","",F191-H194)</f>
        <v/>
      </c>
      <c r="G194" s="103" t="str">
        <f t="shared" ref="G194" si="961">IF(I194="","",F191-I194)</f>
        <v/>
      </c>
      <c r="H194" s="104"/>
      <c r="I194" s="104"/>
      <c r="J194" s="105"/>
      <c r="K194" s="106" t="str">
        <f t="shared" ref="K194" si="962">IF(M194="","",K191-M194)</f>
        <v/>
      </c>
      <c r="L194" s="103" t="str">
        <f t="shared" ref="L194" si="963">IF(N194="","",K191-N194)</f>
        <v/>
      </c>
      <c r="M194" s="104"/>
      <c r="N194" s="107"/>
      <c r="O194" s="105"/>
      <c r="P194" s="102" t="str">
        <f t="shared" ref="P194" si="964">IF(R194="","",P191-R194)</f>
        <v/>
      </c>
      <c r="Q194" s="103" t="str">
        <f t="shared" ref="Q194" si="965">IF(S194="","",P191-S194)</f>
        <v/>
      </c>
      <c r="R194" s="104"/>
      <c r="S194" s="104"/>
      <c r="T194" s="105"/>
      <c r="U194" s="108"/>
      <c r="V194" s="109"/>
    </row>
    <row r="195" spans="1:22" ht="9" customHeight="1" x14ac:dyDescent="0.55000000000000004">
      <c r="A195" s="19"/>
      <c r="B195" s="69"/>
      <c r="C195" s="70"/>
      <c r="D195" s="69"/>
      <c r="E195" s="71"/>
      <c r="F195" s="72"/>
      <c r="G195" s="73"/>
      <c r="H195" s="74"/>
      <c r="I195" s="75"/>
      <c r="J195" s="76"/>
      <c r="K195" s="72"/>
      <c r="L195" s="73"/>
      <c r="M195" s="74"/>
      <c r="N195" s="75"/>
      <c r="O195" s="76"/>
      <c r="P195" s="72"/>
      <c r="Q195" s="73"/>
      <c r="R195" s="74"/>
      <c r="S195" s="75"/>
      <c r="T195" s="76"/>
      <c r="U195" s="77" t="str">
        <f t="shared" ref="U195" si="966">IF(OR(F198="",P198=""),"",B195/(F198-P198))</f>
        <v/>
      </c>
      <c r="V195" s="78"/>
    </row>
    <row r="196" spans="1:22" ht="9" customHeight="1" x14ac:dyDescent="0.55000000000000004">
      <c r="A196" s="79"/>
      <c r="B196" s="80"/>
      <c r="C196" s="81"/>
      <c r="D196" s="80"/>
      <c r="E196" s="82"/>
      <c r="F196" s="83" t="str">
        <f t="shared" ref="F196" si="967">IF(H198="","",F195-H196)</f>
        <v/>
      </c>
      <c r="G196" s="84" t="str">
        <f t="shared" ref="G196" si="968">IF(I198="","",F195-I196)</f>
        <v/>
      </c>
      <c r="H196" s="85" t="str">
        <f t="shared" ref="H196:I196" si="969">IF(OR($A198="集水",$A198="吸水"),0.4,"")</f>
        <v/>
      </c>
      <c r="I196" s="85" t="str">
        <f t="shared" si="969"/>
        <v/>
      </c>
      <c r="J196" s="86" t="str">
        <f t="shared" ref="J196" si="970">IF(G196="","",F196-G196)</f>
        <v/>
      </c>
      <c r="K196" s="83" t="str">
        <f t="shared" ref="K196" si="971">IF(M198="","",K195-M196)</f>
        <v/>
      </c>
      <c r="L196" s="87" t="str">
        <f t="shared" ref="L196" si="972">IF(N198="","",K195-N196)</f>
        <v/>
      </c>
      <c r="M196" s="85" t="str">
        <f t="shared" ref="M196:N196" si="973">IF(M198="","",IF(OR($A198="集水",$A198="吸水"),0.4,""))</f>
        <v/>
      </c>
      <c r="N196" s="85" t="str">
        <f t="shared" si="973"/>
        <v/>
      </c>
      <c r="O196" s="86" t="str">
        <f t="shared" ref="O196" si="974">IF(L196="","",K196-L196)</f>
        <v/>
      </c>
      <c r="P196" s="83" t="str">
        <f t="shared" ref="P196" si="975">IF(R198="","",P195-R196)</f>
        <v/>
      </c>
      <c r="Q196" s="84" t="str">
        <f t="shared" ref="Q196" si="976">IF(S198="","",P195-S196)</f>
        <v/>
      </c>
      <c r="R196" s="85" t="str">
        <f t="shared" ref="R196:S196" si="977">IF(OR($A198="集水",$A198="吸水"),0.4,"")</f>
        <v/>
      </c>
      <c r="S196" s="85" t="str">
        <f t="shared" si="977"/>
        <v/>
      </c>
      <c r="T196" s="86" t="str">
        <f t="shared" ref="T196" si="978">IF(Q196="","",P196-Q196)</f>
        <v/>
      </c>
      <c r="U196" s="88"/>
      <c r="V196" s="89"/>
    </row>
    <row r="197" spans="1:22" ht="9" customHeight="1" x14ac:dyDescent="0.55000000000000004">
      <c r="A197" s="90"/>
      <c r="B197" s="91"/>
      <c r="C197" s="92" t="str">
        <f t="shared" ref="C197" si="979">IF(B195="","",B197-B195)</f>
        <v/>
      </c>
      <c r="D197" s="91"/>
      <c r="E197" s="93" t="str">
        <f t="shared" ref="E197" si="980">IF(D195="","",D197-D195)</f>
        <v/>
      </c>
      <c r="F197" s="94"/>
      <c r="G197" s="85"/>
      <c r="H197" s="85"/>
      <c r="I197" s="95"/>
      <c r="J197" s="86"/>
      <c r="K197" s="94"/>
      <c r="L197" s="85"/>
      <c r="M197" s="85"/>
      <c r="N197" s="95"/>
      <c r="O197" s="86"/>
      <c r="P197" s="94"/>
      <c r="Q197" s="85"/>
      <c r="R197" s="85"/>
      <c r="S197" s="95"/>
      <c r="T197" s="86"/>
      <c r="U197" s="96"/>
      <c r="V197" s="97"/>
    </row>
    <row r="198" spans="1:22" ht="9" customHeight="1" x14ac:dyDescent="0.55000000000000004">
      <c r="A198" s="98"/>
      <c r="B198" s="99"/>
      <c r="C198" s="100"/>
      <c r="D198" s="99"/>
      <c r="E198" s="101"/>
      <c r="F198" s="102" t="str">
        <f t="shared" ref="F198" si="981">IF(H198="","",F195-H198)</f>
        <v/>
      </c>
      <c r="G198" s="103" t="str">
        <f t="shared" ref="G198" si="982">IF(I198="","",F195-I198)</f>
        <v/>
      </c>
      <c r="H198" s="104"/>
      <c r="I198" s="104"/>
      <c r="J198" s="105"/>
      <c r="K198" s="106" t="str">
        <f t="shared" ref="K198" si="983">IF(M198="","",K195-M198)</f>
        <v/>
      </c>
      <c r="L198" s="103" t="str">
        <f t="shared" ref="L198" si="984">IF(N198="","",K195-N198)</f>
        <v/>
      </c>
      <c r="M198" s="104"/>
      <c r="N198" s="107"/>
      <c r="O198" s="105"/>
      <c r="P198" s="102" t="str">
        <f t="shared" ref="P198" si="985">IF(R198="","",P195-R198)</f>
        <v/>
      </c>
      <c r="Q198" s="103" t="str">
        <f t="shared" ref="Q198" si="986">IF(S198="","",P195-S198)</f>
        <v/>
      </c>
      <c r="R198" s="104"/>
      <c r="S198" s="104"/>
      <c r="T198" s="105"/>
      <c r="U198" s="108"/>
      <c r="V198" s="109"/>
    </row>
    <row r="199" spans="1:22" ht="9" customHeight="1" x14ac:dyDescent="0.55000000000000004">
      <c r="A199" s="19"/>
      <c r="B199" s="69"/>
      <c r="C199" s="70"/>
      <c r="D199" s="69"/>
      <c r="E199" s="71"/>
      <c r="F199" s="72"/>
      <c r="G199" s="73"/>
      <c r="H199" s="74"/>
      <c r="I199" s="75"/>
      <c r="J199" s="76"/>
      <c r="K199" s="72"/>
      <c r="L199" s="73"/>
      <c r="M199" s="74"/>
      <c r="N199" s="75"/>
      <c r="O199" s="76"/>
      <c r="P199" s="72"/>
      <c r="Q199" s="73"/>
      <c r="R199" s="74"/>
      <c r="S199" s="75"/>
      <c r="T199" s="76"/>
      <c r="U199" s="77" t="str">
        <f t="shared" ref="U199" si="987">IF(OR(F202="",P202=""),"",B199/(F202-P202))</f>
        <v/>
      </c>
      <c r="V199" s="78"/>
    </row>
    <row r="200" spans="1:22" ht="9" customHeight="1" x14ac:dyDescent="0.55000000000000004">
      <c r="A200" s="79"/>
      <c r="B200" s="80"/>
      <c r="C200" s="81"/>
      <c r="D200" s="80"/>
      <c r="E200" s="82"/>
      <c r="F200" s="83" t="str">
        <f t="shared" ref="F200" si="988">IF(H202="","",F199-H200)</f>
        <v/>
      </c>
      <c r="G200" s="84" t="str">
        <f t="shared" ref="G200" si="989">IF(I202="","",F199-I200)</f>
        <v/>
      </c>
      <c r="H200" s="85" t="str">
        <f t="shared" ref="H200:I200" si="990">IF(OR($A202="集水",$A202="吸水"),0.4,"")</f>
        <v/>
      </c>
      <c r="I200" s="85" t="str">
        <f t="shared" si="990"/>
        <v/>
      </c>
      <c r="J200" s="86" t="str">
        <f t="shared" ref="J200" si="991">IF(G200="","",F200-G200)</f>
        <v/>
      </c>
      <c r="K200" s="83" t="str">
        <f t="shared" ref="K200" si="992">IF(M202="","",K199-M200)</f>
        <v/>
      </c>
      <c r="L200" s="87" t="str">
        <f t="shared" ref="L200" si="993">IF(N202="","",K199-N200)</f>
        <v/>
      </c>
      <c r="M200" s="85" t="str">
        <f t="shared" ref="M200:N200" si="994">IF(M202="","",IF(OR($A202="集水",$A202="吸水"),0.4,""))</f>
        <v/>
      </c>
      <c r="N200" s="85" t="str">
        <f t="shared" si="994"/>
        <v/>
      </c>
      <c r="O200" s="86" t="str">
        <f t="shared" ref="O200" si="995">IF(L200="","",K200-L200)</f>
        <v/>
      </c>
      <c r="P200" s="83" t="str">
        <f t="shared" ref="P200" si="996">IF(R202="","",P199-R200)</f>
        <v/>
      </c>
      <c r="Q200" s="84" t="str">
        <f t="shared" ref="Q200" si="997">IF(S202="","",P199-S200)</f>
        <v/>
      </c>
      <c r="R200" s="85" t="str">
        <f t="shared" ref="R200:S200" si="998">IF(OR($A202="集水",$A202="吸水"),0.4,"")</f>
        <v/>
      </c>
      <c r="S200" s="85" t="str">
        <f t="shared" si="998"/>
        <v/>
      </c>
      <c r="T200" s="86" t="str">
        <f t="shared" ref="T200" si="999">IF(Q200="","",P200-Q200)</f>
        <v/>
      </c>
      <c r="U200" s="88"/>
      <c r="V200" s="89"/>
    </row>
    <row r="201" spans="1:22" ht="9" customHeight="1" x14ac:dyDescent="0.55000000000000004">
      <c r="A201" s="90"/>
      <c r="B201" s="91"/>
      <c r="C201" s="92" t="str">
        <f t="shared" ref="C201" si="1000">IF(B199="","",B201-B199)</f>
        <v/>
      </c>
      <c r="D201" s="91"/>
      <c r="E201" s="93" t="str">
        <f t="shared" ref="E201" si="1001">IF(D199="","",D201-D199)</f>
        <v/>
      </c>
      <c r="F201" s="94"/>
      <c r="G201" s="85"/>
      <c r="H201" s="85"/>
      <c r="I201" s="95"/>
      <c r="J201" s="86"/>
      <c r="K201" s="94"/>
      <c r="L201" s="85"/>
      <c r="M201" s="85"/>
      <c r="N201" s="95"/>
      <c r="O201" s="86"/>
      <c r="P201" s="94"/>
      <c r="Q201" s="85"/>
      <c r="R201" s="85"/>
      <c r="S201" s="95"/>
      <c r="T201" s="86"/>
      <c r="U201" s="96"/>
      <c r="V201" s="97"/>
    </row>
    <row r="202" spans="1:22" ht="9" customHeight="1" x14ac:dyDescent="0.55000000000000004">
      <c r="A202" s="98"/>
      <c r="B202" s="99"/>
      <c r="C202" s="100"/>
      <c r="D202" s="99"/>
      <c r="E202" s="101"/>
      <c r="F202" s="102" t="str">
        <f t="shared" ref="F202" si="1002">IF(H202="","",F199-H202)</f>
        <v/>
      </c>
      <c r="G202" s="103" t="str">
        <f t="shared" ref="G202" si="1003">IF(I202="","",F199-I202)</f>
        <v/>
      </c>
      <c r="H202" s="104"/>
      <c r="I202" s="104"/>
      <c r="J202" s="105"/>
      <c r="K202" s="106" t="str">
        <f t="shared" ref="K202" si="1004">IF(M202="","",K199-M202)</f>
        <v/>
      </c>
      <c r="L202" s="103" t="str">
        <f t="shared" ref="L202" si="1005">IF(N202="","",K199-N202)</f>
        <v/>
      </c>
      <c r="M202" s="104"/>
      <c r="N202" s="107"/>
      <c r="O202" s="105"/>
      <c r="P202" s="102" t="str">
        <f t="shared" ref="P202" si="1006">IF(R202="","",P199-R202)</f>
        <v/>
      </c>
      <c r="Q202" s="103" t="str">
        <f t="shared" ref="Q202" si="1007">IF(S202="","",P199-S202)</f>
        <v/>
      </c>
      <c r="R202" s="104"/>
      <c r="S202" s="104"/>
      <c r="T202" s="105"/>
      <c r="U202" s="108"/>
      <c r="V202" s="109"/>
    </row>
    <row r="203" spans="1:22" ht="9" customHeight="1" x14ac:dyDescent="0.55000000000000004">
      <c r="A203" s="19"/>
      <c r="B203" s="69"/>
      <c r="C203" s="70"/>
      <c r="D203" s="69"/>
      <c r="E203" s="71"/>
      <c r="F203" s="72"/>
      <c r="G203" s="73"/>
      <c r="H203" s="74"/>
      <c r="I203" s="75"/>
      <c r="J203" s="76"/>
      <c r="K203" s="72"/>
      <c r="L203" s="73"/>
      <c r="M203" s="74"/>
      <c r="N203" s="75"/>
      <c r="O203" s="76"/>
      <c r="P203" s="72"/>
      <c r="Q203" s="73"/>
      <c r="R203" s="74"/>
      <c r="S203" s="75"/>
      <c r="T203" s="76"/>
      <c r="U203" s="77" t="str">
        <f t="shared" ref="U203" si="1008">IF(OR(F206="",P206=""),"",B203/(F206-P206))</f>
        <v/>
      </c>
      <c r="V203" s="78"/>
    </row>
    <row r="204" spans="1:22" ht="9" customHeight="1" x14ac:dyDescent="0.55000000000000004">
      <c r="A204" s="79"/>
      <c r="B204" s="80"/>
      <c r="C204" s="81"/>
      <c r="D204" s="80"/>
      <c r="E204" s="82"/>
      <c r="F204" s="83" t="str">
        <f t="shared" ref="F204" si="1009">IF(H206="","",F203-H204)</f>
        <v/>
      </c>
      <c r="G204" s="84" t="str">
        <f t="shared" ref="G204" si="1010">IF(I206="","",F203-I204)</f>
        <v/>
      </c>
      <c r="H204" s="85" t="str">
        <f t="shared" ref="H204:I204" si="1011">IF(OR($A206="集水",$A206="吸水"),0.4,"")</f>
        <v/>
      </c>
      <c r="I204" s="85" t="str">
        <f t="shared" si="1011"/>
        <v/>
      </c>
      <c r="J204" s="86" t="str">
        <f t="shared" ref="J204" si="1012">IF(G204="","",F204-G204)</f>
        <v/>
      </c>
      <c r="K204" s="83" t="str">
        <f t="shared" ref="K204" si="1013">IF(M206="","",K203-M204)</f>
        <v/>
      </c>
      <c r="L204" s="87" t="str">
        <f t="shared" ref="L204" si="1014">IF(N206="","",K203-N204)</f>
        <v/>
      </c>
      <c r="M204" s="85" t="str">
        <f t="shared" ref="M204:N204" si="1015">IF(M206="","",IF(OR($A206="集水",$A206="吸水"),0.4,""))</f>
        <v/>
      </c>
      <c r="N204" s="85" t="str">
        <f t="shared" si="1015"/>
        <v/>
      </c>
      <c r="O204" s="86" t="str">
        <f t="shared" ref="O204" si="1016">IF(L204="","",K204-L204)</f>
        <v/>
      </c>
      <c r="P204" s="83" t="str">
        <f t="shared" ref="P204" si="1017">IF(R206="","",P203-R204)</f>
        <v/>
      </c>
      <c r="Q204" s="84" t="str">
        <f t="shared" ref="Q204" si="1018">IF(S206="","",P203-S204)</f>
        <v/>
      </c>
      <c r="R204" s="85" t="str">
        <f t="shared" ref="R204:S204" si="1019">IF(OR($A206="集水",$A206="吸水"),0.4,"")</f>
        <v/>
      </c>
      <c r="S204" s="85" t="str">
        <f t="shared" si="1019"/>
        <v/>
      </c>
      <c r="T204" s="86" t="str">
        <f t="shared" ref="T204" si="1020">IF(Q204="","",P204-Q204)</f>
        <v/>
      </c>
      <c r="U204" s="88"/>
      <c r="V204" s="89"/>
    </row>
    <row r="205" spans="1:22" ht="9" customHeight="1" x14ac:dyDescent="0.55000000000000004">
      <c r="A205" s="90"/>
      <c r="B205" s="91"/>
      <c r="C205" s="92" t="str">
        <f t="shared" ref="C205" si="1021">IF(B203="","",B205-B203)</f>
        <v/>
      </c>
      <c r="D205" s="91"/>
      <c r="E205" s="93" t="str">
        <f t="shared" ref="E205" si="1022">IF(D203="","",D205-D203)</f>
        <v/>
      </c>
      <c r="F205" s="94"/>
      <c r="G205" s="85"/>
      <c r="H205" s="85"/>
      <c r="I205" s="95"/>
      <c r="J205" s="86"/>
      <c r="K205" s="94"/>
      <c r="L205" s="85"/>
      <c r="M205" s="85"/>
      <c r="N205" s="95"/>
      <c r="O205" s="86"/>
      <c r="P205" s="94"/>
      <c r="Q205" s="85"/>
      <c r="R205" s="85"/>
      <c r="S205" s="95"/>
      <c r="T205" s="86"/>
      <c r="U205" s="96"/>
      <c r="V205" s="97"/>
    </row>
    <row r="206" spans="1:22" ht="9" customHeight="1" x14ac:dyDescent="0.55000000000000004">
      <c r="A206" s="98"/>
      <c r="B206" s="99"/>
      <c r="C206" s="100"/>
      <c r="D206" s="99"/>
      <c r="E206" s="101"/>
      <c r="F206" s="102" t="str">
        <f t="shared" ref="F206" si="1023">IF(H206="","",F203-H206)</f>
        <v/>
      </c>
      <c r="G206" s="103" t="str">
        <f t="shared" ref="G206" si="1024">IF(I206="","",F203-I206)</f>
        <v/>
      </c>
      <c r="H206" s="104"/>
      <c r="I206" s="104"/>
      <c r="J206" s="105"/>
      <c r="K206" s="106" t="str">
        <f t="shared" ref="K206" si="1025">IF(M206="","",K203-M206)</f>
        <v/>
      </c>
      <c r="L206" s="103" t="str">
        <f t="shared" ref="L206" si="1026">IF(N206="","",K203-N206)</f>
        <v/>
      </c>
      <c r="M206" s="104"/>
      <c r="N206" s="107"/>
      <c r="O206" s="105"/>
      <c r="P206" s="102" t="str">
        <f t="shared" ref="P206" si="1027">IF(R206="","",P203-R206)</f>
        <v/>
      </c>
      <c r="Q206" s="103" t="str">
        <f t="shared" ref="Q206" si="1028">IF(S206="","",P203-S206)</f>
        <v/>
      </c>
      <c r="R206" s="104"/>
      <c r="S206" s="104"/>
      <c r="T206" s="105"/>
      <c r="U206" s="108"/>
      <c r="V206" s="109"/>
    </row>
    <row r="207" spans="1:22" ht="9" customHeight="1" x14ac:dyDescent="0.55000000000000004">
      <c r="A207" s="19"/>
      <c r="B207" s="69"/>
      <c r="C207" s="70"/>
      <c r="D207" s="69"/>
      <c r="E207" s="71"/>
      <c r="F207" s="72"/>
      <c r="G207" s="73"/>
      <c r="H207" s="74"/>
      <c r="I207" s="75"/>
      <c r="J207" s="76"/>
      <c r="K207" s="72"/>
      <c r="L207" s="73"/>
      <c r="M207" s="74"/>
      <c r="N207" s="75"/>
      <c r="O207" s="76"/>
      <c r="P207" s="72"/>
      <c r="Q207" s="73"/>
      <c r="R207" s="74"/>
      <c r="S207" s="75"/>
      <c r="T207" s="76"/>
      <c r="U207" s="77" t="str">
        <f t="shared" ref="U207" si="1029">IF(OR(F210="",P210=""),"",B207/(F210-P210))</f>
        <v/>
      </c>
      <c r="V207" s="78"/>
    </row>
    <row r="208" spans="1:22" ht="9" customHeight="1" x14ac:dyDescent="0.55000000000000004">
      <c r="A208" s="79"/>
      <c r="B208" s="80"/>
      <c r="C208" s="81"/>
      <c r="D208" s="80"/>
      <c r="E208" s="82"/>
      <c r="F208" s="83" t="str">
        <f t="shared" ref="F208" si="1030">IF(H210="","",F207-H208)</f>
        <v/>
      </c>
      <c r="G208" s="84" t="str">
        <f t="shared" ref="G208" si="1031">IF(I210="","",F207-I208)</f>
        <v/>
      </c>
      <c r="H208" s="85" t="str">
        <f t="shared" ref="H208:I208" si="1032">IF(OR($A210="集水",$A210="吸水"),0.4,"")</f>
        <v/>
      </c>
      <c r="I208" s="85" t="str">
        <f t="shared" si="1032"/>
        <v/>
      </c>
      <c r="J208" s="86" t="str">
        <f t="shared" ref="J208" si="1033">IF(G208="","",F208-G208)</f>
        <v/>
      </c>
      <c r="K208" s="83" t="str">
        <f t="shared" ref="K208" si="1034">IF(M210="","",K207-M208)</f>
        <v/>
      </c>
      <c r="L208" s="87" t="str">
        <f t="shared" ref="L208" si="1035">IF(N210="","",K207-N208)</f>
        <v/>
      </c>
      <c r="M208" s="85" t="str">
        <f t="shared" ref="M208:N208" si="1036">IF(M210="","",IF(OR($A210="集水",$A210="吸水"),0.4,""))</f>
        <v/>
      </c>
      <c r="N208" s="85" t="str">
        <f t="shared" si="1036"/>
        <v/>
      </c>
      <c r="O208" s="86" t="str">
        <f t="shared" ref="O208" si="1037">IF(L208="","",K208-L208)</f>
        <v/>
      </c>
      <c r="P208" s="83" t="str">
        <f t="shared" ref="P208" si="1038">IF(R210="","",P207-R208)</f>
        <v/>
      </c>
      <c r="Q208" s="84" t="str">
        <f t="shared" ref="Q208" si="1039">IF(S210="","",P207-S208)</f>
        <v/>
      </c>
      <c r="R208" s="85" t="str">
        <f t="shared" ref="R208:S208" si="1040">IF(OR($A210="集水",$A210="吸水"),0.4,"")</f>
        <v/>
      </c>
      <c r="S208" s="85" t="str">
        <f t="shared" si="1040"/>
        <v/>
      </c>
      <c r="T208" s="86" t="str">
        <f t="shared" ref="T208" si="1041">IF(Q208="","",P208-Q208)</f>
        <v/>
      </c>
      <c r="U208" s="88"/>
      <c r="V208" s="89"/>
    </row>
    <row r="209" spans="1:22" ht="9" customHeight="1" x14ac:dyDescent="0.55000000000000004">
      <c r="A209" s="90"/>
      <c r="B209" s="91"/>
      <c r="C209" s="92" t="str">
        <f t="shared" ref="C209" si="1042">IF(B207="","",B209-B207)</f>
        <v/>
      </c>
      <c r="D209" s="91"/>
      <c r="E209" s="93" t="str">
        <f t="shared" ref="E209" si="1043">IF(D207="","",D209-D207)</f>
        <v/>
      </c>
      <c r="F209" s="94"/>
      <c r="G209" s="85"/>
      <c r="H209" s="85"/>
      <c r="I209" s="95"/>
      <c r="J209" s="86"/>
      <c r="K209" s="94"/>
      <c r="L209" s="85"/>
      <c r="M209" s="85"/>
      <c r="N209" s="95"/>
      <c r="O209" s="86"/>
      <c r="P209" s="94"/>
      <c r="Q209" s="85"/>
      <c r="R209" s="85"/>
      <c r="S209" s="95"/>
      <c r="T209" s="86"/>
      <c r="U209" s="96"/>
      <c r="V209" s="97"/>
    </row>
    <row r="210" spans="1:22" ht="9" customHeight="1" x14ac:dyDescent="0.55000000000000004">
      <c r="A210" s="98"/>
      <c r="B210" s="99"/>
      <c r="C210" s="100"/>
      <c r="D210" s="99"/>
      <c r="E210" s="101"/>
      <c r="F210" s="102" t="str">
        <f t="shared" ref="F210" si="1044">IF(H210="","",F207-H210)</f>
        <v/>
      </c>
      <c r="G210" s="103" t="str">
        <f t="shared" ref="G210" si="1045">IF(I210="","",F207-I210)</f>
        <v/>
      </c>
      <c r="H210" s="104"/>
      <c r="I210" s="104"/>
      <c r="J210" s="105"/>
      <c r="K210" s="106" t="str">
        <f t="shared" ref="K210" si="1046">IF(M210="","",K207-M210)</f>
        <v/>
      </c>
      <c r="L210" s="103" t="str">
        <f t="shared" ref="L210" si="1047">IF(N210="","",K207-N210)</f>
        <v/>
      </c>
      <c r="M210" s="104"/>
      <c r="N210" s="107"/>
      <c r="O210" s="105"/>
      <c r="P210" s="102" t="str">
        <f t="shared" ref="P210" si="1048">IF(R210="","",P207-R210)</f>
        <v/>
      </c>
      <c r="Q210" s="103" t="str">
        <f t="shared" ref="Q210" si="1049">IF(S210="","",P207-S210)</f>
        <v/>
      </c>
      <c r="R210" s="104"/>
      <c r="S210" s="104"/>
      <c r="T210" s="105"/>
      <c r="U210" s="108"/>
      <c r="V210" s="109"/>
    </row>
    <row r="211" spans="1:22" ht="9" customHeight="1" x14ac:dyDescent="0.55000000000000004">
      <c r="A211" s="19"/>
      <c r="B211" s="69"/>
      <c r="C211" s="70"/>
      <c r="D211" s="69"/>
      <c r="E211" s="71"/>
      <c r="F211" s="72"/>
      <c r="G211" s="73"/>
      <c r="H211" s="74"/>
      <c r="I211" s="75"/>
      <c r="J211" s="76"/>
      <c r="K211" s="72"/>
      <c r="L211" s="73"/>
      <c r="M211" s="74"/>
      <c r="N211" s="75"/>
      <c r="O211" s="76"/>
      <c r="P211" s="72"/>
      <c r="Q211" s="73"/>
      <c r="R211" s="74"/>
      <c r="S211" s="75"/>
      <c r="T211" s="76"/>
      <c r="U211" s="77" t="str">
        <f t="shared" ref="U211" si="1050">IF(OR(F214="",P214=""),"",B211/(F214-P214))</f>
        <v/>
      </c>
      <c r="V211" s="78"/>
    </row>
    <row r="212" spans="1:22" ht="9" customHeight="1" x14ac:dyDescent="0.55000000000000004">
      <c r="A212" s="79"/>
      <c r="B212" s="80"/>
      <c r="C212" s="81"/>
      <c r="D212" s="80"/>
      <c r="E212" s="82"/>
      <c r="F212" s="83" t="str">
        <f t="shared" ref="F212" si="1051">IF(H214="","",F211-H212)</f>
        <v/>
      </c>
      <c r="G212" s="84" t="str">
        <f t="shared" ref="G212" si="1052">IF(I214="","",F211-I212)</f>
        <v/>
      </c>
      <c r="H212" s="85" t="str">
        <f t="shared" ref="H212:I212" si="1053">IF(OR($A214="集水",$A214="吸水"),0.4,"")</f>
        <v/>
      </c>
      <c r="I212" s="85" t="str">
        <f t="shared" si="1053"/>
        <v/>
      </c>
      <c r="J212" s="86" t="str">
        <f t="shared" ref="J212" si="1054">IF(G212="","",F212-G212)</f>
        <v/>
      </c>
      <c r="K212" s="83" t="str">
        <f t="shared" ref="K212" si="1055">IF(M214="","",K211-M212)</f>
        <v/>
      </c>
      <c r="L212" s="87" t="str">
        <f t="shared" ref="L212" si="1056">IF(N214="","",K211-N212)</f>
        <v/>
      </c>
      <c r="M212" s="85" t="str">
        <f t="shared" ref="M212:N212" si="1057">IF(M214="","",IF(OR($A214="集水",$A214="吸水"),0.4,""))</f>
        <v/>
      </c>
      <c r="N212" s="85" t="str">
        <f t="shared" si="1057"/>
        <v/>
      </c>
      <c r="O212" s="86" t="str">
        <f t="shared" ref="O212" si="1058">IF(L212="","",K212-L212)</f>
        <v/>
      </c>
      <c r="P212" s="83" t="str">
        <f t="shared" ref="P212" si="1059">IF(R214="","",P211-R212)</f>
        <v/>
      </c>
      <c r="Q212" s="84" t="str">
        <f t="shared" ref="Q212" si="1060">IF(S214="","",P211-S212)</f>
        <v/>
      </c>
      <c r="R212" s="85" t="str">
        <f t="shared" ref="R212:S212" si="1061">IF(OR($A214="集水",$A214="吸水"),0.4,"")</f>
        <v/>
      </c>
      <c r="S212" s="85" t="str">
        <f t="shared" si="1061"/>
        <v/>
      </c>
      <c r="T212" s="86" t="str">
        <f t="shared" ref="T212" si="1062">IF(Q212="","",P212-Q212)</f>
        <v/>
      </c>
      <c r="U212" s="88"/>
      <c r="V212" s="89"/>
    </row>
    <row r="213" spans="1:22" ht="9" customHeight="1" x14ac:dyDescent="0.55000000000000004">
      <c r="A213" s="90"/>
      <c r="B213" s="91"/>
      <c r="C213" s="92" t="str">
        <f t="shared" ref="C213" si="1063">IF(B211="","",B213-B211)</f>
        <v/>
      </c>
      <c r="D213" s="91"/>
      <c r="E213" s="93" t="str">
        <f t="shared" ref="E213" si="1064">IF(D211="","",D213-D211)</f>
        <v/>
      </c>
      <c r="F213" s="94"/>
      <c r="G213" s="85"/>
      <c r="H213" s="85"/>
      <c r="I213" s="95"/>
      <c r="J213" s="86"/>
      <c r="K213" s="94"/>
      <c r="L213" s="85"/>
      <c r="M213" s="85"/>
      <c r="N213" s="95"/>
      <c r="O213" s="86"/>
      <c r="P213" s="94"/>
      <c r="Q213" s="85"/>
      <c r="R213" s="85"/>
      <c r="S213" s="95"/>
      <c r="T213" s="86"/>
      <c r="U213" s="96"/>
      <c r="V213" s="97"/>
    </row>
    <row r="214" spans="1:22" ht="9" customHeight="1" x14ac:dyDescent="0.55000000000000004">
      <c r="A214" s="98"/>
      <c r="B214" s="99"/>
      <c r="C214" s="100"/>
      <c r="D214" s="99"/>
      <c r="E214" s="101"/>
      <c r="F214" s="102" t="str">
        <f t="shared" ref="F214" si="1065">IF(H214="","",F211-H214)</f>
        <v/>
      </c>
      <c r="G214" s="103" t="str">
        <f t="shared" ref="G214" si="1066">IF(I214="","",F211-I214)</f>
        <v/>
      </c>
      <c r="H214" s="104"/>
      <c r="I214" s="104"/>
      <c r="J214" s="105"/>
      <c r="K214" s="106" t="str">
        <f t="shared" ref="K214" si="1067">IF(M214="","",K211-M214)</f>
        <v/>
      </c>
      <c r="L214" s="103" t="str">
        <f t="shared" ref="L214" si="1068">IF(N214="","",K211-N214)</f>
        <v/>
      </c>
      <c r="M214" s="104"/>
      <c r="N214" s="107"/>
      <c r="O214" s="105"/>
      <c r="P214" s="102" t="str">
        <f t="shared" ref="P214" si="1069">IF(R214="","",P211-R214)</f>
        <v/>
      </c>
      <c r="Q214" s="103" t="str">
        <f t="shared" ref="Q214" si="1070">IF(S214="","",P211-S214)</f>
        <v/>
      </c>
      <c r="R214" s="104"/>
      <c r="S214" s="104"/>
      <c r="T214" s="105"/>
      <c r="U214" s="108"/>
      <c r="V214" s="109"/>
    </row>
    <row r="215" spans="1:22" ht="9" customHeight="1" x14ac:dyDescent="0.55000000000000004">
      <c r="A215" s="19"/>
      <c r="B215" s="69"/>
      <c r="C215" s="70"/>
      <c r="D215" s="69"/>
      <c r="E215" s="71"/>
      <c r="F215" s="72"/>
      <c r="G215" s="73"/>
      <c r="H215" s="74"/>
      <c r="I215" s="75"/>
      <c r="J215" s="76"/>
      <c r="K215" s="72"/>
      <c r="L215" s="73"/>
      <c r="M215" s="74"/>
      <c r="N215" s="75"/>
      <c r="O215" s="76"/>
      <c r="P215" s="72"/>
      <c r="Q215" s="73"/>
      <c r="R215" s="74"/>
      <c r="S215" s="75"/>
      <c r="T215" s="76"/>
      <c r="U215" s="77" t="str">
        <f t="shared" ref="U215" si="1071">IF(OR(F218="",P218=""),"",B215/(F218-P218))</f>
        <v/>
      </c>
      <c r="V215" s="78"/>
    </row>
    <row r="216" spans="1:22" ht="9" customHeight="1" x14ac:dyDescent="0.55000000000000004">
      <c r="A216" s="79"/>
      <c r="B216" s="80"/>
      <c r="C216" s="81"/>
      <c r="D216" s="80"/>
      <c r="E216" s="82"/>
      <c r="F216" s="83" t="str">
        <f t="shared" ref="F216" si="1072">IF(H218="","",F215-H216)</f>
        <v/>
      </c>
      <c r="G216" s="84" t="str">
        <f t="shared" ref="G216" si="1073">IF(I218="","",F215-I216)</f>
        <v/>
      </c>
      <c r="H216" s="85" t="str">
        <f t="shared" ref="H216:I216" si="1074">IF(OR($A218="集水",$A218="吸水"),0.4,"")</f>
        <v/>
      </c>
      <c r="I216" s="85" t="str">
        <f t="shared" si="1074"/>
        <v/>
      </c>
      <c r="J216" s="86" t="str">
        <f t="shared" ref="J216" si="1075">IF(G216="","",F216-G216)</f>
        <v/>
      </c>
      <c r="K216" s="83" t="str">
        <f t="shared" ref="K216" si="1076">IF(M218="","",K215-M216)</f>
        <v/>
      </c>
      <c r="L216" s="87" t="str">
        <f t="shared" ref="L216" si="1077">IF(N218="","",K215-N216)</f>
        <v/>
      </c>
      <c r="M216" s="85" t="str">
        <f t="shared" ref="M216:N216" si="1078">IF(M218="","",IF(OR($A218="集水",$A218="吸水"),0.4,""))</f>
        <v/>
      </c>
      <c r="N216" s="85" t="str">
        <f t="shared" si="1078"/>
        <v/>
      </c>
      <c r="O216" s="86" t="str">
        <f t="shared" ref="O216" si="1079">IF(L216="","",K216-L216)</f>
        <v/>
      </c>
      <c r="P216" s="83" t="str">
        <f t="shared" ref="P216" si="1080">IF(R218="","",P215-R216)</f>
        <v/>
      </c>
      <c r="Q216" s="84" t="str">
        <f t="shared" ref="Q216" si="1081">IF(S218="","",P215-S216)</f>
        <v/>
      </c>
      <c r="R216" s="85" t="str">
        <f t="shared" ref="R216:S216" si="1082">IF(OR($A218="集水",$A218="吸水"),0.4,"")</f>
        <v/>
      </c>
      <c r="S216" s="85" t="str">
        <f t="shared" si="1082"/>
        <v/>
      </c>
      <c r="T216" s="86" t="str">
        <f t="shared" ref="T216" si="1083">IF(Q216="","",P216-Q216)</f>
        <v/>
      </c>
      <c r="U216" s="88"/>
      <c r="V216" s="89"/>
    </row>
    <row r="217" spans="1:22" ht="9" customHeight="1" x14ac:dyDescent="0.55000000000000004">
      <c r="A217" s="90"/>
      <c r="B217" s="91"/>
      <c r="C217" s="92" t="str">
        <f t="shared" ref="C217" si="1084">IF(B215="","",B217-B215)</f>
        <v/>
      </c>
      <c r="D217" s="91"/>
      <c r="E217" s="93" t="str">
        <f t="shared" ref="E217" si="1085">IF(D215="","",D217-D215)</f>
        <v/>
      </c>
      <c r="F217" s="94"/>
      <c r="G217" s="85"/>
      <c r="H217" s="85"/>
      <c r="I217" s="95"/>
      <c r="J217" s="86"/>
      <c r="K217" s="94"/>
      <c r="L217" s="85"/>
      <c r="M217" s="85"/>
      <c r="N217" s="95"/>
      <c r="O217" s="86"/>
      <c r="P217" s="94"/>
      <c r="Q217" s="85"/>
      <c r="R217" s="85"/>
      <c r="S217" s="95"/>
      <c r="T217" s="86"/>
      <c r="U217" s="96"/>
      <c r="V217" s="97"/>
    </row>
    <row r="218" spans="1:22" ht="9" customHeight="1" x14ac:dyDescent="0.55000000000000004">
      <c r="A218" s="98"/>
      <c r="B218" s="99"/>
      <c r="C218" s="100"/>
      <c r="D218" s="99"/>
      <c r="E218" s="101"/>
      <c r="F218" s="102" t="str">
        <f t="shared" ref="F218" si="1086">IF(H218="","",F215-H218)</f>
        <v/>
      </c>
      <c r="G218" s="103" t="str">
        <f t="shared" ref="G218" si="1087">IF(I218="","",F215-I218)</f>
        <v/>
      </c>
      <c r="H218" s="104"/>
      <c r="I218" s="104"/>
      <c r="J218" s="105"/>
      <c r="K218" s="106" t="str">
        <f t="shared" ref="K218" si="1088">IF(M218="","",K215-M218)</f>
        <v/>
      </c>
      <c r="L218" s="103" t="str">
        <f t="shared" ref="L218" si="1089">IF(N218="","",K215-N218)</f>
        <v/>
      </c>
      <c r="M218" s="104"/>
      <c r="N218" s="107"/>
      <c r="O218" s="105"/>
      <c r="P218" s="102" t="str">
        <f t="shared" ref="P218" si="1090">IF(R218="","",P215-R218)</f>
        <v/>
      </c>
      <c r="Q218" s="103" t="str">
        <f t="shared" ref="Q218" si="1091">IF(S218="","",P215-S218)</f>
        <v/>
      </c>
      <c r="R218" s="104"/>
      <c r="S218" s="104"/>
      <c r="T218" s="105"/>
      <c r="U218" s="108"/>
      <c r="V218" s="109"/>
    </row>
    <row r="219" spans="1:22" ht="9" customHeight="1" x14ac:dyDescent="0.55000000000000004">
      <c r="A219" s="19"/>
      <c r="B219" s="69"/>
      <c r="C219" s="70"/>
      <c r="D219" s="69"/>
      <c r="E219" s="71"/>
      <c r="F219" s="72"/>
      <c r="G219" s="73"/>
      <c r="H219" s="74"/>
      <c r="I219" s="75"/>
      <c r="J219" s="76"/>
      <c r="K219" s="72"/>
      <c r="L219" s="73"/>
      <c r="M219" s="74"/>
      <c r="N219" s="75"/>
      <c r="O219" s="76"/>
      <c r="P219" s="72"/>
      <c r="Q219" s="73"/>
      <c r="R219" s="74"/>
      <c r="S219" s="75"/>
      <c r="T219" s="76"/>
      <c r="U219" s="77" t="str">
        <f t="shared" ref="U219" si="1092">IF(OR(F222="",P222=""),"",B219/(F222-P222))</f>
        <v/>
      </c>
      <c r="V219" s="78"/>
    </row>
    <row r="220" spans="1:22" ht="9" customHeight="1" x14ac:dyDescent="0.55000000000000004">
      <c r="A220" s="79"/>
      <c r="B220" s="80"/>
      <c r="C220" s="81"/>
      <c r="D220" s="80"/>
      <c r="E220" s="82"/>
      <c r="F220" s="83" t="str">
        <f t="shared" ref="F220" si="1093">IF(H222="","",F219-H220)</f>
        <v/>
      </c>
      <c r="G220" s="84" t="str">
        <f t="shared" ref="G220" si="1094">IF(I222="","",F219-I220)</f>
        <v/>
      </c>
      <c r="H220" s="85" t="str">
        <f t="shared" ref="H220:I220" si="1095">IF(OR($A222="集水",$A222="吸水"),0.4,"")</f>
        <v/>
      </c>
      <c r="I220" s="85" t="str">
        <f t="shared" si="1095"/>
        <v/>
      </c>
      <c r="J220" s="86" t="str">
        <f t="shared" ref="J220" si="1096">IF(G220="","",F220-G220)</f>
        <v/>
      </c>
      <c r="K220" s="83" t="str">
        <f t="shared" ref="K220" si="1097">IF(M222="","",K219-M220)</f>
        <v/>
      </c>
      <c r="L220" s="87" t="str">
        <f t="shared" ref="L220" si="1098">IF(N222="","",K219-N220)</f>
        <v/>
      </c>
      <c r="M220" s="85" t="str">
        <f t="shared" ref="M220:N220" si="1099">IF(M222="","",IF(OR($A222="集水",$A222="吸水"),0.4,""))</f>
        <v/>
      </c>
      <c r="N220" s="85" t="str">
        <f t="shared" si="1099"/>
        <v/>
      </c>
      <c r="O220" s="86" t="str">
        <f t="shared" ref="O220" si="1100">IF(L220="","",K220-L220)</f>
        <v/>
      </c>
      <c r="P220" s="83" t="str">
        <f t="shared" ref="P220" si="1101">IF(R222="","",P219-R220)</f>
        <v/>
      </c>
      <c r="Q220" s="84" t="str">
        <f t="shared" ref="Q220" si="1102">IF(S222="","",P219-S220)</f>
        <v/>
      </c>
      <c r="R220" s="85" t="str">
        <f t="shared" ref="R220:S220" si="1103">IF(OR($A222="集水",$A222="吸水"),0.4,"")</f>
        <v/>
      </c>
      <c r="S220" s="85" t="str">
        <f t="shared" si="1103"/>
        <v/>
      </c>
      <c r="T220" s="86" t="str">
        <f t="shared" ref="T220" si="1104">IF(Q220="","",P220-Q220)</f>
        <v/>
      </c>
      <c r="U220" s="88"/>
      <c r="V220" s="89"/>
    </row>
    <row r="221" spans="1:22" ht="9" customHeight="1" x14ac:dyDescent="0.55000000000000004">
      <c r="A221" s="90"/>
      <c r="B221" s="91"/>
      <c r="C221" s="92" t="str">
        <f t="shared" ref="C221" si="1105">IF(B219="","",B221-B219)</f>
        <v/>
      </c>
      <c r="D221" s="91"/>
      <c r="E221" s="93" t="str">
        <f t="shared" ref="E221" si="1106">IF(D219="","",D221-D219)</f>
        <v/>
      </c>
      <c r="F221" s="94"/>
      <c r="G221" s="85"/>
      <c r="H221" s="85"/>
      <c r="I221" s="95"/>
      <c r="J221" s="86"/>
      <c r="K221" s="94"/>
      <c r="L221" s="85"/>
      <c r="M221" s="85"/>
      <c r="N221" s="95"/>
      <c r="O221" s="86"/>
      <c r="P221" s="94"/>
      <c r="Q221" s="85"/>
      <c r="R221" s="85"/>
      <c r="S221" s="95"/>
      <c r="T221" s="86"/>
      <c r="U221" s="96"/>
      <c r="V221" s="97"/>
    </row>
    <row r="222" spans="1:22" ht="9" customHeight="1" x14ac:dyDescent="0.55000000000000004">
      <c r="A222" s="98"/>
      <c r="B222" s="99"/>
      <c r="C222" s="100"/>
      <c r="D222" s="99"/>
      <c r="E222" s="101"/>
      <c r="F222" s="102" t="str">
        <f t="shared" ref="F222" si="1107">IF(H222="","",F219-H222)</f>
        <v/>
      </c>
      <c r="G222" s="103" t="str">
        <f t="shared" ref="G222" si="1108">IF(I222="","",F219-I222)</f>
        <v/>
      </c>
      <c r="H222" s="104"/>
      <c r="I222" s="104"/>
      <c r="J222" s="105"/>
      <c r="K222" s="106" t="str">
        <f t="shared" ref="K222" si="1109">IF(M222="","",K219-M222)</f>
        <v/>
      </c>
      <c r="L222" s="103" t="str">
        <f t="shared" ref="L222" si="1110">IF(N222="","",K219-N222)</f>
        <v/>
      </c>
      <c r="M222" s="104"/>
      <c r="N222" s="107"/>
      <c r="O222" s="105"/>
      <c r="P222" s="102" t="str">
        <f t="shared" ref="P222" si="1111">IF(R222="","",P219-R222)</f>
        <v/>
      </c>
      <c r="Q222" s="103" t="str">
        <f t="shared" ref="Q222" si="1112">IF(S222="","",P219-S222)</f>
        <v/>
      </c>
      <c r="R222" s="104"/>
      <c r="S222" s="104"/>
      <c r="T222" s="105"/>
      <c r="U222" s="108"/>
      <c r="V222" s="109"/>
    </row>
    <row r="223" spans="1:22" ht="9" customHeight="1" x14ac:dyDescent="0.55000000000000004">
      <c r="A223" s="19"/>
      <c r="B223" s="69"/>
      <c r="C223" s="70"/>
      <c r="D223" s="69"/>
      <c r="E223" s="71"/>
      <c r="F223" s="72"/>
      <c r="G223" s="73"/>
      <c r="H223" s="74"/>
      <c r="I223" s="75"/>
      <c r="J223" s="76"/>
      <c r="K223" s="72"/>
      <c r="L223" s="73"/>
      <c r="M223" s="74"/>
      <c r="N223" s="75"/>
      <c r="O223" s="76"/>
      <c r="P223" s="72"/>
      <c r="Q223" s="73"/>
      <c r="R223" s="74"/>
      <c r="S223" s="75"/>
      <c r="T223" s="76"/>
      <c r="U223" s="77" t="str">
        <f t="shared" ref="U223" si="1113">IF(OR(F226="",P226=""),"",B223/(F226-P226))</f>
        <v/>
      </c>
      <c r="V223" s="78"/>
    </row>
    <row r="224" spans="1:22" ht="9" customHeight="1" x14ac:dyDescent="0.55000000000000004">
      <c r="A224" s="79"/>
      <c r="B224" s="80"/>
      <c r="C224" s="81"/>
      <c r="D224" s="80"/>
      <c r="E224" s="82"/>
      <c r="F224" s="83" t="str">
        <f t="shared" ref="F224" si="1114">IF(H226="","",F223-H224)</f>
        <v/>
      </c>
      <c r="G224" s="84" t="str">
        <f t="shared" ref="G224" si="1115">IF(I226="","",F223-I224)</f>
        <v/>
      </c>
      <c r="H224" s="85" t="str">
        <f t="shared" ref="H224:I224" si="1116">IF(OR($A226="集水",$A226="吸水"),0.4,"")</f>
        <v/>
      </c>
      <c r="I224" s="85" t="str">
        <f t="shared" si="1116"/>
        <v/>
      </c>
      <c r="J224" s="86" t="str">
        <f t="shared" ref="J224" si="1117">IF(G224="","",F224-G224)</f>
        <v/>
      </c>
      <c r="K224" s="83" t="str">
        <f t="shared" ref="K224" si="1118">IF(M226="","",K223-M224)</f>
        <v/>
      </c>
      <c r="L224" s="87" t="str">
        <f t="shared" ref="L224" si="1119">IF(N226="","",K223-N224)</f>
        <v/>
      </c>
      <c r="M224" s="85" t="str">
        <f t="shared" ref="M224:N224" si="1120">IF(M226="","",IF(OR($A226="集水",$A226="吸水"),0.4,""))</f>
        <v/>
      </c>
      <c r="N224" s="85" t="str">
        <f t="shared" si="1120"/>
        <v/>
      </c>
      <c r="O224" s="86" t="str">
        <f t="shared" ref="O224" si="1121">IF(L224="","",K224-L224)</f>
        <v/>
      </c>
      <c r="P224" s="83" t="str">
        <f t="shared" ref="P224" si="1122">IF(R226="","",P223-R224)</f>
        <v/>
      </c>
      <c r="Q224" s="84" t="str">
        <f t="shared" ref="Q224" si="1123">IF(S226="","",P223-S224)</f>
        <v/>
      </c>
      <c r="R224" s="85" t="str">
        <f t="shared" ref="R224:S224" si="1124">IF(OR($A226="集水",$A226="吸水"),0.4,"")</f>
        <v/>
      </c>
      <c r="S224" s="85" t="str">
        <f t="shared" si="1124"/>
        <v/>
      </c>
      <c r="T224" s="86" t="str">
        <f t="shared" ref="T224" si="1125">IF(Q224="","",P224-Q224)</f>
        <v/>
      </c>
      <c r="U224" s="88"/>
      <c r="V224" s="89"/>
    </row>
    <row r="225" spans="1:22" ht="9" customHeight="1" x14ac:dyDescent="0.55000000000000004">
      <c r="A225" s="90"/>
      <c r="B225" s="91"/>
      <c r="C225" s="92" t="str">
        <f t="shared" ref="C225" si="1126">IF(B223="","",B225-B223)</f>
        <v/>
      </c>
      <c r="D225" s="91"/>
      <c r="E225" s="93" t="str">
        <f t="shared" ref="E225" si="1127">IF(D223="","",D225-D223)</f>
        <v/>
      </c>
      <c r="F225" s="94"/>
      <c r="G225" s="85"/>
      <c r="H225" s="85"/>
      <c r="I225" s="95"/>
      <c r="J225" s="86"/>
      <c r="K225" s="94"/>
      <c r="L225" s="85"/>
      <c r="M225" s="85"/>
      <c r="N225" s="95"/>
      <c r="O225" s="86"/>
      <c r="P225" s="94"/>
      <c r="Q225" s="85"/>
      <c r="R225" s="85"/>
      <c r="S225" s="95"/>
      <c r="T225" s="86"/>
      <c r="U225" s="96"/>
      <c r="V225" s="97"/>
    </row>
    <row r="226" spans="1:22" ht="9" customHeight="1" x14ac:dyDescent="0.55000000000000004">
      <c r="A226" s="98"/>
      <c r="B226" s="99"/>
      <c r="C226" s="100"/>
      <c r="D226" s="99"/>
      <c r="E226" s="101"/>
      <c r="F226" s="102" t="str">
        <f t="shared" ref="F226" si="1128">IF(H226="","",F223-H226)</f>
        <v/>
      </c>
      <c r="G226" s="103" t="str">
        <f t="shared" ref="G226" si="1129">IF(I226="","",F223-I226)</f>
        <v/>
      </c>
      <c r="H226" s="104"/>
      <c r="I226" s="104"/>
      <c r="J226" s="105"/>
      <c r="K226" s="106" t="str">
        <f t="shared" ref="K226" si="1130">IF(M226="","",K223-M226)</f>
        <v/>
      </c>
      <c r="L226" s="103" t="str">
        <f t="shared" ref="L226" si="1131">IF(N226="","",K223-N226)</f>
        <v/>
      </c>
      <c r="M226" s="104"/>
      <c r="N226" s="107"/>
      <c r="O226" s="105"/>
      <c r="P226" s="102" t="str">
        <f t="shared" ref="P226" si="1132">IF(R226="","",P223-R226)</f>
        <v/>
      </c>
      <c r="Q226" s="103" t="str">
        <f t="shared" ref="Q226" si="1133">IF(S226="","",P223-S226)</f>
        <v/>
      </c>
      <c r="R226" s="104"/>
      <c r="S226" s="104"/>
      <c r="T226" s="105"/>
      <c r="U226" s="108"/>
      <c r="V226" s="109"/>
    </row>
    <row r="227" spans="1:22" ht="9" customHeight="1" x14ac:dyDescent="0.55000000000000004">
      <c r="A227" s="19"/>
      <c r="B227" s="69"/>
      <c r="C227" s="70"/>
      <c r="D227" s="69"/>
      <c r="E227" s="71"/>
      <c r="F227" s="72"/>
      <c r="G227" s="73"/>
      <c r="H227" s="74"/>
      <c r="I227" s="75"/>
      <c r="J227" s="76"/>
      <c r="K227" s="72"/>
      <c r="L227" s="73"/>
      <c r="M227" s="74"/>
      <c r="N227" s="75"/>
      <c r="O227" s="76"/>
      <c r="P227" s="72"/>
      <c r="Q227" s="73"/>
      <c r="R227" s="74"/>
      <c r="S227" s="75"/>
      <c r="T227" s="76"/>
      <c r="U227" s="77" t="str">
        <f t="shared" ref="U227" si="1134">IF(OR(F230="",P230=""),"",B227/(F230-P230))</f>
        <v/>
      </c>
      <c r="V227" s="78"/>
    </row>
    <row r="228" spans="1:22" ht="9" customHeight="1" x14ac:dyDescent="0.55000000000000004">
      <c r="A228" s="79"/>
      <c r="B228" s="80"/>
      <c r="C228" s="81"/>
      <c r="D228" s="80"/>
      <c r="E228" s="82"/>
      <c r="F228" s="83" t="str">
        <f t="shared" ref="F228" si="1135">IF(H230="","",F227-H228)</f>
        <v/>
      </c>
      <c r="G228" s="84" t="str">
        <f t="shared" ref="G228" si="1136">IF(I230="","",F227-I228)</f>
        <v/>
      </c>
      <c r="H228" s="85" t="str">
        <f t="shared" ref="H228:I228" si="1137">IF(OR($A230="集水",$A230="吸水"),0.4,"")</f>
        <v/>
      </c>
      <c r="I228" s="85" t="str">
        <f t="shared" si="1137"/>
        <v/>
      </c>
      <c r="J228" s="86" t="str">
        <f t="shared" ref="J228" si="1138">IF(G228="","",F228-G228)</f>
        <v/>
      </c>
      <c r="K228" s="83" t="str">
        <f t="shared" ref="K228" si="1139">IF(M230="","",K227-M228)</f>
        <v/>
      </c>
      <c r="L228" s="87" t="str">
        <f t="shared" ref="L228" si="1140">IF(N230="","",K227-N228)</f>
        <v/>
      </c>
      <c r="M228" s="85" t="str">
        <f t="shared" ref="M228:N228" si="1141">IF(M230="","",IF(OR($A230="集水",$A230="吸水"),0.4,""))</f>
        <v/>
      </c>
      <c r="N228" s="85" t="str">
        <f t="shared" si="1141"/>
        <v/>
      </c>
      <c r="O228" s="86" t="str">
        <f t="shared" ref="O228" si="1142">IF(L228="","",K228-L228)</f>
        <v/>
      </c>
      <c r="P228" s="83" t="str">
        <f t="shared" ref="P228" si="1143">IF(R230="","",P227-R228)</f>
        <v/>
      </c>
      <c r="Q228" s="84" t="str">
        <f t="shared" ref="Q228" si="1144">IF(S230="","",P227-S228)</f>
        <v/>
      </c>
      <c r="R228" s="85" t="str">
        <f t="shared" ref="R228:S228" si="1145">IF(OR($A230="集水",$A230="吸水"),0.4,"")</f>
        <v/>
      </c>
      <c r="S228" s="85" t="str">
        <f t="shared" si="1145"/>
        <v/>
      </c>
      <c r="T228" s="86" t="str">
        <f t="shared" ref="T228" si="1146">IF(Q228="","",P228-Q228)</f>
        <v/>
      </c>
      <c r="U228" s="88"/>
      <c r="V228" s="89"/>
    </row>
    <row r="229" spans="1:22" ht="9" customHeight="1" x14ac:dyDescent="0.55000000000000004">
      <c r="A229" s="90"/>
      <c r="B229" s="91"/>
      <c r="C229" s="92" t="str">
        <f t="shared" ref="C229" si="1147">IF(B227="","",B229-B227)</f>
        <v/>
      </c>
      <c r="D229" s="91"/>
      <c r="E229" s="93" t="str">
        <f t="shared" ref="E229" si="1148">IF(D227="","",D229-D227)</f>
        <v/>
      </c>
      <c r="F229" s="94"/>
      <c r="G229" s="85"/>
      <c r="H229" s="85"/>
      <c r="I229" s="95"/>
      <c r="J229" s="86"/>
      <c r="K229" s="94"/>
      <c r="L229" s="85"/>
      <c r="M229" s="85"/>
      <c r="N229" s="95"/>
      <c r="O229" s="86"/>
      <c r="P229" s="94"/>
      <c r="Q229" s="85"/>
      <c r="R229" s="85"/>
      <c r="S229" s="95"/>
      <c r="T229" s="86"/>
      <c r="U229" s="96"/>
      <c r="V229" s="97"/>
    </row>
    <row r="230" spans="1:22" ht="9" customHeight="1" x14ac:dyDescent="0.55000000000000004">
      <c r="A230" s="98"/>
      <c r="B230" s="99"/>
      <c r="C230" s="100"/>
      <c r="D230" s="99"/>
      <c r="E230" s="101"/>
      <c r="F230" s="102" t="str">
        <f t="shared" ref="F230" si="1149">IF(H230="","",F227-H230)</f>
        <v/>
      </c>
      <c r="G230" s="103" t="str">
        <f t="shared" ref="G230" si="1150">IF(I230="","",F227-I230)</f>
        <v/>
      </c>
      <c r="H230" s="104"/>
      <c r="I230" s="104"/>
      <c r="J230" s="105"/>
      <c r="K230" s="106" t="str">
        <f t="shared" ref="K230" si="1151">IF(M230="","",K227-M230)</f>
        <v/>
      </c>
      <c r="L230" s="103" t="str">
        <f t="shared" ref="L230" si="1152">IF(N230="","",K227-N230)</f>
        <v/>
      </c>
      <c r="M230" s="104"/>
      <c r="N230" s="107"/>
      <c r="O230" s="105"/>
      <c r="P230" s="102" t="str">
        <f t="shared" ref="P230" si="1153">IF(R230="","",P227-R230)</f>
        <v/>
      </c>
      <c r="Q230" s="103" t="str">
        <f t="shared" ref="Q230" si="1154">IF(S230="","",P227-S230)</f>
        <v/>
      </c>
      <c r="R230" s="104"/>
      <c r="S230" s="104"/>
      <c r="T230" s="105"/>
      <c r="U230" s="108"/>
      <c r="V230" s="109"/>
    </row>
    <row r="231" spans="1:22" ht="9" customHeight="1" x14ac:dyDescent="0.55000000000000004">
      <c r="A231" s="19"/>
      <c r="B231" s="69"/>
      <c r="C231" s="70"/>
      <c r="D231" s="69"/>
      <c r="E231" s="71"/>
      <c r="F231" s="72"/>
      <c r="G231" s="73"/>
      <c r="H231" s="74"/>
      <c r="I231" s="75"/>
      <c r="J231" s="76"/>
      <c r="K231" s="72"/>
      <c r="L231" s="73"/>
      <c r="M231" s="74"/>
      <c r="N231" s="75"/>
      <c r="O231" s="76"/>
      <c r="P231" s="72"/>
      <c r="Q231" s="73"/>
      <c r="R231" s="74"/>
      <c r="S231" s="75"/>
      <c r="T231" s="76"/>
      <c r="U231" s="77" t="str">
        <f t="shared" ref="U231" si="1155">IF(OR(F234="",P234=""),"",B231/(F234-P234))</f>
        <v/>
      </c>
      <c r="V231" s="78"/>
    </row>
    <row r="232" spans="1:22" ht="9" customHeight="1" x14ac:dyDescent="0.55000000000000004">
      <c r="A232" s="79"/>
      <c r="B232" s="80"/>
      <c r="C232" s="81"/>
      <c r="D232" s="80"/>
      <c r="E232" s="82"/>
      <c r="F232" s="83" t="str">
        <f t="shared" ref="F232" si="1156">IF(H234="","",F231-H232)</f>
        <v/>
      </c>
      <c r="G232" s="84" t="str">
        <f t="shared" ref="G232" si="1157">IF(I234="","",F231-I232)</f>
        <v/>
      </c>
      <c r="H232" s="85" t="str">
        <f t="shared" ref="H232:I232" si="1158">IF(OR($A234="集水",$A234="吸水"),0.4,"")</f>
        <v/>
      </c>
      <c r="I232" s="85" t="str">
        <f t="shared" si="1158"/>
        <v/>
      </c>
      <c r="J232" s="86" t="str">
        <f t="shared" ref="J232" si="1159">IF(G232="","",F232-G232)</f>
        <v/>
      </c>
      <c r="K232" s="83" t="str">
        <f t="shared" ref="K232" si="1160">IF(M234="","",K231-M232)</f>
        <v/>
      </c>
      <c r="L232" s="87" t="str">
        <f t="shared" ref="L232" si="1161">IF(N234="","",K231-N232)</f>
        <v/>
      </c>
      <c r="M232" s="85" t="str">
        <f t="shared" ref="M232:N232" si="1162">IF(M234="","",IF(OR($A234="集水",$A234="吸水"),0.4,""))</f>
        <v/>
      </c>
      <c r="N232" s="85" t="str">
        <f t="shared" si="1162"/>
        <v/>
      </c>
      <c r="O232" s="86" t="str">
        <f t="shared" ref="O232" si="1163">IF(L232="","",K232-L232)</f>
        <v/>
      </c>
      <c r="P232" s="83" t="str">
        <f t="shared" ref="P232" si="1164">IF(R234="","",P231-R232)</f>
        <v/>
      </c>
      <c r="Q232" s="84" t="str">
        <f t="shared" ref="Q232" si="1165">IF(S234="","",P231-S232)</f>
        <v/>
      </c>
      <c r="R232" s="85" t="str">
        <f t="shared" ref="R232:S232" si="1166">IF(OR($A234="集水",$A234="吸水"),0.4,"")</f>
        <v/>
      </c>
      <c r="S232" s="85" t="str">
        <f t="shared" si="1166"/>
        <v/>
      </c>
      <c r="T232" s="86" t="str">
        <f t="shared" ref="T232" si="1167">IF(Q232="","",P232-Q232)</f>
        <v/>
      </c>
      <c r="U232" s="88"/>
      <c r="V232" s="89"/>
    </row>
    <row r="233" spans="1:22" ht="9" customHeight="1" x14ac:dyDescent="0.55000000000000004">
      <c r="A233" s="90"/>
      <c r="B233" s="91"/>
      <c r="C233" s="92" t="str">
        <f t="shared" ref="C233" si="1168">IF(B231="","",B233-B231)</f>
        <v/>
      </c>
      <c r="D233" s="91"/>
      <c r="E233" s="93" t="str">
        <f t="shared" ref="E233" si="1169">IF(D231="","",D233-D231)</f>
        <v/>
      </c>
      <c r="F233" s="94"/>
      <c r="G233" s="85"/>
      <c r="H233" s="85"/>
      <c r="I233" s="95"/>
      <c r="J233" s="86"/>
      <c r="K233" s="94"/>
      <c r="L233" s="85"/>
      <c r="M233" s="85"/>
      <c r="N233" s="95"/>
      <c r="O233" s="86"/>
      <c r="P233" s="94"/>
      <c r="Q233" s="85"/>
      <c r="R233" s="85"/>
      <c r="S233" s="95"/>
      <c r="T233" s="86"/>
      <c r="U233" s="96"/>
      <c r="V233" s="97"/>
    </row>
    <row r="234" spans="1:22" ht="9" customHeight="1" x14ac:dyDescent="0.55000000000000004">
      <c r="A234" s="98"/>
      <c r="B234" s="99"/>
      <c r="C234" s="100"/>
      <c r="D234" s="99"/>
      <c r="E234" s="101"/>
      <c r="F234" s="102" t="str">
        <f t="shared" ref="F234" si="1170">IF(H234="","",F231-H234)</f>
        <v/>
      </c>
      <c r="G234" s="103" t="str">
        <f t="shared" ref="G234" si="1171">IF(I234="","",F231-I234)</f>
        <v/>
      </c>
      <c r="H234" s="104"/>
      <c r="I234" s="104"/>
      <c r="J234" s="105"/>
      <c r="K234" s="106" t="str">
        <f t="shared" ref="K234" si="1172">IF(M234="","",K231-M234)</f>
        <v/>
      </c>
      <c r="L234" s="103" t="str">
        <f t="shared" ref="L234" si="1173">IF(N234="","",K231-N234)</f>
        <v/>
      </c>
      <c r="M234" s="104"/>
      <c r="N234" s="107"/>
      <c r="O234" s="105"/>
      <c r="P234" s="102" t="str">
        <f t="shared" ref="P234" si="1174">IF(R234="","",P231-R234)</f>
        <v/>
      </c>
      <c r="Q234" s="103" t="str">
        <f t="shared" ref="Q234" si="1175">IF(S234="","",P231-S234)</f>
        <v/>
      </c>
      <c r="R234" s="104"/>
      <c r="S234" s="104"/>
      <c r="T234" s="105"/>
      <c r="U234" s="108"/>
      <c r="V234" s="109"/>
    </row>
    <row r="235" spans="1:22" ht="9" customHeight="1" x14ac:dyDescent="0.55000000000000004">
      <c r="A235" s="19"/>
      <c r="B235" s="69"/>
      <c r="C235" s="70"/>
      <c r="D235" s="69"/>
      <c r="E235" s="71"/>
      <c r="F235" s="72"/>
      <c r="G235" s="73"/>
      <c r="H235" s="74"/>
      <c r="I235" s="75"/>
      <c r="J235" s="76"/>
      <c r="K235" s="72"/>
      <c r="L235" s="73"/>
      <c r="M235" s="74"/>
      <c r="N235" s="75"/>
      <c r="O235" s="76"/>
      <c r="P235" s="72"/>
      <c r="Q235" s="73"/>
      <c r="R235" s="74"/>
      <c r="S235" s="75"/>
      <c r="T235" s="76"/>
      <c r="U235" s="77" t="str">
        <f t="shared" ref="U235" si="1176">IF(OR(F238="",P238=""),"",B235/(F238-P238))</f>
        <v/>
      </c>
      <c r="V235" s="78"/>
    </row>
    <row r="236" spans="1:22" ht="9" customHeight="1" x14ac:dyDescent="0.55000000000000004">
      <c r="A236" s="79"/>
      <c r="B236" s="80"/>
      <c r="C236" s="81"/>
      <c r="D236" s="80"/>
      <c r="E236" s="82"/>
      <c r="F236" s="83" t="str">
        <f t="shared" ref="F236" si="1177">IF(H238="","",F235-H236)</f>
        <v/>
      </c>
      <c r="G236" s="84" t="str">
        <f t="shared" ref="G236" si="1178">IF(I238="","",F235-I236)</f>
        <v/>
      </c>
      <c r="H236" s="85" t="str">
        <f t="shared" ref="H236:I236" si="1179">IF(OR($A238="集水",$A238="吸水"),0.4,"")</f>
        <v/>
      </c>
      <c r="I236" s="85" t="str">
        <f t="shared" si="1179"/>
        <v/>
      </c>
      <c r="J236" s="86" t="str">
        <f t="shared" ref="J236" si="1180">IF(G236="","",F236-G236)</f>
        <v/>
      </c>
      <c r="K236" s="83" t="str">
        <f t="shared" ref="K236" si="1181">IF(M238="","",K235-M236)</f>
        <v/>
      </c>
      <c r="L236" s="87" t="str">
        <f t="shared" ref="L236" si="1182">IF(N238="","",K235-N236)</f>
        <v/>
      </c>
      <c r="M236" s="85" t="str">
        <f t="shared" ref="M236:N236" si="1183">IF(M238="","",IF(OR($A238="集水",$A238="吸水"),0.4,""))</f>
        <v/>
      </c>
      <c r="N236" s="85" t="str">
        <f t="shared" si="1183"/>
        <v/>
      </c>
      <c r="O236" s="86" t="str">
        <f t="shared" ref="O236" si="1184">IF(L236="","",K236-L236)</f>
        <v/>
      </c>
      <c r="P236" s="83" t="str">
        <f t="shared" ref="P236" si="1185">IF(R238="","",P235-R236)</f>
        <v/>
      </c>
      <c r="Q236" s="84" t="str">
        <f t="shared" ref="Q236" si="1186">IF(S238="","",P235-S236)</f>
        <v/>
      </c>
      <c r="R236" s="85" t="str">
        <f t="shared" ref="R236:S236" si="1187">IF(OR($A238="集水",$A238="吸水"),0.4,"")</f>
        <v/>
      </c>
      <c r="S236" s="85" t="str">
        <f t="shared" si="1187"/>
        <v/>
      </c>
      <c r="T236" s="86" t="str">
        <f t="shared" ref="T236" si="1188">IF(Q236="","",P236-Q236)</f>
        <v/>
      </c>
      <c r="U236" s="88"/>
      <c r="V236" s="89"/>
    </row>
    <row r="237" spans="1:22" ht="9" customHeight="1" x14ac:dyDescent="0.55000000000000004">
      <c r="A237" s="90"/>
      <c r="B237" s="91"/>
      <c r="C237" s="92" t="str">
        <f t="shared" ref="C237" si="1189">IF(B235="","",B237-B235)</f>
        <v/>
      </c>
      <c r="D237" s="91"/>
      <c r="E237" s="93" t="str">
        <f t="shared" ref="E237" si="1190">IF(D235="","",D237-D235)</f>
        <v/>
      </c>
      <c r="F237" s="94"/>
      <c r="G237" s="85"/>
      <c r="H237" s="85"/>
      <c r="I237" s="95"/>
      <c r="J237" s="86"/>
      <c r="K237" s="94"/>
      <c r="L237" s="85"/>
      <c r="M237" s="85"/>
      <c r="N237" s="95"/>
      <c r="O237" s="86"/>
      <c r="P237" s="94"/>
      <c r="Q237" s="85"/>
      <c r="R237" s="85"/>
      <c r="S237" s="95"/>
      <c r="T237" s="86"/>
      <c r="U237" s="96"/>
      <c r="V237" s="97"/>
    </row>
    <row r="238" spans="1:22" ht="9" customHeight="1" x14ac:dyDescent="0.55000000000000004">
      <c r="A238" s="98"/>
      <c r="B238" s="99"/>
      <c r="C238" s="100"/>
      <c r="D238" s="99"/>
      <c r="E238" s="101"/>
      <c r="F238" s="102" t="str">
        <f t="shared" ref="F238" si="1191">IF(H238="","",F235-H238)</f>
        <v/>
      </c>
      <c r="G238" s="103" t="str">
        <f t="shared" ref="G238" si="1192">IF(I238="","",F235-I238)</f>
        <v/>
      </c>
      <c r="H238" s="104"/>
      <c r="I238" s="104"/>
      <c r="J238" s="105"/>
      <c r="K238" s="106" t="str">
        <f t="shared" ref="K238" si="1193">IF(M238="","",K235-M238)</f>
        <v/>
      </c>
      <c r="L238" s="103" t="str">
        <f t="shared" ref="L238" si="1194">IF(N238="","",K235-N238)</f>
        <v/>
      </c>
      <c r="M238" s="104"/>
      <c r="N238" s="107"/>
      <c r="O238" s="105"/>
      <c r="P238" s="102" t="str">
        <f t="shared" ref="P238" si="1195">IF(R238="","",P235-R238)</f>
        <v/>
      </c>
      <c r="Q238" s="103" t="str">
        <f t="shared" ref="Q238" si="1196">IF(S238="","",P235-S238)</f>
        <v/>
      </c>
      <c r="R238" s="104"/>
      <c r="S238" s="104"/>
      <c r="T238" s="105"/>
      <c r="U238" s="108"/>
      <c r="V238" s="109"/>
    </row>
    <row r="239" spans="1:22" ht="9" customHeight="1" x14ac:dyDescent="0.55000000000000004">
      <c r="A239" s="19"/>
      <c r="B239" s="69"/>
      <c r="C239" s="70"/>
      <c r="D239" s="69"/>
      <c r="E239" s="71"/>
      <c r="F239" s="72"/>
      <c r="G239" s="73"/>
      <c r="H239" s="74"/>
      <c r="I239" s="75"/>
      <c r="J239" s="76"/>
      <c r="K239" s="72"/>
      <c r="L239" s="73"/>
      <c r="M239" s="74"/>
      <c r="N239" s="75"/>
      <c r="O239" s="76"/>
      <c r="P239" s="72"/>
      <c r="Q239" s="73"/>
      <c r="R239" s="74"/>
      <c r="S239" s="75"/>
      <c r="T239" s="76"/>
      <c r="U239" s="77" t="str">
        <f t="shared" ref="U239" si="1197">IF(OR(F242="",P242=""),"",B239/(F242-P242))</f>
        <v/>
      </c>
      <c r="V239" s="78"/>
    </row>
    <row r="240" spans="1:22" ht="9" customHeight="1" x14ac:dyDescent="0.55000000000000004">
      <c r="A240" s="79"/>
      <c r="B240" s="80"/>
      <c r="C240" s="81"/>
      <c r="D240" s="80"/>
      <c r="E240" s="82"/>
      <c r="F240" s="83" t="str">
        <f t="shared" ref="F240" si="1198">IF(H242="","",F239-H240)</f>
        <v/>
      </c>
      <c r="G240" s="84" t="str">
        <f t="shared" ref="G240" si="1199">IF(I242="","",F239-I240)</f>
        <v/>
      </c>
      <c r="H240" s="85" t="str">
        <f t="shared" ref="H240:I240" si="1200">IF(OR($A242="集水",$A242="吸水"),0.4,"")</f>
        <v/>
      </c>
      <c r="I240" s="85" t="str">
        <f t="shared" si="1200"/>
        <v/>
      </c>
      <c r="J240" s="86" t="str">
        <f t="shared" ref="J240" si="1201">IF(G240="","",F240-G240)</f>
        <v/>
      </c>
      <c r="K240" s="83" t="str">
        <f t="shared" ref="K240" si="1202">IF(M242="","",K239-M240)</f>
        <v/>
      </c>
      <c r="L240" s="87" t="str">
        <f t="shared" ref="L240" si="1203">IF(N242="","",K239-N240)</f>
        <v/>
      </c>
      <c r="M240" s="85" t="str">
        <f t="shared" ref="M240:N240" si="1204">IF(M242="","",IF(OR($A242="集水",$A242="吸水"),0.4,""))</f>
        <v/>
      </c>
      <c r="N240" s="85" t="str">
        <f t="shared" si="1204"/>
        <v/>
      </c>
      <c r="O240" s="86" t="str">
        <f t="shared" ref="O240" si="1205">IF(L240="","",K240-L240)</f>
        <v/>
      </c>
      <c r="P240" s="83" t="str">
        <f t="shared" ref="P240" si="1206">IF(R242="","",P239-R240)</f>
        <v/>
      </c>
      <c r="Q240" s="84" t="str">
        <f t="shared" ref="Q240" si="1207">IF(S242="","",P239-S240)</f>
        <v/>
      </c>
      <c r="R240" s="85" t="str">
        <f t="shared" ref="R240:S240" si="1208">IF(OR($A242="集水",$A242="吸水"),0.4,"")</f>
        <v/>
      </c>
      <c r="S240" s="85" t="str">
        <f t="shared" si="1208"/>
        <v/>
      </c>
      <c r="T240" s="86" t="str">
        <f t="shared" ref="T240" si="1209">IF(Q240="","",P240-Q240)</f>
        <v/>
      </c>
      <c r="U240" s="88"/>
      <c r="V240" s="89"/>
    </row>
    <row r="241" spans="1:22" ht="9" customHeight="1" x14ac:dyDescent="0.55000000000000004">
      <c r="A241" s="90"/>
      <c r="B241" s="91"/>
      <c r="C241" s="92" t="str">
        <f t="shared" ref="C241" si="1210">IF(B239="","",B241-B239)</f>
        <v/>
      </c>
      <c r="D241" s="91"/>
      <c r="E241" s="93" t="str">
        <f t="shared" ref="E241" si="1211">IF(D239="","",D241-D239)</f>
        <v/>
      </c>
      <c r="F241" s="94"/>
      <c r="G241" s="85"/>
      <c r="H241" s="85"/>
      <c r="I241" s="95"/>
      <c r="J241" s="86"/>
      <c r="K241" s="94"/>
      <c r="L241" s="85"/>
      <c r="M241" s="85"/>
      <c r="N241" s="95"/>
      <c r="O241" s="86"/>
      <c r="P241" s="94"/>
      <c r="Q241" s="85"/>
      <c r="R241" s="85"/>
      <c r="S241" s="95"/>
      <c r="T241" s="86"/>
      <c r="U241" s="96"/>
      <c r="V241" s="97"/>
    </row>
    <row r="242" spans="1:22" ht="9" customHeight="1" x14ac:dyDescent="0.55000000000000004">
      <c r="A242" s="98"/>
      <c r="B242" s="99"/>
      <c r="C242" s="100"/>
      <c r="D242" s="99"/>
      <c r="E242" s="101"/>
      <c r="F242" s="102" t="str">
        <f t="shared" ref="F242" si="1212">IF(H242="","",F239-H242)</f>
        <v/>
      </c>
      <c r="G242" s="103" t="str">
        <f t="shared" ref="G242" si="1213">IF(I242="","",F239-I242)</f>
        <v/>
      </c>
      <c r="H242" s="104"/>
      <c r="I242" s="104"/>
      <c r="J242" s="105"/>
      <c r="K242" s="106" t="str">
        <f t="shared" ref="K242" si="1214">IF(M242="","",K239-M242)</f>
        <v/>
      </c>
      <c r="L242" s="103" t="str">
        <f t="shared" ref="L242" si="1215">IF(N242="","",K239-N242)</f>
        <v/>
      </c>
      <c r="M242" s="104"/>
      <c r="N242" s="107"/>
      <c r="O242" s="105"/>
      <c r="P242" s="102" t="str">
        <f t="shared" ref="P242" si="1216">IF(R242="","",P239-R242)</f>
        <v/>
      </c>
      <c r="Q242" s="103" t="str">
        <f t="shared" ref="Q242" si="1217">IF(S242="","",P239-S242)</f>
        <v/>
      </c>
      <c r="R242" s="104"/>
      <c r="S242" s="104"/>
      <c r="T242" s="105"/>
      <c r="U242" s="108"/>
      <c r="V242" s="109"/>
    </row>
    <row r="243" spans="1:22" ht="9" customHeight="1" x14ac:dyDescent="0.55000000000000004">
      <c r="A243" s="19"/>
      <c r="B243" s="69"/>
      <c r="C243" s="70"/>
      <c r="D243" s="69"/>
      <c r="E243" s="71"/>
      <c r="F243" s="72"/>
      <c r="G243" s="73"/>
      <c r="H243" s="74"/>
      <c r="I243" s="75"/>
      <c r="J243" s="76"/>
      <c r="K243" s="72"/>
      <c r="L243" s="73"/>
      <c r="M243" s="74"/>
      <c r="N243" s="75"/>
      <c r="O243" s="76"/>
      <c r="P243" s="72"/>
      <c r="Q243" s="73"/>
      <c r="R243" s="74"/>
      <c r="S243" s="75"/>
      <c r="T243" s="76"/>
      <c r="U243" s="77" t="str">
        <f t="shared" ref="U243" si="1218">IF(OR(F246="",P246=""),"",B243/(F246-P246))</f>
        <v/>
      </c>
      <c r="V243" s="78"/>
    </row>
    <row r="244" spans="1:22" ht="9" customHeight="1" x14ac:dyDescent="0.55000000000000004">
      <c r="A244" s="79"/>
      <c r="B244" s="80"/>
      <c r="C244" s="81"/>
      <c r="D244" s="80"/>
      <c r="E244" s="82"/>
      <c r="F244" s="83" t="str">
        <f t="shared" ref="F244" si="1219">IF(H246="","",F243-H244)</f>
        <v/>
      </c>
      <c r="G244" s="84" t="str">
        <f t="shared" ref="G244" si="1220">IF(I246="","",F243-I244)</f>
        <v/>
      </c>
      <c r="H244" s="85" t="str">
        <f t="shared" ref="H244:I244" si="1221">IF(OR($A246="集水",$A246="吸水"),0.4,"")</f>
        <v/>
      </c>
      <c r="I244" s="85" t="str">
        <f t="shared" si="1221"/>
        <v/>
      </c>
      <c r="J244" s="86" t="str">
        <f t="shared" ref="J244" si="1222">IF(G244="","",F244-G244)</f>
        <v/>
      </c>
      <c r="K244" s="83" t="str">
        <f t="shared" ref="K244" si="1223">IF(M246="","",K243-M244)</f>
        <v/>
      </c>
      <c r="L244" s="87" t="str">
        <f t="shared" ref="L244" si="1224">IF(N246="","",K243-N244)</f>
        <v/>
      </c>
      <c r="M244" s="85" t="str">
        <f t="shared" ref="M244:N244" si="1225">IF(M246="","",IF(OR($A246="集水",$A246="吸水"),0.4,""))</f>
        <v/>
      </c>
      <c r="N244" s="85" t="str">
        <f t="shared" si="1225"/>
        <v/>
      </c>
      <c r="O244" s="86" t="str">
        <f t="shared" ref="O244" si="1226">IF(L244="","",K244-L244)</f>
        <v/>
      </c>
      <c r="P244" s="83" t="str">
        <f t="shared" ref="P244" si="1227">IF(R246="","",P243-R244)</f>
        <v/>
      </c>
      <c r="Q244" s="84" t="str">
        <f t="shared" ref="Q244" si="1228">IF(S246="","",P243-S244)</f>
        <v/>
      </c>
      <c r="R244" s="85" t="str">
        <f t="shared" ref="R244:S244" si="1229">IF(OR($A246="集水",$A246="吸水"),0.4,"")</f>
        <v/>
      </c>
      <c r="S244" s="85" t="str">
        <f t="shared" si="1229"/>
        <v/>
      </c>
      <c r="T244" s="86" t="str">
        <f t="shared" ref="T244" si="1230">IF(Q244="","",P244-Q244)</f>
        <v/>
      </c>
      <c r="U244" s="88"/>
      <c r="V244" s="89"/>
    </row>
    <row r="245" spans="1:22" ht="9" customHeight="1" x14ac:dyDescent="0.55000000000000004">
      <c r="A245" s="90"/>
      <c r="B245" s="91"/>
      <c r="C245" s="92" t="str">
        <f t="shared" ref="C245" si="1231">IF(B243="","",B245-B243)</f>
        <v/>
      </c>
      <c r="D245" s="91"/>
      <c r="E245" s="93" t="str">
        <f t="shared" ref="E245" si="1232">IF(D243="","",D245-D243)</f>
        <v/>
      </c>
      <c r="F245" s="94"/>
      <c r="G245" s="85"/>
      <c r="H245" s="85"/>
      <c r="I245" s="95"/>
      <c r="J245" s="86"/>
      <c r="K245" s="94"/>
      <c r="L245" s="85"/>
      <c r="M245" s="85"/>
      <c r="N245" s="95"/>
      <c r="O245" s="86"/>
      <c r="P245" s="94"/>
      <c r="Q245" s="85"/>
      <c r="R245" s="85"/>
      <c r="S245" s="95"/>
      <c r="T245" s="86"/>
      <c r="U245" s="96"/>
      <c r="V245" s="97"/>
    </row>
    <row r="246" spans="1:22" ht="9" customHeight="1" x14ac:dyDescent="0.55000000000000004">
      <c r="A246" s="98"/>
      <c r="B246" s="99"/>
      <c r="C246" s="100"/>
      <c r="D246" s="99"/>
      <c r="E246" s="101"/>
      <c r="F246" s="102" t="str">
        <f t="shared" ref="F246" si="1233">IF(H246="","",F243-H246)</f>
        <v/>
      </c>
      <c r="G246" s="103" t="str">
        <f t="shared" ref="G246" si="1234">IF(I246="","",F243-I246)</f>
        <v/>
      </c>
      <c r="H246" s="104"/>
      <c r="I246" s="104"/>
      <c r="J246" s="105"/>
      <c r="K246" s="106" t="str">
        <f t="shared" ref="K246" si="1235">IF(M246="","",K243-M246)</f>
        <v/>
      </c>
      <c r="L246" s="103" t="str">
        <f t="shared" ref="L246" si="1236">IF(N246="","",K243-N246)</f>
        <v/>
      </c>
      <c r="M246" s="104"/>
      <c r="N246" s="107"/>
      <c r="O246" s="105"/>
      <c r="P246" s="102" t="str">
        <f t="shared" ref="P246" si="1237">IF(R246="","",P243-R246)</f>
        <v/>
      </c>
      <c r="Q246" s="103" t="str">
        <f t="shared" ref="Q246" si="1238">IF(S246="","",P243-S246)</f>
        <v/>
      </c>
      <c r="R246" s="104"/>
      <c r="S246" s="104"/>
      <c r="T246" s="105"/>
      <c r="U246" s="108"/>
      <c r="V246" s="109"/>
    </row>
    <row r="247" spans="1:22" ht="9" customHeight="1" x14ac:dyDescent="0.55000000000000004">
      <c r="A247" s="19"/>
      <c r="B247" s="69"/>
      <c r="C247" s="70"/>
      <c r="D247" s="69"/>
      <c r="E247" s="71"/>
      <c r="F247" s="72"/>
      <c r="G247" s="73"/>
      <c r="H247" s="74"/>
      <c r="I247" s="75"/>
      <c r="J247" s="76"/>
      <c r="K247" s="72"/>
      <c r="L247" s="73"/>
      <c r="M247" s="74"/>
      <c r="N247" s="75"/>
      <c r="O247" s="76"/>
      <c r="P247" s="72"/>
      <c r="Q247" s="73"/>
      <c r="R247" s="74"/>
      <c r="S247" s="75"/>
      <c r="T247" s="76"/>
      <c r="U247" s="77" t="str">
        <f t="shared" ref="U247" si="1239">IF(OR(F250="",P250=""),"",B247/(F250-P250))</f>
        <v/>
      </c>
      <c r="V247" s="78"/>
    </row>
    <row r="248" spans="1:22" ht="9" customHeight="1" x14ac:dyDescent="0.55000000000000004">
      <c r="A248" s="79"/>
      <c r="B248" s="80"/>
      <c r="C248" s="81"/>
      <c r="D248" s="80"/>
      <c r="E248" s="82"/>
      <c r="F248" s="83" t="str">
        <f t="shared" ref="F248" si="1240">IF(H250="","",F247-H248)</f>
        <v/>
      </c>
      <c r="G248" s="84" t="str">
        <f t="shared" ref="G248" si="1241">IF(I250="","",F247-I248)</f>
        <v/>
      </c>
      <c r="H248" s="85" t="str">
        <f t="shared" ref="H248:I248" si="1242">IF(OR($A250="集水",$A250="吸水"),0.4,"")</f>
        <v/>
      </c>
      <c r="I248" s="85" t="str">
        <f t="shared" si="1242"/>
        <v/>
      </c>
      <c r="J248" s="86" t="str">
        <f t="shared" ref="J248" si="1243">IF(G248="","",F248-G248)</f>
        <v/>
      </c>
      <c r="K248" s="83" t="str">
        <f t="shared" ref="K248" si="1244">IF(M250="","",K247-M248)</f>
        <v/>
      </c>
      <c r="L248" s="87" t="str">
        <f t="shared" ref="L248" si="1245">IF(N250="","",K247-N248)</f>
        <v/>
      </c>
      <c r="M248" s="85" t="str">
        <f t="shared" ref="M248:N248" si="1246">IF(M250="","",IF(OR($A250="集水",$A250="吸水"),0.4,""))</f>
        <v/>
      </c>
      <c r="N248" s="85" t="str">
        <f t="shared" si="1246"/>
        <v/>
      </c>
      <c r="O248" s="86" t="str">
        <f t="shared" ref="O248" si="1247">IF(L248="","",K248-L248)</f>
        <v/>
      </c>
      <c r="P248" s="83" t="str">
        <f t="shared" ref="P248" si="1248">IF(R250="","",P247-R248)</f>
        <v/>
      </c>
      <c r="Q248" s="84" t="str">
        <f t="shared" ref="Q248" si="1249">IF(S250="","",P247-S248)</f>
        <v/>
      </c>
      <c r="R248" s="85" t="str">
        <f t="shared" ref="R248:S248" si="1250">IF(OR($A250="集水",$A250="吸水"),0.4,"")</f>
        <v/>
      </c>
      <c r="S248" s="85" t="str">
        <f t="shared" si="1250"/>
        <v/>
      </c>
      <c r="T248" s="86" t="str">
        <f t="shared" ref="T248" si="1251">IF(Q248="","",P248-Q248)</f>
        <v/>
      </c>
      <c r="U248" s="88"/>
      <c r="V248" s="89"/>
    </row>
    <row r="249" spans="1:22" ht="9" customHeight="1" x14ac:dyDescent="0.55000000000000004">
      <c r="A249" s="90"/>
      <c r="B249" s="91"/>
      <c r="C249" s="92" t="str">
        <f t="shared" ref="C249" si="1252">IF(B247="","",B249-B247)</f>
        <v/>
      </c>
      <c r="D249" s="91"/>
      <c r="E249" s="93" t="str">
        <f t="shared" ref="E249" si="1253">IF(D247="","",D249-D247)</f>
        <v/>
      </c>
      <c r="F249" s="94"/>
      <c r="G249" s="85"/>
      <c r="H249" s="85"/>
      <c r="I249" s="95"/>
      <c r="J249" s="86"/>
      <c r="K249" s="94"/>
      <c r="L249" s="85"/>
      <c r="M249" s="85"/>
      <c r="N249" s="95"/>
      <c r="O249" s="86"/>
      <c r="P249" s="94"/>
      <c r="Q249" s="85"/>
      <c r="R249" s="85"/>
      <c r="S249" s="95"/>
      <c r="T249" s="86"/>
      <c r="U249" s="96"/>
      <c r="V249" s="97"/>
    </row>
    <row r="250" spans="1:22" ht="9" customHeight="1" x14ac:dyDescent="0.55000000000000004">
      <c r="A250" s="98"/>
      <c r="B250" s="99"/>
      <c r="C250" s="100"/>
      <c r="D250" s="99"/>
      <c r="E250" s="101"/>
      <c r="F250" s="102" t="str">
        <f t="shared" ref="F250" si="1254">IF(H250="","",F247-H250)</f>
        <v/>
      </c>
      <c r="G250" s="103" t="str">
        <f t="shared" ref="G250" si="1255">IF(I250="","",F247-I250)</f>
        <v/>
      </c>
      <c r="H250" s="104"/>
      <c r="I250" s="104"/>
      <c r="J250" s="105"/>
      <c r="K250" s="106" t="str">
        <f t="shared" ref="K250" si="1256">IF(M250="","",K247-M250)</f>
        <v/>
      </c>
      <c r="L250" s="103" t="str">
        <f t="shared" ref="L250" si="1257">IF(N250="","",K247-N250)</f>
        <v/>
      </c>
      <c r="M250" s="104"/>
      <c r="N250" s="107"/>
      <c r="O250" s="105"/>
      <c r="P250" s="102" t="str">
        <f t="shared" ref="P250" si="1258">IF(R250="","",P247-R250)</f>
        <v/>
      </c>
      <c r="Q250" s="103" t="str">
        <f t="shared" ref="Q250" si="1259">IF(S250="","",P247-S250)</f>
        <v/>
      </c>
      <c r="R250" s="104"/>
      <c r="S250" s="104"/>
      <c r="T250" s="105"/>
      <c r="U250" s="108"/>
      <c r="V250" s="109"/>
    </row>
    <row r="251" spans="1:22" ht="9" customHeight="1" x14ac:dyDescent="0.55000000000000004">
      <c r="A251" s="19"/>
      <c r="B251" s="69"/>
      <c r="C251" s="70"/>
      <c r="D251" s="69"/>
      <c r="E251" s="71"/>
      <c r="F251" s="72"/>
      <c r="G251" s="73"/>
      <c r="H251" s="74"/>
      <c r="I251" s="75"/>
      <c r="J251" s="76"/>
      <c r="K251" s="72"/>
      <c r="L251" s="73"/>
      <c r="M251" s="74"/>
      <c r="N251" s="75"/>
      <c r="O251" s="76"/>
      <c r="P251" s="72"/>
      <c r="Q251" s="73"/>
      <c r="R251" s="74"/>
      <c r="S251" s="75"/>
      <c r="T251" s="76"/>
      <c r="U251" s="77" t="str">
        <f t="shared" ref="U251" si="1260">IF(OR(F254="",P254=""),"",B251/(F254-P254))</f>
        <v/>
      </c>
      <c r="V251" s="78"/>
    </row>
    <row r="252" spans="1:22" ht="9" customHeight="1" x14ac:dyDescent="0.55000000000000004">
      <c r="A252" s="79"/>
      <c r="B252" s="80"/>
      <c r="C252" s="81"/>
      <c r="D252" s="80"/>
      <c r="E252" s="82"/>
      <c r="F252" s="83" t="str">
        <f t="shared" ref="F252" si="1261">IF(H254="","",F251-H252)</f>
        <v/>
      </c>
      <c r="G252" s="84" t="str">
        <f t="shared" ref="G252" si="1262">IF(I254="","",F251-I252)</f>
        <v/>
      </c>
      <c r="H252" s="85" t="str">
        <f t="shared" ref="H252:I252" si="1263">IF(OR($A254="集水",$A254="吸水"),0.4,"")</f>
        <v/>
      </c>
      <c r="I252" s="85" t="str">
        <f t="shared" si="1263"/>
        <v/>
      </c>
      <c r="J252" s="86" t="str">
        <f t="shared" ref="J252" si="1264">IF(G252="","",F252-G252)</f>
        <v/>
      </c>
      <c r="K252" s="83" t="str">
        <f t="shared" ref="K252" si="1265">IF(M254="","",K251-M252)</f>
        <v/>
      </c>
      <c r="L252" s="87" t="str">
        <f t="shared" ref="L252" si="1266">IF(N254="","",K251-N252)</f>
        <v/>
      </c>
      <c r="M252" s="85" t="str">
        <f t="shared" ref="M252:N252" si="1267">IF(M254="","",IF(OR($A254="集水",$A254="吸水"),0.4,""))</f>
        <v/>
      </c>
      <c r="N252" s="85" t="str">
        <f t="shared" si="1267"/>
        <v/>
      </c>
      <c r="O252" s="86" t="str">
        <f t="shared" ref="O252" si="1268">IF(L252="","",K252-L252)</f>
        <v/>
      </c>
      <c r="P252" s="83" t="str">
        <f t="shared" ref="P252" si="1269">IF(R254="","",P251-R252)</f>
        <v/>
      </c>
      <c r="Q252" s="84" t="str">
        <f t="shared" ref="Q252" si="1270">IF(S254="","",P251-S252)</f>
        <v/>
      </c>
      <c r="R252" s="85" t="str">
        <f t="shared" ref="R252:S252" si="1271">IF(OR($A254="集水",$A254="吸水"),0.4,"")</f>
        <v/>
      </c>
      <c r="S252" s="85" t="str">
        <f t="shared" si="1271"/>
        <v/>
      </c>
      <c r="T252" s="86" t="str">
        <f t="shared" ref="T252" si="1272">IF(Q252="","",P252-Q252)</f>
        <v/>
      </c>
      <c r="U252" s="88"/>
      <c r="V252" s="89"/>
    </row>
    <row r="253" spans="1:22" ht="9" customHeight="1" x14ac:dyDescent="0.55000000000000004">
      <c r="A253" s="90"/>
      <c r="B253" s="91"/>
      <c r="C253" s="92" t="str">
        <f t="shared" ref="C253" si="1273">IF(B251="","",B253-B251)</f>
        <v/>
      </c>
      <c r="D253" s="91"/>
      <c r="E253" s="93" t="str">
        <f t="shared" ref="E253" si="1274">IF(D251="","",D253-D251)</f>
        <v/>
      </c>
      <c r="F253" s="94"/>
      <c r="G253" s="85"/>
      <c r="H253" s="85"/>
      <c r="I253" s="95"/>
      <c r="J253" s="86"/>
      <c r="K253" s="94"/>
      <c r="L253" s="85"/>
      <c r="M253" s="85"/>
      <c r="N253" s="95"/>
      <c r="O253" s="86"/>
      <c r="P253" s="94"/>
      <c r="Q253" s="85"/>
      <c r="R253" s="85"/>
      <c r="S253" s="95"/>
      <c r="T253" s="86"/>
      <c r="U253" s="96"/>
      <c r="V253" s="97"/>
    </row>
    <row r="254" spans="1:22" ht="9" customHeight="1" x14ac:dyDescent="0.55000000000000004">
      <c r="A254" s="98"/>
      <c r="B254" s="99"/>
      <c r="C254" s="100"/>
      <c r="D254" s="99"/>
      <c r="E254" s="101"/>
      <c r="F254" s="102" t="str">
        <f t="shared" ref="F254" si="1275">IF(H254="","",F251-H254)</f>
        <v/>
      </c>
      <c r="G254" s="103" t="str">
        <f t="shared" ref="G254" si="1276">IF(I254="","",F251-I254)</f>
        <v/>
      </c>
      <c r="H254" s="104"/>
      <c r="I254" s="104"/>
      <c r="J254" s="105"/>
      <c r="K254" s="106" t="str">
        <f t="shared" ref="K254" si="1277">IF(M254="","",K251-M254)</f>
        <v/>
      </c>
      <c r="L254" s="103" t="str">
        <f t="shared" ref="L254" si="1278">IF(N254="","",K251-N254)</f>
        <v/>
      </c>
      <c r="M254" s="104"/>
      <c r="N254" s="107"/>
      <c r="O254" s="105"/>
      <c r="P254" s="102" t="str">
        <f t="shared" ref="P254" si="1279">IF(R254="","",P251-R254)</f>
        <v/>
      </c>
      <c r="Q254" s="103" t="str">
        <f t="shared" ref="Q254" si="1280">IF(S254="","",P251-S254)</f>
        <v/>
      </c>
      <c r="R254" s="104"/>
      <c r="S254" s="104"/>
      <c r="T254" s="105"/>
      <c r="U254" s="108"/>
      <c r="V254" s="109"/>
    </row>
    <row r="255" spans="1:22" ht="9" customHeight="1" x14ac:dyDescent="0.55000000000000004">
      <c r="A255" s="19"/>
      <c r="B255" s="69"/>
      <c r="C255" s="70"/>
      <c r="D255" s="69"/>
      <c r="E255" s="71"/>
      <c r="F255" s="72"/>
      <c r="G255" s="73"/>
      <c r="H255" s="74"/>
      <c r="I255" s="75"/>
      <c r="J255" s="76"/>
      <c r="K255" s="72"/>
      <c r="L255" s="73"/>
      <c r="M255" s="74"/>
      <c r="N255" s="75"/>
      <c r="O255" s="76"/>
      <c r="P255" s="72"/>
      <c r="Q255" s="73"/>
      <c r="R255" s="74"/>
      <c r="S255" s="75"/>
      <c r="T255" s="76"/>
      <c r="U255" s="77" t="str">
        <f t="shared" ref="U255" si="1281">IF(OR(F258="",P258=""),"",B255/(F258-P258))</f>
        <v/>
      </c>
      <c r="V255" s="78"/>
    </row>
    <row r="256" spans="1:22" ht="9" customHeight="1" x14ac:dyDescent="0.55000000000000004">
      <c r="A256" s="79"/>
      <c r="B256" s="80"/>
      <c r="C256" s="81"/>
      <c r="D256" s="80"/>
      <c r="E256" s="82"/>
      <c r="F256" s="83" t="str">
        <f t="shared" ref="F256" si="1282">IF(H258="","",F255-H256)</f>
        <v/>
      </c>
      <c r="G256" s="84" t="str">
        <f t="shared" ref="G256" si="1283">IF(I258="","",F255-I256)</f>
        <v/>
      </c>
      <c r="H256" s="85" t="str">
        <f t="shared" ref="H256:I256" si="1284">IF(OR($A258="集水",$A258="吸水"),0.4,"")</f>
        <v/>
      </c>
      <c r="I256" s="85" t="str">
        <f t="shared" si="1284"/>
        <v/>
      </c>
      <c r="J256" s="86" t="str">
        <f t="shared" ref="J256" si="1285">IF(G256="","",F256-G256)</f>
        <v/>
      </c>
      <c r="K256" s="83" t="str">
        <f t="shared" ref="K256" si="1286">IF(M258="","",K255-M256)</f>
        <v/>
      </c>
      <c r="L256" s="87" t="str">
        <f t="shared" ref="L256" si="1287">IF(N258="","",K255-N256)</f>
        <v/>
      </c>
      <c r="M256" s="85" t="str">
        <f t="shared" ref="M256:N256" si="1288">IF(M258="","",IF(OR($A258="集水",$A258="吸水"),0.4,""))</f>
        <v/>
      </c>
      <c r="N256" s="85" t="str">
        <f t="shared" si="1288"/>
        <v/>
      </c>
      <c r="O256" s="86" t="str">
        <f t="shared" ref="O256" si="1289">IF(L256="","",K256-L256)</f>
        <v/>
      </c>
      <c r="P256" s="83" t="str">
        <f t="shared" ref="P256" si="1290">IF(R258="","",P255-R256)</f>
        <v/>
      </c>
      <c r="Q256" s="84" t="str">
        <f t="shared" ref="Q256" si="1291">IF(S258="","",P255-S256)</f>
        <v/>
      </c>
      <c r="R256" s="85" t="str">
        <f t="shared" ref="R256:S256" si="1292">IF(OR($A258="集水",$A258="吸水"),0.4,"")</f>
        <v/>
      </c>
      <c r="S256" s="85" t="str">
        <f t="shared" si="1292"/>
        <v/>
      </c>
      <c r="T256" s="86" t="str">
        <f t="shared" ref="T256" si="1293">IF(Q256="","",P256-Q256)</f>
        <v/>
      </c>
      <c r="U256" s="88"/>
      <c r="V256" s="89"/>
    </row>
    <row r="257" spans="1:22" ht="9" customHeight="1" x14ac:dyDescent="0.55000000000000004">
      <c r="A257" s="90"/>
      <c r="B257" s="91"/>
      <c r="C257" s="92" t="str">
        <f t="shared" ref="C257" si="1294">IF(B255="","",B257-B255)</f>
        <v/>
      </c>
      <c r="D257" s="91"/>
      <c r="E257" s="93" t="str">
        <f t="shared" ref="E257" si="1295">IF(D255="","",D257-D255)</f>
        <v/>
      </c>
      <c r="F257" s="94"/>
      <c r="G257" s="85"/>
      <c r="H257" s="85"/>
      <c r="I257" s="95"/>
      <c r="J257" s="86"/>
      <c r="K257" s="94"/>
      <c r="L257" s="85"/>
      <c r="M257" s="85"/>
      <c r="N257" s="95"/>
      <c r="O257" s="86"/>
      <c r="P257" s="94"/>
      <c r="Q257" s="85"/>
      <c r="R257" s="85"/>
      <c r="S257" s="95"/>
      <c r="T257" s="86"/>
      <c r="U257" s="96"/>
      <c r="V257" s="97"/>
    </row>
    <row r="258" spans="1:22" ht="9" customHeight="1" x14ac:dyDescent="0.55000000000000004">
      <c r="A258" s="98"/>
      <c r="B258" s="99"/>
      <c r="C258" s="100"/>
      <c r="D258" s="99"/>
      <c r="E258" s="101"/>
      <c r="F258" s="102" t="str">
        <f t="shared" ref="F258" si="1296">IF(H258="","",F255-H258)</f>
        <v/>
      </c>
      <c r="G258" s="103" t="str">
        <f t="shared" ref="G258" si="1297">IF(I258="","",F255-I258)</f>
        <v/>
      </c>
      <c r="H258" s="104"/>
      <c r="I258" s="104"/>
      <c r="J258" s="105"/>
      <c r="K258" s="106" t="str">
        <f t="shared" ref="K258" si="1298">IF(M258="","",K255-M258)</f>
        <v/>
      </c>
      <c r="L258" s="103" t="str">
        <f t="shared" ref="L258" si="1299">IF(N258="","",K255-N258)</f>
        <v/>
      </c>
      <c r="M258" s="104"/>
      <c r="N258" s="107"/>
      <c r="O258" s="105"/>
      <c r="P258" s="102" t="str">
        <f t="shared" ref="P258" si="1300">IF(R258="","",P255-R258)</f>
        <v/>
      </c>
      <c r="Q258" s="103" t="str">
        <f t="shared" ref="Q258" si="1301">IF(S258="","",P255-S258)</f>
        <v/>
      </c>
      <c r="R258" s="104"/>
      <c r="S258" s="104"/>
      <c r="T258" s="105"/>
      <c r="U258" s="108"/>
      <c r="V258" s="109"/>
    </row>
    <row r="259" spans="1:22" ht="9" customHeight="1" x14ac:dyDescent="0.55000000000000004">
      <c r="A259" s="19"/>
      <c r="B259" s="69"/>
      <c r="C259" s="70"/>
      <c r="D259" s="69"/>
      <c r="E259" s="71"/>
      <c r="F259" s="72"/>
      <c r="G259" s="73"/>
      <c r="H259" s="74"/>
      <c r="I259" s="75"/>
      <c r="J259" s="76"/>
      <c r="K259" s="72"/>
      <c r="L259" s="73"/>
      <c r="M259" s="74"/>
      <c r="N259" s="75"/>
      <c r="O259" s="76"/>
      <c r="P259" s="72"/>
      <c r="Q259" s="73"/>
      <c r="R259" s="74"/>
      <c r="S259" s="75"/>
      <c r="T259" s="76"/>
      <c r="U259" s="77" t="str">
        <f t="shared" ref="U259" si="1302">IF(OR(F262="",P262=""),"",B259/(F262-P262))</f>
        <v/>
      </c>
      <c r="V259" s="78"/>
    </row>
    <row r="260" spans="1:22" ht="9" customHeight="1" x14ac:dyDescent="0.55000000000000004">
      <c r="A260" s="79"/>
      <c r="B260" s="80"/>
      <c r="C260" s="81"/>
      <c r="D260" s="80"/>
      <c r="E260" s="82"/>
      <c r="F260" s="83" t="str">
        <f t="shared" ref="F260" si="1303">IF(H262="","",F259-H260)</f>
        <v/>
      </c>
      <c r="G260" s="84" t="str">
        <f t="shared" ref="G260" si="1304">IF(I262="","",F259-I260)</f>
        <v/>
      </c>
      <c r="H260" s="85" t="str">
        <f t="shared" ref="H260:I260" si="1305">IF(OR($A262="集水",$A262="吸水"),0.4,"")</f>
        <v/>
      </c>
      <c r="I260" s="85" t="str">
        <f t="shared" si="1305"/>
        <v/>
      </c>
      <c r="J260" s="86" t="str">
        <f t="shared" ref="J260" si="1306">IF(G260="","",F260-G260)</f>
        <v/>
      </c>
      <c r="K260" s="83" t="str">
        <f t="shared" ref="K260" si="1307">IF(M262="","",K259-M260)</f>
        <v/>
      </c>
      <c r="L260" s="87" t="str">
        <f t="shared" ref="L260" si="1308">IF(N262="","",K259-N260)</f>
        <v/>
      </c>
      <c r="M260" s="85" t="str">
        <f t="shared" ref="M260:N260" si="1309">IF(M262="","",IF(OR($A262="集水",$A262="吸水"),0.4,""))</f>
        <v/>
      </c>
      <c r="N260" s="85" t="str">
        <f t="shared" si="1309"/>
        <v/>
      </c>
      <c r="O260" s="86" t="str">
        <f t="shared" ref="O260" si="1310">IF(L260="","",K260-L260)</f>
        <v/>
      </c>
      <c r="P260" s="83" t="str">
        <f t="shared" ref="P260" si="1311">IF(R262="","",P259-R260)</f>
        <v/>
      </c>
      <c r="Q260" s="84" t="str">
        <f t="shared" ref="Q260" si="1312">IF(S262="","",P259-S260)</f>
        <v/>
      </c>
      <c r="R260" s="85" t="str">
        <f t="shared" ref="R260:S260" si="1313">IF(OR($A262="集水",$A262="吸水"),0.4,"")</f>
        <v/>
      </c>
      <c r="S260" s="85" t="str">
        <f t="shared" si="1313"/>
        <v/>
      </c>
      <c r="T260" s="86" t="str">
        <f t="shared" ref="T260" si="1314">IF(Q260="","",P260-Q260)</f>
        <v/>
      </c>
      <c r="U260" s="88"/>
      <c r="V260" s="89"/>
    </row>
    <row r="261" spans="1:22" ht="9" customHeight="1" x14ac:dyDescent="0.55000000000000004">
      <c r="A261" s="90"/>
      <c r="B261" s="91"/>
      <c r="C261" s="92" t="str">
        <f t="shared" ref="C261" si="1315">IF(B259="","",B261-B259)</f>
        <v/>
      </c>
      <c r="D261" s="91"/>
      <c r="E261" s="93" t="str">
        <f t="shared" ref="E261" si="1316">IF(D259="","",D261-D259)</f>
        <v/>
      </c>
      <c r="F261" s="94"/>
      <c r="G261" s="85"/>
      <c r="H261" s="85"/>
      <c r="I261" s="95"/>
      <c r="J261" s="86"/>
      <c r="K261" s="94"/>
      <c r="L261" s="85"/>
      <c r="M261" s="85"/>
      <c r="N261" s="95"/>
      <c r="O261" s="86"/>
      <c r="P261" s="94"/>
      <c r="Q261" s="85"/>
      <c r="R261" s="85"/>
      <c r="S261" s="95"/>
      <c r="T261" s="86"/>
      <c r="U261" s="96"/>
      <c r="V261" s="97"/>
    </row>
    <row r="262" spans="1:22" ht="9" customHeight="1" x14ac:dyDescent="0.55000000000000004">
      <c r="A262" s="98"/>
      <c r="B262" s="99"/>
      <c r="C262" s="100"/>
      <c r="D262" s="99"/>
      <c r="E262" s="101"/>
      <c r="F262" s="102" t="str">
        <f t="shared" ref="F262" si="1317">IF(H262="","",F259-H262)</f>
        <v/>
      </c>
      <c r="G262" s="103" t="str">
        <f t="shared" ref="G262" si="1318">IF(I262="","",F259-I262)</f>
        <v/>
      </c>
      <c r="H262" s="104"/>
      <c r="I262" s="104"/>
      <c r="J262" s="105"/>
      <c r="K262" s="106" t="str">
        <f t="shared" ref="K262" si="1319">IF(M262="","",K259-M262)</f>
        <v/>
      </c>
      <c r="L262" s="103" t="str">
        <f t="shared" ref="L262" si="1320">IF(N262="","",K259-N262)</f>
        <v/>
      </c>
      <c r="M262" s="104"/>
      <c r="N262" s="107"/>
      <c r="O262" s="105"/>
      <c r="P262" s="102" t="str">
        <f t="shared" ref="P262" si="1321">IF(R262="","",P259-R262)</f>
        <v/>
      </c>
      <c r="Q262" s="103" t="str">
        <f t="shared" ref="Q262" si="1322">IF(S262="","",P259-S262)</f>
        <v/>
      </c>
      <c r="R262" s="104"/>
      <c r="S262" s="104"/>
      <c r="T262" s="105"/>
      <c r="U262" s="108"/>
      <c r="V262" s="109"/>
    </row>
    <row r="263" spans="1:22" ht="9" customHeight="1" x14ac:dyDescent="0.55000000000000004">
      <c r="A263" s="19"/>
      <c r="B263" s="69"/>
      <c r="C263" s="70"/>
      <c r="D263" s="69"/>
      <c r="E263" s="71"/>
      <c r="F263" s="72"/>
      <c r="G263" s="73"/>
      <c r="H263" s="74"/>
      <c r="I263" s="75"/>
      <c r="J263" s="76"/>
      <c r="K263" s="72"/>
      <c r="L263" s="73"/>
      <c r="M263" s="74"/>
      <c r="N263" s="75"/>
      <c r="O263" s="76"/>
      <c r="P263" s="72"/>
      <c r="Q263" s="73"/>
      <c r="R263" s="74"/>
      <c r="S263" s="75"/>
      <c r="T263" s="76"/>
      <c r="U263" s="77" t="str">
        <f t="shared" ref="U263" si="1323">IF(OR(F266="",P266=""),"",B263/(F266-P266))</f>
        <v/>
      </c>
      <c r="V263" s="78"/>
    </row>
    <row r="264" spans="1:22" ht="9" customHeight="1" x14ac:dyDescent="0.55000000000000004">
      <c r="A264" s="79"/>
      <c r="B264" s="80"/>
      <c r="C264" s="81"/>
      <c r="D264" s="80"/>
      <c r="E264" s="82"/>
      <c r="F264" s="83" t="str">
        <f t="shared" ref="F264" si="1324">IF(H266="","",F263-H264)</f>
        <v/>
      </c>
      <c r="G264" s="84" t="str">
        <f t="shared" ref="G264" si="1325">IF(I266="","",F263-I264)</f>
        <v/>
      </c>
      <c r="H264" s="85" t="str">
        <f t="shared" ref="H264:I264" si="1326">IF(OR($A266="集水",$A266="吸水"),0.4,"")</f>
        <v/>
      </c>
      <c r="I264" s="85" t="str">
        <f t="shared" si="1326"/>
        <v/>
      </c>
      <c r="J264" s="86" t="str">
        <f t="shared" ref="J264" si="1327">IF(G264="","",F264-G264)</f>
        <v/>
      </c>
      <c r="K264" s="83" t="str">
        <f t="shared" ref="K264" si="1328">IF(M266="","",K263-M264)</f>
        <v/>
      </c>
      <c r="L264" s="87" t="str">
        <f t="shared" ref="L264" si="1329">IF(N266="","",K263-N264)</f>
        <v/>
      </c>
      <c r="M264" s="85" t="str">
        <f t="shared" ref="M264:N264" si="1330">IF(M266="","",IF(OR($A266="集水",$A266="吸水"),0.4,""))</f>
        <v/>
      </c>
      <c r="N264" s="85" t="str">
        <f t="shared" si="1330"/>
        <v/>
      </c>
      <c r="O264" s="86" t="str">
        <f t="shared" ref="O264" si="1331">IF(L264="","",K264-L264)</f>
        <v/>
      </c>
      <c r="P264" s="83" t="str">
        <f t="shared" ref="P264" si="1332">IF(R266="","",P263-R264)</f>
        <v/>
      </c>
      <c r="Q264" s="84" t="str">
        <f t="shared" ref="Q264" si="1333">IF(S266="","",P263-S264)</f>
        <v/>
      </c>
      <c r="R264" s="85" t="str">
        <f t="shared" ref="R264:S264" si="1334">IF(OR($A266="集水",$A266="吸水"),0.4,"")</f>
        <v/>
      </c>
      <c r="S264" s="85" t="str">
        <f t="shared" si="1334"/>
        <v/>
      </c>
      <c r="T264" s="86" t="str">
        <f t="shared" ref="T264" si="1335">IF(Q264="","",P264-Q264)</f>
        <v/>
      </c>
      <c r="U264" s="88"/>
      <c r="V264" s="89"/>
    </row>
    <row r="265" spans="1:22" ht="9" customHeight="1" x14ac:dyDescent="0.55000000000000004">
      <c r="A265" s="90"/>
      <c r="B265" s="91"/>
      <c r="C265" s="92" t="str">
        <f t="shared" ref="C265" si="1336">IF(B263="","",B265-B263)</f>
        <v/>
      </c>
      <c r="D265" s="91"/>
      <c r="E265" s="93" t="str">
        <f t="shared" ref="E265" si="1337">IF(D263="","",D265-D263)</f>
        <v/>
      </c>
      <c r="F265" s="94"/>
      <c r="G265" s="85"/>
      <c r="H265" s="85"/>
      <c r="I265" s="95"/>
      <c r="J265" s="86"/>
      <c r="K265" s="94"/>
      <c r="L265" s="85"/>
      <c r="M265" s="85"/>
      <c r="N265" s="95"/>
      <c r="O265" s="86"/>
      <c r="P265" s="94"/>
      <c r="Q265" s="85"/>
      <c r="R265" s="85"/>
      <c r="S265" s="95"/>
      <c r="T265" s="86"/>
      <c r="U265" s="96"/>
      <c r="V265" s="97"/>
    </row>
    <row r="266" spans="1:22" ht="9" customHeight="1" x14ac:dyDescent="0.55000000000000004">
      <c r="A266" s="98"/>
      <c r="B266" s="99"/>
      <c r="C266" s="100"/>
      <c r="D266" s="99"/>
      <c r="E266" s="101"/>
      <c r="F266" s="102" t="str">
        <f t="shared" ref="F266" si="1338">IF(H266="","",F263-H266)</f>
        <v/>
      </c>
      <c r="G266" s="103" t="str">
        <f t="shared" ref="G266" si="1339">IF(I266="","",F263-I266)</f>
        <v/>
      </c>
      <c r="H266" s="104"/>
      <c r="I266" s="104"/>
      <c r="J266" s="105"/>
      <c r="K266" s="106" t="str">
        <f t="shared" ref="K266" si="1340">IF(M266="","",K263-M266)</f>
        <v/>
      </c>
      <c r="L266" s="103" t="str">
        <f t="shared" ref="L266" si="1341">IF(N266="","",K263-N266)</f>
        <v/>
      </c>
      <c r="M266" s="104"/>
      <c r="N266" s="107"/>
      <c r="O266" s="105"/>
      <c r="P266" s="102" t="str">
        <f t="shared" ref="P266" si="1342">IF(R266="","",P263-R266)</f>
        <v/>
      </c>
      <c r="Q266" s="103" t="str">
        <f t="shared" ref="Q266" si="1343">IF(S266="","",P263-S266)</f>
        <v/>
      </c>
      <c r="R266" s="104"/>
      <c r="S266" s="104"/>
      <c r="T266" s="105"/>
      <c r="U266" s="108"/>
      <c r="V266" s="109"/>
    </row>
    <row r="267" spans="1:22" ht="9" customHeight="1" x14ac:dyDescent="0.55000000000000004">
      <c r="A267" s="19"/>
      <c r="B267" s="69"/>
      <c r="C267" s="70"/>
      <c r="D267" s="69"/>
      <c r="E267" s="71"/>
      <c r="F267" s="72"/>
      <c r="G267" s="73"/>
      <c r="H267" s="74"/>
      <c r="I267" s="75"/>
      <c r="J267" s="76"/>
      <c r="K267" s="72"/>
      <c r="L267" s="73"/>
      <c r="M267" s="74"/>
      <c r="N267" s="75"/>
      <c r="O267" s="76"/>
      <c r="P267" s="72"/>
      <c r="Q267" s="73"/>
      <c r="R267" s="74"/>
      <c r="S267" s="75"/>
      <c r="T267" s="76"/>
      <c r="U267" s="77" t="str">
        <f t="shared" ref="U267" si="1344">IF(OR(F270="",P270=""),"",B267/(F270-P270))</f>
        <v/>
      </c>
      <c r="V267" s="78"/>
    </row>
    <row r="268" spans="1:22" ht="9" customHeight="1" x14ac:dyDescent="0.55000000000000004">
      <c r="A268" s="79"/>
      <c r="B268" s="80"/>
      <c r="C268" s="81"/>
      <c r="D268" s="80"/>
      <c r="E268" s="82"/>
      <c r="F268" s="83" t="str">
        <f t="shared" ref="F268" si="1345">IF(H270="","",F267-H268)</f>
        <v/>
      </c>
      <c r="G268" s="84" t="str">
        <f t="shared" ref="G268" si="1346">IF(I270="","",F267-I268)</f>
        <v/>
      </c>
      <c r="H268" s="85" t="str">
        <f t="shared" ref="H268:I268" si="1347">IF(OR($A270="集水",$A270="吸水"),0.4,"")</f>
        <v/>
      </c>
      <c r="I268" s="85" t="str">
        <f t="shared" si="1347"/>
        <v/>
      </c>
      <c r="J268" s="86" t="str">
        <f t="shared" ref="J268" si="1348">IF(G268="","",F268-G268)</f>
        <v/>
      </c>
      <c r="K268" s="83" t="str">
        <f t="shared" ref="K268" si="1349">IF(M270="","",K267-M268)</f>
        <v/>
      </c>
      <c r="L268" s="87" t="str">
        <f t="shared" ref="L268" si="1350">IF(N270="","",K267-N268)</f>
        <v/>
      </c>
      <c r="M268" s="85" t="str">
        <f t="shared" ref="M268:N268" si="1351">IF(M270="","",IF(OR($A270="集水",$A270="吸水"),0.4,""))</f>
        <v/>
      </c>
      <c r="N268" s="85" t="str">
        <f t="shared" si="1351"/>
        <v/>
      </c>
      <c r="O268" s="86" t="str">
        <f t="shared" ref="O268" si="1352">IF(L268="","",K268-L268)</f>
        <v/>
      </c>
      <c r="P268" s="83" t="str">
        <f t="shared" ref="P268" si="1353">IF(R270="","",P267-R268)</f>
        <v/>
      </c>
      <c r="Q268" s="84" t="str">
        <f t="shared" ref="Q268" si="1354">IF(S270="","",P267-S268)</f>
        <v/>
      </c>
      <c r="R268" s="85" t="str">
        <f t="shared" ref="R268:S268" si="1355">IF(OR($A270="集水",$A270="吸水"),0.4,"")</f>
        <v/>
      </c>
      <c r="S268" s="85" t="str">
        <f t="shared" si="1355"/>
        <v/>
      </c>
      <c r="T268" s="86" t="str">
        <f t="shared" ref="T268" si="1356">IF(Q268="","",P268-Q268)</f>
        <v/>
      </c>
      <c r="U268" s="88"/>
      <c r="V268" s="89"/>
    </row>
    <row r="269" spans="1:22" ht="9" customHeight="1" x14ac:dyDescent="0.55000000000000004">
      <c r="A269" s="90"/>
      <c r="B269" s="91"/>
      <c r="C269" s="92" t="str">
        <f t="shared" ref="C269" si="1357">IF(B267="","",B269-B267)</f>
        <v/>
      </c>
      <c r="D269" s="91"/>
      <c r="E269" s="93" t="str">
        <f t="shared" ref="E269" si="1358">IF(D267="","",D269-D267)</f>
        <v/>
      </c>
      <c r="F269" s="94"/>
      <c r="G269" s="85"/>
      <c r="H269" s="85"/>
      <c r="I269" s="95"/>
      <c r="J269" s="86"/>
      <c r="K269" s="94"/>
      <c r="L269" s="85"/>
      <c r="M269" s="85"/>
      <c r="N269" s="95"/>
      <c r="O269" s="86"/>
      <c r="P269" s="94"/>
      <c r="Q269" s="85"/>
      <c r="R269" s="85"/>
      <c r="S269" s="95"/>
      <c r="T269" s="86"/>
      <c r="U269" s="96"/>
      <c r="V269" s="97"/>
    </row>
    <row r="270" spans="1:22" ht="9" customHeight="1" x14ac:dyDescent="0.55000000000000004">
      <c r="A270" s="98"/>
      <c r="B270" s="99"/>
      <c r="C270" s="100"/>
      <c r="D270" s="99"/>
      <c r="E270" s="101"/>
      <c r="F270" s="102" t="str">
        <f t="shared" ref="F270" si="1359">IF(H270="","",F267-H270)</f>
        <v/>
      </c>
      <c r="G270" s="103" t="str">
        <f t="shared" ref="G270" si="1360">IF(I270="","",F267-I270)</f>
        <v/>
      </c>
      <c r="H270" s="104"/>
      <c r="I270" s="104"/>
      <c r="J270" s="105"/>
      <c r="K270" s="106" t="str">
        <f t="shared" ref="K270" si="1361">IF(M270="","",K267-M270)</f>
        <v/>
      </c>
      <c r="L270" s="103" t="str">
        <f t="shared" ref="L270" si="1362">IF(N270="","",K267-N270)</f>
        <v/>
      </c>
      <c r="M270" s="104"/>
      <c r="N270" s="107"/>
      <c r="O270" s="105"/>
      <c r="P270" s="102" t="str">
        <f t="shared" ref="P270" si="1363">IF(R270="","",P267-R270)</f>
        <v/>
      </c>
      <c r="Q270" s="103" t="str">
        <f t="shared" ref="Q270" si="1364">IF(S270="","",P267-S270)</f>
        <v/>
      </c>
      <c r="R270" s="104"/>
      <c r="S270" s="104"/>
      <c r="T270" s="105"/>
      <c r="U270" s="108"/>
      <c r="V270" s="109"/>
    </row>
    <row r="271" spans="1:22" ht="9" customHeight="1" x14ac:dyDescent="0.55000000000000004">
      <c r="A271" s="19"/>
      <c r="B271" s="69"/>
      <c r="C271" s="70"/>
      <c r="D271" s="69"/>
      <c r="E271" s="71"/>
      <c r="F271" s="72"/>
      <c r="G271" s="73"/>
      <c r="H271" s="74"/>
      <c r="I271" s="75"/>
      <c r="J271" s="76"/>
      <c r="K271" s="72"/>
      <c r="L271" s="73"/>
      <c r="M271" s="74"/>
      <c r="N271" s="75"/>
      <c r="O271" s="76"/>
      <c r="P271" s="72"/>
      <c r="Q271" s="73"/>
      <c r="R271" s="74"/>
      <c r="S271" s="75"/>
      <c r="T271" s="76"/>
      <c r="U271" s="77" t="str">
        <f t="shared" ref="U271" si="1365">IF(OR(F274="",P274=""),"",B271/(F274-P274))</f>
        <v/>
      </c>
      <c r="V271" s="78"/>
    </row>
    <row r="272" spans="1:22" ht="9" customHeight="1" x14ac:dyDescent="0.55000000000000004">
      <c r="A272" s="79"/>
      <c r="B272" s="80"/>
      <c r="C272" s="81"/>
      <c r="D272" s="80"/>
      <c r="E272" s="82"/>
      <c r="F272" s="83" t="str">
        <f t="shared" ref="F272" si="1366">IF(H274="","",F271-H272)</f>
        <v/>
      </c>
      <c r="G272" s="84" t="str">
        <f t="shared" ref="G272" si="1367">IF(I274="","",F271-I272)</f>
        <v/>
      </c>
      <c r="H272" s="85" t="str">
        <f t="shared" ref="H272:I272" si="1368">IF(OR($A274="集水",$A274="吸水"),0.4,"")</f>
        <v/>
      </c>
      <c r="I272" s="85" t="str">
        <f t="shared" si="1368"/>
        <v/>
      </c>
      <c r="J272" s="86" t="str">
        <f t="shared" ref="J272" si="1369">IF(G272="","",F272-G272)</f>
        <v/>
      </c>
      <c r="K272" s="83" t="str">
        <f t="shared" ref="K272" si="1370">IF(M274="","",K271-M272)</f>
        <v/>
      </c>
      <c r="L272" s="87" t="str">
        <f t="shared" ref="L272" si="1371">IF(N274="","",K271-N272)</f>
        <v/>
      </c>
      <c r="M272" s="85" t="str">
        <f t="shared" ref="M272:N272" si="1372">IF(M274="","",IF(OR($A274="集水",$A274="吸水"),0.4,""))</f>
        <v/>
      </c>
      <c r="N272" s="85" t="str">
        <f t="shared" si="1372"/>
        <v/>
      </c>
      <c r="O272" s="86" t="str">
        <f t="shared" ref="O272" si="1373">IF(L272="","",K272-L272)</f>
        <v/>
      </c>
      <c r="P272" s="83" t="str">
        <f t="shared" ref="P272" si="1374">IF(R274="","",P271-R272)</f>
        <v/>
      </c>
      <c r="Q272" s="84" t="str">
        <f t="shared" ref="Q272" si="1375">IF(S274="","",P271-S272)</f>
        <v/>
      </c>
      <c r="R272" s="85" t="str">
        <f t="shared" ref="R272:S272" si="1376">IF(OR($A274="集水",$A274="吸水"),0.4,"")</f>
        <v/>
      </c>
      <c r="S272" s="85" t="str">
        <f t="shared" si="1376"/>
        <v/>
      </c>
      <c r="T272" s="86" t="str">
        <f t="shared" ref="T272" si="1377">IF(Q272="","",P272-Q272)</f>
        <v/>
      </c>
      <c r="U272" s="88"/>
      <c r="V272" s="89"/>
    </row>
    <row r="273" spans="1:22" ht="9" customHeight="1" x14ac:dyDescent="0.55000000000000004">
      <c r="A273" s="90"/>
      <c r="B273" s="91"/>
      <c r="C273" s="92" t="str">
        <f t="shared" ref="C273" si="1378">IF(B271="","",B273-B271)</f>
        <v/>
      </c>
      <c r="D273" s="91"/>
      <c r="E273" s="93" t="str">
        <f t="shared" ref="E273" si="1379">IF(D271="","",D273-D271)</f>
        <v/>
      </c>
      <c r="F273" s="94"/>
      <c r="G273" s="85"/>
      <c r="H273" s="85"/>
      <c r="I273" s="95"/>
      <c r="J273" s="86"/>
      <c r="K273" s="94"/>
      <c r="L273" s="85"/>
      <c r="M273" s="85"/>
      <c r="N273" s="95"/>
      <c r="O273" s="86"/>
      <c r="P273" s="94"/>
      <c r="Q273" s="85"/>
      <c r="R273" s="85"/>
      <c r="S273" s="95"/>
      <c r="T273" s="86"/>
      <c r="U273" s="96"/>
      <c r="V273" s="97"/>
    </row>
    <row r="274" spans="1:22" ht="9" customHeight="1" x14ac:dyDescent="0.55000000000000004">
      <c r="A274" s="98"/>
      <c r="B274" s="99"/>
      <c r="C274" s="100"/>
      <c r="D274" s="99"/>
      <c r="E274" s="101"/>
      <c r="F274" s="102" t="str">
        <f t="shared" ref="F274" si="1380">IF(H274="","",F271-H274)</f>
        <v/>
      </c>
      <c r="G274" s="103" t="str">
        <f t="shared" ref="G274" si="1381">IF(I274="","",F271-I274)</f>
        <v/>
      </c>
      <c r="H274" s="104"/>
      <c r="I274" s="104"/>
      <c r="J274" s="105"/>
      <c r="K274" s="106" t="str">
        <f t="shared" ref="K274" si="1382">IF(M274="","",K271-M274)</f>
        <v/>
      </c>
      <c r="L274" s="103" t="str">
        <f t="shared" ref="L274" si="1383">IF(N274="","",K271-N274)</f>
        <v/>
      </c>
      <c r="M274" s="104"/>
      <c r="N274" s="107"/>
      <c r="O274" s="105"/>
      <c r="P274" s="102" t="str">
        <f t="shared" ref="P274" si="1384">IF(R274="","",P271-R274)</f>
        <v/>
      </c>
      <c r="Q274" s="103" t="str">
        <f t="shared" ref="Q274" si="1385">IF(S274="","",P271-S274)</f>
        <v/>
      </c>
      <c r="R274" s="104"/>
      <c r="S274" s="104"/>
      <c r="T274" s="105"/>
      <c r="U274" s="108"/>
      <c r="V274" s="109"/>
    </row>
    <row r="275" spans="1:22" ht="9" customHeight="1" x14ac:dyDescent="0.55000000000000004">
      <c r="A275" s="19"/>
      <c r="B275" s="69"/>
      <c r="C275" s="70"/>
      <c r="D275" s="69"/>
      <c r="E275" s="71"/>
      <c r="F275" s="72"/>
      <c r="G275" s="73"/>
      <c r="H275" s="74"/>
      <c r="I275" s="75"/>
      <c r="J275" s="76"/>
      <c r="K275" s="72"/>
      <c r="L275" s="73"/>
      <c r="M275" s="74"/>
      <c r="N275" s="75"/>
      <c r="O275" s="76"/>
      <c r="P275" s="72"/>
      <c r="Q275" s="73"/>
      <c r="R275" s="74"/>
      <c r="S275" s="75"/>
      <c r="T275" s="76"/>
      <c r="U275" s="77" t="str">
        <f t="shared" ref="U275" si="1386">IF(OR(F278="",P278=""),"",B275/(F278-P278))</f>
        <v/>
      </c>
      <c r="V275" s="78"/>
    </row>
    <row r="276" spans="1:22" ht="9" customHeight="1" x14ac:dyDescent="0.55000000000000004">
      <c r="A276" s="79"/>
      <c r="B276" s="80"/>
      <c r="C276" s="81"/>
      <c r="D276" s="80"/>
      <c r="E276" s="82"/>
      <c r="F276" s="83" t="str">
        <f t="shared" ref="F276" si="1387">IF(H278="","",F275-H276)</f>
        <v/>
      </c>
      <c r="G276" s="84" t="str">
        <f t="shared" ref="G276" si="1388">IF(I278="","",F275-I276)</f>
        <v/>
      </c>
      <c r="H276" s="85" t="str">
        <f t="shared" ref="H276:I276" si="1389">IF(OR($A278="集水",$A278="吸水"),0.4,"")</f>
        <v/>
      </c>
      <c r="I276" s="85" t="str">
        <f t="shared" si="1389"/>
        <v/>
      </c>
      <c r="J276" s="86" t="str">
        <f t="shared" ref="J276" si="1390">IF(G276="","",F276-G276)</f>
        <v/>
      </c>
      <c r="K276" s="83" t="str">
        <f t="shared" ref="K276" si="1391">IF(M278="","",K275-M276)</f>
        <v/>
      </c>
      <c r="L276" s="87" t="str">
        <f t="shared" ref="L276" si="1392">IF(N278="","",K275-N276)</f>
        <v/>
      </c>
      <c r="M276" s="85" t="str">
        <f t="shared" ref="M276:N276" si="1393">IF(M278="","",IF(OR($A278="集水",$A278="吸水"),0.4,""))</f>
        <v/>
      </c>
      <c r="N276" s="85" t="str">
        <f t="shared" si="1393"/>
        <v/>
      </c>
      <c r="O276" s="86" t="str">
        <f t="shared" ref="O276" si="1394">IF(L276="","",K276-L276)</f>
        <v/>
      </c>
      <c r="P276" s="83" t="str">
        <f t="shared" ref="P276" si="1395">IF(R278="","",P275-R276)</f>
        <v/>
      </c>
      <c r="Q276" s="84" t="str">
        <f t="shared" ref="Q276" si="1396">IF(S278="","",P275-S276)</f>
        <v/>
      </c>
      <c r="R276" s="85" t="str">
        <f t="shared" ref="R276:S276" si="1397">IF(OR($A278="集水",$A278="吸水"),0.4,"")</f>
        <v/>
      </c>
      <c r="S276" s="85" t="str">
        <f t="shared" si="1397"/>
        <v/>
      </c>
      <c r="T276" s="86" t="str">
        <f t="shared" ref="T276" si="1398">IF(Q276="","",P276-Q276)</f>
        <v/>
      </c>
      <c r="U276" s="88"/>
      <c r="V276" s="89"/>
    </row>
    <row r="277" spans="1:22" ht="9" customHeight="1" x14ac:dyDescent="0.55000000000000004">
      <c r="A277" s="90"/>
      <c r="B277" s="91"/>
      <c r="C277" s="92" t="str">
        <f t="shared" ref="C277" si="1399">IF(B275="","",B277-B275)</f>
        <v/>
      </c>
      <c r="D277" s="91"/>
      <c r="E277" s="93" t="str">
        <f t="shared" ref="E277" si="1400">IF(D275="","",D277-D275)</f>
        <v/>
      </c>
      <c r="F277" s="94"/>
      <c r="G277" s="85"/>
      <c r="H277" s="85"/>
      <c r="I277" s="95"/>
      <c r="J277" s="86"/>
      <c r="K277" s="94"/>
      <c r="L277" s="85"/>
      <c r="M277" s="85"/>
      <c r="N277" s="95"/>
      <c r="O277" s="86"/>
      <c r="P277" s="94"/>
      <c r="Q277" s="85"/>
      <c r="R277" s="85"/>
      <c r="S277" s="95"/>
      <c r="T277" s="86"/>
      <c r="U277" s="96"/>
      <c r="V277" s="97"/>
    </row>
    <row r="278" spans="1:22" ht="9" customHeight="1" x14ac:dyDescent="0.55000000000000004">
      <c r="A278" s="98"/>
      <c r="B278" s="99"/>
      <c r="C278" s="100"/>
      <c r="D278" s="99"/>
      <c r="E278" s="101"/>
      <c r="F278" s="102" t="str">
        <f t="shared" ref="F278" si="1401">IF(H278="","",F275-H278)</f>
        <v/>
      </c>
      <c r="G278" s="103" t="str">
        <f t="shared" ref="G278" si="1402">IF(I278="","",F275-I278)</f>
        <v/>
      </c>
      <c r="H278" s="104"/>
      <c r="I278" s="104"/>
      <c r="J278" s="105"/>
      <c r="K278" s="106" t="str">
        <f t="shared" ref="K278" si="1403">IF(M278="","",K275-M278)</f>
        <v/>
      </c>
      <c r="L278" s="103" t="str">
        <f t="shared" ref="L278" si="1404">IF(N278="","",K275-N278)</f>
        <v/>
      </c>
      <c r="M278" s="104"/>
      <c r="N278" s="107"/>
      <c r="O278" s="105"/>
      <c r="P278" s="102" t="str">
        <f t="shared" ref="P278" si="1405">IF(R278="","",P275-R278)</f>
        <v/>
      </c>
      <c r="Q278" s="103" t="str">
        <f t="shared" ref="Q278" si="1406">IF(S278="","",P275-S278)</f>
        <v/>
      </c>
      <c r="R278" s="104"/>
      <c r="S278" s="104"/>
      <c r="T278" s="105"/>
      <c r="U278" s="108"/>
      <c r="V278" s="109"/>
    </row>
    <row r="279" spans="1:22" ht="9" customHeight="1" x14ac:dyDescent="0.55000000000000004">
      <c r="A279" s="19"/>
      <c r="B279" s="69"/>
      <c r="C279" s="70"/>
      <c r="D279" s="69"/>
      <c r="E279" s="71"/>
      <c r="F279" s="72"/>
      <c r="G279" s="73"/>
      <c r="H279" s="74"/>
      <c r="I279" s="75"/>
      <c r="J279" s="76"/>
      <c r="K279" s="72"/>
      <c r="L279" s="73"/>
      <c r="M279" s="74"/>
      <c r="N279" s="75"/>
      <c r="O279" s="76"/>
      <c r="P279" s="72"/>
      <c r="Q279" s="73"/>
      <c r="R279" s="74"/>
      <c r="S279" s="75"/>
      <c r="T279" s="76"/>
      <c r="U279" s="77" t="str">
        <f t="shared" ref="U279" si="1407">IF(OR(F282="",P282=""),"",B279/(F282-P282))</f>
        <v/>
      </c>
      <c r="V279" s="78"/>
    </row>
    <row r="280" spans="1:22" ht="9" customHeight="1" x14ac:dyDescent="0.55000000000000004">
      <c r="A280" s="79"/>
      <c r="B280" s="80"/>
      <c r="C280" s="81"/>
      <c r="D280" s="80"/>
      <c r="E280" s="82"/>
      <c r="F280" s="83" t="str">
        <f t="shared" ref="F280" si="1408">IF(H282="","",F279-H280)</f>
        <v/>
      </c>
      <c r="G280" s="84" t="str">
        <f t="shared" ref="G280" si="1409">IF(I282="","",F279-I280)</f>
        <v/>
      </c>
      <c r="H280" s="85" t="str">
        <f t="shared" ref="H280:I280" si="1410">IF(OR($A282="集水",$A282="吸水"),0.4,"")</f>
        <v/>
      </c>
      <c r="I280" s="85" t="str">
        <f t="shared" si="1410"/>
        <v/>
      </c>
      <c r="J280" s="86" t="str">
        <f t="shared" ref="J280" si="1411">IF(G280="","",F280-G280)</f>
        <v/>
      </c>
      <c r="K280" s="83" t="str">
        <f t="shared" ref="K280" si="1412">IF(M282="","",K279-M280)</f>
        <v/>
      </c>
      <c r="L280" s="87" t="str">
        <f t="shared" ref="L280" si="1413">IF(N282="","",K279-N280)</f>
        <v/>
      </c>
      <c r="M280" s="85" t="str">
        <f t="shared" ref="M280:N280" si="1414">IF(M282="","",IF(OR($A282="集水",$A282="吸水"),0.4,""))</f>
        <v/>
      </c>
      <c r="N280" s="85" t="str">
        <f t="shared" si="1414"/>
        <v/>
      </c>
      <c r="O280" s="86" t="str">
        <f t="shared" ref="O280" si="1415">IF(L280="","",K280-L280)</f>
        <v/>
      </c>
      <c r="P280" s="83" t="str">
        <f t="shared" ref="P280" si="1416">IF(R282="","",P279-R280)</f>
        <v/>
      </c>
      <c r="Q280" s="84" t="str">
        <f t="shared" ref="Q280" si="1417">IF(S282="","",P279-S280)</f>
        <v/>
      </c>
      <c r="R280" s="85" t="str">
        <f t="shared" ref="R280:S280" si="1418">IF(OR($A282="集水",$A282="吸水"),0.4,"")</f>
        <v/>
      </c>
      <c r="S280" s="85" t="str">
        <f t="shared" si="1418"/>
        <v/>
      </c>
      <c r="T280" s="86" t="str">
        <f t="shared" ref="T280" si="1419">IF(Q280="","",P280-Q280)</f>
        <v/>
      </c>
      <c r="U280" s="88"/>
      <c r="V280" s="89"/>
    </row>
    <row r="281" spans="1:22" ht="9" customHeight="1" x14ac:dyDescent="0.55000000000000004">
      <c r="A281" s="90"/>
      <c r="B281" s="91"/>
      <c r="C281" s="92" t="str">
        <f t="shared" ref="C281" si="1420">IF(B279="","",B281-B279)</f>
        <v/>
      </c>
      <c r="D281" s="91"/>
      <c r="E281" s="93" t="str">
        <f t="shared" ref="E281" si="1421">IF(D279="","",D281-D279)</f>
        <v/>
      </c>
      <c r="F281" s="94"/>
      <c r="G281" s="85"/>
      <c r="H281" s="85"/>
      <c r="I281" s="95"/>
      <c r="J281" s="86"/>
      <c r="K281" s="94"/>
      <c r="L281" s="85"/>
      <c r="M281" s="85"/>
      <c r="N281" s="95"/>
      <c r="O281" s="86"/>
      <c r="P281" s="94"/>
      <c r="Q281" s="85"/>
      <c r="R281" s="85"/>
      <c r="S281" s="95"/>
      <c r="T281" s="86"/>
      <c r="U281" s="96"/>
      <c r="V281" s="97"/>
    </row>
    <row r="282" spans="1:22" ht="9" customHeight="1" x14ac:dyDescent="0.55000000000000004">
      <c r="A282" s="98"/>
      <c r="B282" s="99"/>
      <c r="C282" s="100"/>
      <c r="D282" s="99"/>
      <c r="E282" s="101"/>
      <c r="F282" s="102" t="str">
        <f t="shared" ref="F282" si="1422">IF(H282="","",F279-H282)</f>
        <v/>
      </c>
      <c r="G282" s="103" t="str">
        <f t="shared" ref="G282" si="1423">IF(I282="","",F279-I282)</f>
        <v/>
      </c>
      <c r="H282" s="104"/>
      <c r="I282" s="104"/>
      <c r="J282" s="105"/>
      <c r="K282" s="106" t="str">
        <f t="shared" ref="K282" si="1424">IF(M282="","",K279-M282)</f>
        <v/>
      </c>
      <c r="L282" s="103" t="str">
        <f t="shared" ref="L282" si="1425">IF(N282="","",K279-N282)</f>
        <v/>
      </c>
      <c r="M282" s="104"/>
      <c r="N282" s="107"/>
      <c r="O282" s="105"/>
      <c r="P282" s="102" t="str">
        <f t="shared" ref="P282" si="1426">IF(R282="","",P279-R282)</f>
        <v/>
      </c>
      <c r="Q282" s="103" t="str">
        <f t="shared" ref="Q282" si="1427">IF(S282="","",P279-S282)</f>
        <v/>
      </c>
      <c r="R282" s="104"/>
      <c r="S282" s="104"/>
      <c r="T282" s="105"/>
      <c r="U282" s="108"/>
      <c r="V282" s="109"/>
    </row>
    <row r="283" spans="1:22" ht="9" customHeight="1" x14ac:dyDescent="0.55000000000000004">
      <c r="A283" s="19"/>
      <c r="B283" s="69"/>
      <c r="C283" s="70"/>
      <c r="D283" s="69"/>
      <c r="E283" s="71"/>
      <c r="F283" s="72"/>
      <c r="G283" s="73"/>
      <c r="H283" s="74"/>
      <c r="I283" s="75"/>
      <c r="J283" s="76"/>
      <c r="K283" s="72"/>
      <c r="L283" s="73"/>
      <c r="M283" s="74"/>
      <c r="N283" s="75"/>
      <c r="O283" s="76"/>
      <c r="P283" s="72"/>
      <c r="Q283" s="73"/>
      <c r="R283" s="74"/>
      <c r="S283" s="75"/>
      <c r="T283" s="76"/>
      <c r="U283" s="77" t="str">
        <f t="shared" ref="U283" si="1428">IF(OR(F286="",P286=""),"",B283/(F286-P286))</f>
        <v/>
      </c>
      <c r="V283" s="78"/>
    </row>
    <row r="284" spans="1:22" ht="9" customHeight="1" x14ac:dyDescent="0.55000000000000004">
      <c r="A284" s="79"/>
      <c r="B284" s="80"/>
      <c r="C284" s="81"/>
      <c r="D284" s="80"/>
      <c r="E284" s="82"/>
      <c r="F284" s="83" t="str">
        <f t="shared" ref="F284" si="1429">IF(H286="","",F283-H284)</f>
        <v/>
      </c>
      <c r="G284" s="84" t="str">
        <f t="shared" ref="G284" si="1430">IF(I286="","",F283-I284)</f>
        <v/>
      </c>
      <c r="H284" s="85" t="str">
        <f t="shared" ref="H284:I284" si="1431">IF(OR($A286="集水",$A286="吸水"),0.4,"")</f>
        <v/>
      </c>
      <c r="I284" s="85" t="str">
        <f t="shared" si="1431"/>
        <v/>
      </c>
      <c r="J284" s="86" t="str">
        <f t="shared" ref="J284" si="1432">IF(G284="","",F284-G284)</f>
        <v/>
      </c>
      <c r="K284" s="83" t="str">
        <f t="shared" ref="K284" si="1433">IF(M286="","",K283-M284)</f>
        <v/>
      </c>
      <c r="L284" s="87" t="str">
        <f t="shared" ref="L284" si="1434">IF(N286="","",K283-N284)</f>
        <v/>
      </c>
      <c r="M284" s="85" t="str">
        <f t="shared" ref="M284:N284" si="1435">IF(M286="","",IF(OR($A286="集水",$A286="吸水"),0.4,""))</f>
        <v/>
      </c>
      <c r="N284" s="85" t="str">
        <f t="shared" si="1435"/>
        <v/>
      </c>
      <c r="O284" s="86" t="str">
        <f t="shared" ref="O284" si="1436">IF(L284="","",K284-L284)</f>
        <v/>
      </c>
      <c r="P284" s="83" t="str">
        <f t="shared" ref="P284" si="1437">IF(R286="","",P283-R284)</f>
        <v/>
      </c>
      <c r="Q284" s="84" t="str">
        <f t="shared" ref="Q284" si="1438">IF(S286="","",P283-S284)</f>
        <v/>
      </c>
      <c r="R284" s="85" t="str">
        <f t="shared" ref="R284:S284" si="1439">IF(OR($A286="集水",$A286="吸水"),0.4,"")</f>
        <v/>
      </c>
      <c r="S284" s="85" t="str">
        <f t="shared" si="1439"/>
        <v/>
      </c>
      <c r="T284" s="86" t="str">
        <f t="shared" ref="T284" si="1440">IF(Q284="","",P284-Q284)</f>
        <v/>
      </c>
      <c r="U284" s="88"/>
      <c r="V284" s="89"/>
    </row>
    <row r="285" spans="1:22" ht="9" customHeight="1" x14ac:dyDescent="0.55000000000000004">
      <c r="A285" s="90"/>
      <c r="B285" s="91"/>
      <c r="C285" s="92" t="str">
        <f t="shared" ref="C285" si="1441">IF(B283="","",B285-B283)</f>
        <v/>
      </c>
      <c r="D285" s="91"/>
      <c r="E285" s="93" t="str">
        <f t="shared" ref="E285" si="1442">IF(D283="","",D285-D283)</f>
        <v/>
      </c>
      <c r="F285" s="94"/>
      <c r="G285" s="85"/>
      <c r="H285" s="85"/>
      <c r="I285" s="95"/>
      <c r="J285" s="86"/>
      <c r="K285" s="94"/>
      <c r="L285" s="85"/>
      <c r="M285" s="85"/>
      <c r="N285" s="95"/>
      <c r="O285" s="86"/>
      <c r="P285" s="94"/>
      <c r="Q285" s="85"/>
      <c r="R285" s="85"/>
      <c r="S285" s="95"/>
      <c r="T285" s="86"/>
      <c r="U285" s="96"/>
      <c r="V285" s="97"/>
    </row>
    <row r="286" spans="1:22" ht="9" customHeight="1" x14ac:dyDescent="0.55000000000000004">
      <c r="A286" s="98"/>
      <c r="B286" s="99"/>
      <c r="C286" s="100"/>
      <c r="D286" s="99"/>
      <c r="E286" s="101"/>
      <c r="F286" s="102" t="str">
        <f t="shared" ref="F286" si="1443">IF(H286="","",F283-H286)</f>
        <v/>
      </c>
      <c r="G286" s="103" t="str">
        <f t="shared" ref="G286" si="1444">IF(I286="","",F283-I286)</f>
        <v/>
      </c>
      <c r="H286" s="104"/>
      <c r="I286" s="104"/>
      <c r="J286" s="105"/>
      <c r="K286" s="106" t="str">
        <f t="shared" ref="K286" si="1445">IF(M286="","",K283-M286)</f>
        <v/>
      </c>
      <c r="L286" s="103" t="str">
        <f t="shared" ref="L286" si="1446">IF(N286="","",K283-N286)</f>
        <v/>
      </c>
      <c r="M286" s="104"/>
      <c r="N286" s="107"/>
      <c r="O286" s="105"/>
      <c r="P286" s="102" t="str">
        <f t="shared" ref="P286" si="1447">IF(R286="","",P283-R286)</f>
        <v/>
      </c>
      <c r="Q286" s="103" t="str">
        <f t="shared" ref="Q286" si="1448">IF(S286="","",P283-S286)</f>
        <v/>
      </c>
      <c r="R286" s="104"/>
      <c r="S286" s="104"/>
      <c r="T286" s="105"/>
      <c r="U286" s="108"/>
      <c r="V286" s="109"/>
    </row>
    <row r="287" spans="1:22" ht="9" customHeight="1" x14ac:dyDescent="0.55000000000000004">
      <c r="A287" s="19"/>
      <c r="B287" s="69"/>
      <c r="C287" s="70"/>
      <c r="D287" s="69"/>
      <c r="E287" s="71"/>
      <c r="F287" s="72"/>
      <c r="G287" s="73"/>
      <c r="H287" s="74"/>
      <c r="I287" s="75"/>
      <c r="J287" s="76"/>
      <c r="K287" s="72"/>
      <c r="L287" s="73"/>
      <c r="M287" s="74"/>
      <c r="N287" s="75"/>
      <c r="O287" s="76"/>
      <c r="P287" s="72"/>
      <c r="Q287" s="73"/>
      <c r="R287" s="74"/>
      <c r="S287" s="75"/>
      <c r="T287" s="76"/>
      <c r="U287" s="77" t="str">
        <f t="shared" ref="U287" si="1449">IF(OR(F290="",P290=""),"",B287/(F290-P290))</f>
        <v/>
      </c>
      <c r="V287" s="78"/>
    </row>
    <row r="288" spans="1:22" ht="9" customHeight="1" x14ac:dyDescent="0.55000000000000004">
      <c r="A288" s="79"/>
      <c r="B288" s="80"/>
      <c r="C288" s="81"/>
      <c r="D288" s="80"/>
      <c r="E288" s="82"/>
      <c r="F288" s="83" t="str">
        <f t="shared" ref="F288" si="1450">IF(H290="","",F287-H288)</f>
        <v/>
      </c>
      <c r="G288" s="84" t="str">
        <f t="shared" ref="G288" si="1451">IF(I290="","",F287-I288)</f>
        <v/>
      </c>
      <c r="H288" s="85" t="str">
        <f t="shared" ref="H288:I288" si="1452">IF(OR($A290="集水",$A290="吸水"),0.4,"")</f>
        <v/>
      </c>
      <c r="I288" s="85" t="str">
        <f t="shared" si="1452"/>
        <v/>
      </c>
      <c r="J288" s="86" t="str">
        <f t="shared" ref="J288" si="1453">IF(G288="","",F288-G288)</f>
        <v/>
      </c>
      <c r="K288" s="83" t="str">
        <f t="shared" ref="K288" si="1454">IF(M290="","",K287-M288)</f>
        <v/>
      </c>
      <c r="L288" s="87" t="str">
        <f t="shared" ref="L288" si="1455">IF(N290="","",K287-N288)</f>
        <v/>
      </c>
      <c r="M288" s="85" t="str">
        <f t="shared" ref="M288:N288" si="1456">IF(M290="","",IF(OR($A290="集水",$A290="吸水"),0.4,""))</f>
        <v/>
      </c>
      <c r="N288" s="85" t="str">
        <f t="shared" si="1456"/>
        <v/>
      </c>
      <c r="O288" s="86" t="str">
        <f t="shared" ref="O288" si="1457">IF(L288="","",K288-L288)</f>
        <v/>
      </c>
      <c r="P288" s="83" t="str">
        <f t="shared" ref="P288" si="1458">IF(R290="","",P287-R288)</f>
        <v/>
      </c>
      <c r="Q288" s="84" t="str">
        <f t="shared" ref="Q288" si="1459">IF(S290="","",P287-S288)</f>
        <v/>
      </c>
      <c r="R288" s="85" t="str">
        <f t="shared" ref="R288:S288" si="1460">IF(OR($A290="集水",$A290="吸水"),0.4,"")</f>
        <v/>
      </c>
      <c r="S288" s="85" t="str">
        <f t="shared" si="1460"/>
        <v/>
      </c>
      <c r="T288" s="86" t="str">
        <f t="shared" ref="T288" si="1461">IF(Q288="","",P288-Q288)</f>
        <v/>
      </c>
      <c r="U288" s="88"/>
      <c r="V288" s="89"/>
    </row>
    <row r="289" spans="1:22" ht="9" customHeight="1" x14ac:dyDescent="0.55000000000000004">
      <c r="A289" s="90"/>
      <c r="B289" s="91"/>
      <c r="C289" s="92" t="str">
        <f t="shared" ref="C289" si="1462">IF(B287="","",B289-B287)</f>
        <v/>
      </c>
      <c r="D289" s="91"/>
      <c r="E289" s="93" t="str">
        <f t="shared" ref="E289" si="1463">IF(D287="","",D289-D287)</f>
        <v/>
      </c>
      <c r="F289" s="94"/>
      <c r="G289" s="85"/>
      <c r="H289" s="85"/>
      <c r="I289" s="95"/>
      <c r="J289" s="86"/>
      <c r="K289" s="94"/>
      <c r="L289" s="85"/>
      <c r="M289" s="85"/>
      <c r="N289" s="95"/>
      <c r="O289" s="86"/>
      <c r="P289" s="94"/>
      <c r="Q289" s="85"/>
      <c r="R289" s="85"/>
      <c r="S289" s="95"/>
      <c r="T289" s="86"/>
      <c r="U289" s="96"/>
      <c r="V289" s="97"/>
    </row>
    <row r="290" spans="1:22" ht="9" customHeight="1" x14ac:dyDescent="0.55000000000000004">
      <c r="A290" s="98"/>
      <c r="B290" s="99"/>
      <c r="C290" s="100"/>
      <c r="D290" s="99"/>
      <c r="E290" s="101"/>
      <c r="F290" s="102" t="str">
        <f t="shared" ref="F290" si="1464">IF(H290="","",F287-H290)</f>
        <v/>
      </c>
      <c r="G290" s="103" t="str">
        <f t="shared" ref="G290" si="1465">IF(I290="","",F287-I290)</f>
        <v/>
      </c>
      <c r="H290" s="104"/>
      <c r="I290" s="104"/>
      <c r="J290" s="105"/>
      <c r="K290" s="106" t="str">
        <f t="shared" ref="K290" si="1466">IF(M290="","",K287-M290)</f>
        <v/>
      </c>
      <c r="L290" s="103" t="str">
        <f t="shared" ref="L290" si="1467">IF(N290="","",K287-N290)</f>
        <v/>
      </c>
      <c r="M290" s="104"/>
      <c r="N290" s="107"/>
      <c r="O290" s="105"/>
      <c r="P290" s="102" t="str">
        <f t="shared" ref="P290" si="1468">IF(R290="","",P287-R290)</f>
        <v/>
      </c>
      <c r="Q290" s="103" t="str">
        <f t="shared" ref="Q290" si="1469">IF(S290="","",P287-S290)</f>
        <v/>
      </c>
      <c r="R290" s="104"/>
      <c r="S290" s="104"/>
      <c r="T290" s="105"/>
      <c r="U290" s="108"/>
      <c r="V290" s="109"/>
    </row>
    <row r="291" spans="1:22" ht="9" customHeight="1" x14ac:dyDescent="0.55000000000000004">
      <c r="A291" s="19"/>
      <c r="B291" s="69"/>
      <c r="C291" s="70"/>
      <c r="D291" s="69"/>
      <c r="E291" s="71"/>
      <c r="F291" s="72"/>
      <c r="G291" s="73"/>
      <c r="H291" s="74"/>
      <c r="I291" s="75"/>
      <c r="J291" s="76"/>
      <c r="K291" s="72"/>
      <c r="L291" s="73"/>
      <c r="M291" s="74"/>
      <c r="N291" s="75"/>
      <c r="O291" s="76"/>
      <c r="P291" s="72"/>
      <c r="Q291" s="73"/>
      <c r="R291" s="74"/>
      <c r="S291" s="75"/>
      <c r="T291" s="76"/>
      <c r="U291" s="77" t="str">
        <f t="shared" ref="U291" si="1470">IF(OR(F294="",P294=""),"",B291/(F294-P294))</f>
        <v/>
      </c>
      <c r="V291" s="78"/>
    </row>
    <row r="292" spans="1:22" ht="9" customHeight="1" x14ac:dyDescent="0.55000000000000004">
      <c r="A292" s="79"/>
      <c r="B292" s="80"/>
      <c r="C292" s="81"/>
      <c r="D292" s="80"/>
      <c r="E292" s="82"/>
      <c r="F292" s="83" t="str">
        <f t="shared" ref="F292" si="1471">IF(H294="","",F291-H292)</f>
        <v/>
      </c>
      <c r="G292" s="84" t="str">
        <f t="shared" ref="G292" si="1472">IF(I294="","",F291-I292)</f>
        <v/>
      </c>
      <c r="H292" s="85" t="str">
        <f t="shared" ref="H292:I292" si="1473">IF(OR($A294="集水",$A294="吸水"),0.4,"")</f>
        <v/>
      </c>
      <c r="I292" s="85" t="str">
        <f t="shared" si="1473"/>
        <v/>
      </c>
      <c r="J292" s="86" t="str">
        <f t="shared" ref="J292" si="1474">IF(G292="","",F292-G292)</f>
        <v/>
      </c>
      <c r="K292" s="83" t="str">
        <f t="shared" ref="K292" si="1475">IF(M294="","",K291-M292)</f>
        <v/>
      </c>
      <c r="L292" s="87" t="str">
        <f t="shared" ref="L292" si="1476">IF(N294="","",K291-N292)</f>
        <v/>
      </c>
      <c r="M292" s="85" t="str">
        <f t="shared" ref="M292:N292" si="1477">IF(M294="","",IF(OR($A294="集水",$A294="吸水"),0.4,""))</f>
        <v/>
      </c>
      <c r="N292" s="85" t="str">
        <f t="shared" si="1477"/>
        <v/>
      </c>
      <c r="O292" s="86" t="str">
        <f t="shared" ref="O292" si="1478">IF(L292="","",K292-L292)</f>
        <v/>
      </c>
      <c r="P292" s="83" t="str">
        <f t="shared" ref="P292" si="1479">IF(R294="","",P291-R292)</f>
        <v/>
      </c>
      <c r="Q292" s="84" t="str">
        <f t="shared" ref="Q292" si="1480">IF(S294="","",P291-S292)</f>
        <v/>
      </c>
      <c r="R292" s="85" t="str">
        <f t="shared" ref="R292:S292" si="1481">IF(OR($A294="集水",$A294="吸水"),0.4,"")</f>
        <v/>
      </c>
      <c r="S292" s="85" t="str">
        <f t="shared" si="1481"/>
        <v/>
      </c>
      <c r="T292" s="86" t="str">
        <f t="shared" ref="T292" si="1482">IF(Q292="","",P292-Q292)</f>
        <v/>
      </c>
      <c r="U292" s="88"/>
      <c r="V292" s="89"/>
    </row>
    <row r="293" spans="1:22" ht="9" customHeight="1" x14ac:dyDescent="0.55000000000000004">
      <c r="A293" s="90"/>
      <c r="B293" s="91"/>
      <c r="C293" s="92" t="str">
        <f t="shared" ref="C293" si="1483">IF(B291="","",B293-B291)</f>
        <v/>
      </c>
      <c r="D293" s="91"/>
      <c r="E293" s="93" t="str">
        <f t="shared" ref="E293" si="1484">IF(D291="","",D293-D291)</f>
        <v/>
      </c>
      <c r="F293" s="94"/>
      <c r="G293" s="85"/>
      <c r="H293" s="85"/>
      <c r="I293" s="95"/>
      <c r="J293" s="86"/>
      <c r="K293" s="94"/>
      <c r="L293" s="85"/>
      <c r="M293" s="85"/>
      <c r="N293" s="95"/>
      <c r="O293" s="86"/>
      <c r="P293" s="94"/>
      <c r="Q293" s="85"/>
      <c r="R293" s="85"/>
      <c r="S293" s="95"/>
      <c r="T293" s="86"/>
      <c r="U293" s="96"/>
      <c r="V293" s="97"/>
    </row>
    <row r="294" spans="1:22" ht="9" customHeight="1" x14ac:dyDescent="0.55000000000000004">
      <c r="A294" s="98"/>
      <c r="B294" s="99"/>
      <c r="C294" s="100"/>
      <c r="D294" s="99"/>
      <c r="E294" s="101"/>
      <c r="F294" s="102" t="str">
        <f t="shared" ref="F294" si="1485">IF(H294="","",F291-H294)</f>
        <v/>
      </c>
      <c r="G294" s="103" t="str">
        <f t="shared" ref="G294" si="1486">IF(I294="","",F291-I294)</f>
        <v/>
      </c>
      <c r="H294" s="104"/>
      <c r="I294" s="104"/>
      <c r="J294" s="105"/>
      <c r="K294" s="106" t="str">
        <f t="shared" ref="K294" si="1487">IF(M294="","",K291-M294)</f>
        <v/>
      </c>
      <c r="L294" s="103" t="str">
        <f t="shared" ref="L294" si="1488">IF(N294="","",K291-N294)</f>
        <v/>
      </c>
      <c r="M294" s="104"/>
      <c r="N294" s="107"/>
      <c r="O294" s="105"/>
      <c r="P294" s="102" t="str">
        <f t="shared" ref="P294" si="1489">IF(R294="","",P291-R294)</f>
        <v/>
      </c>
      <c r="Q294" s="103" t="str">
        <f t="shared" ref="Q294" si="1490">IF(S294="","",P291-S294)</f>
        <v/>
      </c>
      <c r="R294" s="104"/>
      <c r="S294" s="104"/>
      <c r="T294" s="105"/>
      <c r="U294" s="108"/>
      <c r="V294" s="109"/>
    </row>
    <row r="295" spans="1:22" ht="9" customHeight="1" x14ac:dyDescent="0.55000000000000004">
      <c r="A295" s="19"/>
      <c r="B295" s="69"/>
      <c r="C295" s="70"/>
      <c r="D295" s="69"/>
      <c r="E295" s="71"/>
      <c r="F295" s="72"/>
      <c r="G295" s="73"/>
      <c r="H295" s="74"/>
      <c r="I295" s="75"/>
      <c r="J295" s="76"/>
      <c r="K295" s="72"/>
      <c r="L295" s="73"/>
      <c r="M295" s="74"/>
      <c r="N295" s="75"/>
      <c r="O295" s="76"/>
      <c r="P295" s="72"/>
      <c r="Q295" s="73"/>
      <c r="R295" s="74"/>
      <c r="S295" s="75"/>
      <c r="T295" s="76"/>
      <c r="U295" s="77" t="str">
        <f t="shared" ref="U295" si="1491">IF(OR(F298="",P298=""),"",B295/(F298-P298))</f>
        <v/>
      </c>
      <c r="V295" s="78"/>
    </row>
    <row r="296" spans="1:22" ht="9" customHeight="1" x14ac:dyDescent="0.55000000000000004">
      <c r="A296" s="79"/>
      <c r="B296" s="80"/>
      <c r="C296" s="81"/>
      <c r="D296" s="80"/>
      <c r="E296" s="82"/>
      <c r="F296" s="83" t="str">
        <f t="shared" ref="F296" si="1492">IF(H298="","",F295-H296)</f>
        <v/>
      </c>
      <c r="G296" s="84" t="str">
        <f t="shared" ref="G296" si="1493">IF(I298="","",F295-I296)</f>
        <v/>
      </c>
      <c r="H296" s="85" t="str">
        <f t="shared" ref="H296:I296" si="1494">IF(OR($A298="集水",$A298="吸水"),0.4,"")</f>
        <v/>
      </c>
      <c r="I296" s="85" t="str">
        <f t="shared" si="1494"/>
        <v/>
      </c>
      <c r="J296" s="86" t="str">
        <f t="shared" ref="J296" si="1495">IF(G296="","",F296-G296)</f>
        <v/>
      </c>
      <c r="K296" s="83" t="str">
        <f t="shared" ref="K296" si="1496">IF(M298="","",K295-M296)</f>
        <v/>
      </c>
      <c r="L296" s="87" t="str">
        <f t="shared" ref="L296" si="1497">IF(N298="","",K295-N296)</f>
        <v/>
      </c>
      <c r="M296" s="85" t="str">
        <f t="shared" ref="M296:N296" si="1498">IF(M298="","",IF(OR($A298="集水",$A298="吸水"),0.4,""))</f>
        <v/>
      </c>
      <c r="N296" s="85" t="str">
        <f t="shared" si="1498"/>
        <v/>
      </c>
      <c r="O296" s="86" t="str">
        <f t="shared" ref="O296" si="1499">IF(L296="","",K296-L296)</f>
        <v/>
      </c>
      <c r="P296" s="83" t="str">
        <f t="shared" ref="P296" si="1500">IF(R298="","",P295-R296)</f>
        <v/>
      </c>
      <c r="Q296" s="84" t="str">
        <f t="shared" ref="Q296" si="1501">IF(S298="","",P295-S296)</f>
        <v/>
      </c>
      <c r="R296" s="85" t="str">
        <f t="shared" ref="R296:S296" si="1502">IF(OR($A298="集水",$A298="吸水"),0.4,"")</f>
        <v/>
      </c>
      <c r="S296" s="85" t="str">
        <f t="shared" si="1502"/>
        <v/>
      </c>
      <c r="T296" s="86" t="str">
        <f t="shared" ref="T296" si="1503">IF(Q296="","",P296-Q296)</f>
        <v/>
      </c>
      <c r="U296" s="88"/>
      <c r="V296" s="89"/>
    </row>
    <row r="297" spans="1:22" ht="9" customHeight="1" x14ac:dyDescent="0.55000000000000004">
      <c r="A297" s="90"/>
      <c r="B297" s="91"/>
      <c r="C297" s="92" t="str">
        <f t="shared" ref="C297" si="1504">IF(B295="","",B297-B295)</f>
        <v/>
      </c>
      <c r="D297" s="91"/>
      <c r="E297" s="93" t="str">
        <f t="shared" ref="E297" si="1505">IF(D295="","",D297-D295)</f>
        <v/>
      </c>
      <c r="F297" s="94"/>
      <c r="G297" s="85"/>
      <c r="H297" s="85"/>
      <c r="I297" s="95"/>
      <c r="J297" s="86"/>
      <c r="K297" s="94"/>
      <c r="L297" s="85"/>
      <c r="M297" s="85"/>
      <c r="N297" s="95"/>
      <c r="O297" s="86"/>
      <c r="P297" s="94"/>
      <c r="Q297" s="85"/>
      <c r="R297" s="85"/>
      <c r="S297" s="95"/>
      <c r="T297" s="86"/>
      <c r="U297" s="96"/>
      <c r="V297" s="97"/>
    </row>
    <row r="298" spans="1:22" ht="9" customHeight="1" x14ac:dyDescent="0.55000000000000004">
      <c r="A298" s="98"/>
      <c r="B298" s="99"/>
      <c r="C298" s="100"/>
      <c r="D298" s="99"/>
      <c r="E298" s="101"/>
      <c r="F298" s="102" t="str">
        <f t="shared" ref="F298" si="1506">IF(H298="","",F295-H298)</f>
        <v/>
      </c>
      <c r="G298" s="103" t="str">
        <f t="shared" ref="G298" si="1507">IF(I298="","",F295-I298)</f>
        <v/>
      </c>
      <c r="H298" s="104"/>
      <c r="I298" s="104"/>
      <c r="J298" s="105"/>
      <c r="K298" s="106" t="str">
        <f t="shared" ref="K298" si="1508">IF(M298="","",K295-M298)</f>
        <v/>
      </c>
      <c r="L298" s="103" t="str">
        <f t="shared" ref="L298" si="1509">IF(N298="","",K295-N298)</f>
        <v/>
      </c>
      <c r="M298" s="104"/>
      <c r="N298" s="107"/>
      <c r="O298" s="105"/>
      <c r="P298" s="102" t="str">
        <f t="shared" ref="P298" si="1510">IF(R298="","",P295-R298)</f>
        <v/>
      </c>
      <c r="Q298" s="103" t="str">
        <f t="shared" ref="Q298" si="1511">IF(S298="","",P295-S298)</f>
        <v/>
      </c>
      <c r="R298" s="104"/>
      <c r="S298" s="104"/>
      <c r="T298" s="105"/>
      <c r="U298" s="108"/>
      <c r="V298" s="109"/>
    </row>
    <row r="299" spans="1:22" ht="9" customHeight="1" x14ac:dyDescent="0.55000000000000004">
      <c r="A299" s="19"/>
      <c r="B299" s="69"/>
      <c r="C299" s="70"/>
      <c r="D299" s="69"/>
      <c r="E299" s="71"/>
      <c r="F299" s="72"/>
      <c r="G299" s="73"/>
      <c r="H299" s="74"/>
      <c r="I299" s="75"/>
      <c r="J299" s="76"/>
      <c r="K299" s="72"/>
      <c r="L299" s="73"/>
      <c r="M299" s="74"/>
      <c r="N299" s="75"/>
      <c r="O299" s="76"/>
      <c r="P299" s="72"/>
      <c r="Q299" s="73"/>
      <c r="R299" s="74"/>
      <c r="S299" s="75"/>
      <c r="T299" s="76"/>
      <c r="U299" s="77" t="str">
        <f t="shared" ref="U299" si="1512">IF(OR(F302="",P302=""),"",B299/(F302-P302))</f>
        <v/>
      </c>
      <c r="V299" s="78"/>
    </row>
    <row r="300" spans="1:22" ht="9" customHeight="1" x14ac:dyDescent="0.55000000000000004">
      <c r="A300" s="79"/>
      <c r="B300" s="80"/>
      <c r="C300" s="81"/>
      <c r="D300" s="80"/>
      <c r="E300" s="82"/>
      <c r="F300" s="83" t="str">
        <f t="shared" ref="F300" si="1513">IF(H302="","",F299-H300)</f>
        <v/>
      </c>
      <c r="G300" s="84" t="str">
        <f t="shared" ref="G300" si="1514">IF(I302="","",F299-I300)</f>
        <v/>
      </c>
      <c r="H300" s="85" t="str">
        <f t="shared" ref="H300:I300" si="1515">IF(OR($A302="集水",$A302="吸水"),0.4,"")</f>
        <v/>
      </c>
      <c r="I300" s="85" t="str">
        <f t="shared" si="1515"/>
        <v/>
      </c>
      <c r="J300" s="86" t="str">
        <f t="shared" ref="J300" si="1516">IF(G300="","",F300-G300)</f>
        <v/>
      </c>
      <c r="K300" s="83" t="str">
        <f t="shared" ref="K300" si="1517">IF(M302="","",K299-M300)</f>
        <v/>
      </c>
      <c r="L300" s="87" t="str">
        <f t="shared" ref="L300" si="1518">IF(N302="","",K299-N300)</f>
        <v/>
      </c>
      <c r="M300" s="85" t="str">
        <f t="shared" ref="M300:N300" si="1519">IF(M302="","",IF(OR($A302="集水",$A302="吸水"),0.4,""))</f>
        <v/>
      </c>
      <c r="N300" s="85" t="str">
        <f t="shared" si="1519"/>
        <v/>
      </c>
      <c r="O300" s="86" t="str">
        <f t="shared" ref="O300" si="1520">IF(L300="","",K300-L300)</f>
        <v/>
      </c>
      <c r="P300" s="83" t="str">
        <f t="shared" ref="P300" si="1521">IF(R302="","",P299-R300)</f>
        <v/>
      </c>
      <c r="Q300" s="84" t="str">
        <f t="shared" ref="Q300" si="1522">IF(S302="","",P299-S300)</f>
        <v/>
      </c>
      <c r="R300" s="85" t="str">
        <f t="shared" ref="R300:S300" si="1523">IF(OR($A302="集水",$A302="吸水"),0.4,"")</f>
        <v/>
      </c>
      <c r="S300" s="85" t="str">
        <f t="shared" si="1523"/>
        <v/>
      </c>
      <c r="T300" s="86" t="str">
        <f t="shared" ref="T300" si="1524">IF(Q300="","",P300-Q300)</f>
        <v/>
      </c>
      <c r="U300" s="88"/>
      <c r="V300" s="89"/>
    </row>
    <row r="301" spans="1:22" ht="9" customHeight="1" x14ac:dyDescent="0.55000000000000004">
      <c r="A301" s="90"/>
      <c r="B301" s="91"/>
      <c r="C301" s="92" t="str">
        <f t="shared" ref="C301" si="1525">IF(B299="","",B301-B299)</f>
        <v/>
      </c>
      <c r="D301" s="91"/>
      <c r="E301" s="93" t="str">
        <f t="shared" ref="E301" si="1526">IF(D299="","",D301-D299)</f>
        <v/>
      </c>
      <c r="F301" s="94"/>
      <c r="G301" s="85"/>
      <c r="H301" s="85"/>
      <c r="I301" s="95"/>
      <c r="J301" s="86"/>
      <c r="K301" s="94"/>
      <c r="L301" s="85"/>
      <c r="M301" s="85"/>
      <c r="N301" s="95"/>
      <c r="O301" s="86"/>
      <c r="P301" s="94"/>
      <c r="Q301" s="85"/>
      <c r="R301" s="85"/>
      <c r="S301" s="95"/>
      <c r="T301" s="86"/>
      <c r="U301" s="96"/>
      <c r="V301" s="97"/>
    </row>
    <row r="302" spans="1:22" ht="9" customHeight="1" x14ac:dyDescent="0.55000000000000004">
      <c r="A302" s="98"/>
      <c r="B302" s="99"/>
      <c r="C302" s="100"/>
      <c r="D302" s="99"/>
      <c r="E302" s="101"/>
      <c r="F302" s="102" t="str">
        <f t="shared" ref="F302" si="1527">IF(H302="","",F299-H302)</f>
        <v/>
      </c>
      <c r="G302" s="103" t="str">
        <f t="shared" ref="G302" si="1528">IF(I302="","",F299-I302)</f>
        <v/>
      </c>
      <c r="H302" s="104"/>
      <c r="I302" s="104"/>
      <c r="J302" s="105"/>
      <c r="K302" s="106" t="str">
        <f t="shared" ref="K302" si="1529">IF(M302="","",K299-M302)</f>
        <v/>
      </c>
      <c r="L302" s="103" t="str">
        <f t="shared" ref="L302" si="1530">IF(N302="","",K299-N302)</f>
        <v/>
      </c>
      <c r="M302" s="104"/>
      <c r="N302" s="107"/>
      <c r="O302" s="105"/>
      <c r="P302" s="102" t="str">
        <f t="shared" ref="P302" si="1531">IF(R302="","",P299-R302)</f>
        <v/>
      </c>
      <c r="Q302" s="103" t="str">
        <f t="shared" ref="Q302" si="1532">IF(S302="","",P299-S302)</f>
        <v/>
      </c>
      <c r="R302" s="104"/>
      <c r="S302" s="104"/>
      <c r="T302" s="105"/>
      <c r="U302" s="108"/>
      <c r="V302" s="109"/>
    </row>
    <row r="303" spans="1:22" ht="9" customHeight="1" x14ac:dyDescent="0.55000000000000004">
      <c r="A303" s="19"/>
      <c r="B303" s="69"/>
      <c r="C303" s="70"/>
      <c r="D303" s="69"/>
      <c r="E303" s="71"/>
      <c r="F303" s="72"/>
      <c r="G303" s="73"/>
      <c r="H303" s="74"/>
      <c r="I303" s="75"/>
      <c r="J303" s="76"/>
      <c r="K303" s="72"/>
      <c r="L303" s="73"/>
      <c r="M303" s="74"/>
      <c r="N303" s="75"/>
      <c r="O303" s="76"/>
      <c r="P303" s="72"/>
      <c r="Q303" s="73"/>
      <c r="R303" s="74"/>
      <c r="S303" s="75"/>
      <c r="T303" s="76"/>
      <c r="U303" s="77" t="str">
        <f t="shared" ref="U303" si="1533">IF(OR(F306="",P306=""),"",B303/(F306-P306))</f>
        <v/>
      </c>
      <c r="V303" s="78"/>
    </row>
    <row r="304" spans="1:22" ht="9" customHeight="1" x14ac:dyDescent="0.55000000000000004">
      <c r="A304" s="79"/>
      <c r="B304" s="80"/>
      <c r="C304" s="81"/>
      <c r="D304" s="80"/>
      <c r="E304" s="82"/>
      <c r="F304" s="83" t="str">
        <f t="shared" ref="F304" si="1534">IF(H306="","",F303-H304)</f>
        <v/>
      </c>
      <c r="G304" s="84" t="str">
        <f t="shared" ref="G304" si="1535">IF(I306="","",F303-I304)</f>
        <v/>
      </c>
      <c r="H304" s="85" t="str">
        <f t="shared" ref="H304:I304" si="1536">IF(OR($A306="集水",$A306="吸水"),0.4,"")</f>
        <v/>
      </c>
      <c r="I304" s="85" t="str">
        <f t="shared" si="1536"/>
        <v/>
      </c>
      <c r="J304" s="86" t="str">
        <f t="shared" ref="J304" si="1537">IF(G304="","",F304-G304)</f>
        <v/>
      </c>
      <c r="K304" s="83" t="str">
        <f t="shared" ref="K304" si="1538">IF(M306="","",K303-M304)</f>
        <v/>
      </c>
      <c r="L304" s="87" t="str">
        <f t="shared" ref="L304" si="1539">IF(N306="","",K303-N304)</f>
        <v/>
      </c>
      <c r="M304" s="85" t="str">
        <f t="shared" ref="M304:N304" si="1540">IF(M306="","",IF(OR($A306="集水",$A306="吸水"),0.4,""))</f>
        <v/>
      </c>
      <c r="N304" s="85" t="str">
        <f t="shared" si="1540"/>
        <v/>
      </c>
      <c r="O304" s="86" t="str">
        <f t="shared" ref="O304" si="1541">IF(L304="","",K304-L304)</f>
        <v/>
      </c>
      <c r="P304" s="83" t="str">
        <f t="shared" ref="P304" si="1542">IF(R306="","",P303-R304)</f>
        <v/>
      </c>
      <c r="Q304" s="84" t="str">
        <f t="shared" ref="Q304" si="1543">IF(S306="","",P303-S304)</f>
        <v/>
      </c>
      <c r="R304" s="85" t="str">
        <f t="shared" ref="R304:S304" si="1544">IF(OR($A306="集水",$A306="吸水"),0.4,"")</f>
        <v/>
      </c>
      <c r="S304" s="85" t="str">
        <f t="shared" si="1544"/>
        <v/>
      </c>
      <c r="T304" s="86" t="str">
        <f t="shared" ref="T304" si="1545">IF(Q304="","",P304-Q304)</f>
        <v/>
      </c>
      <c r="U304" s="88"/>
      <c r="V304" s="89"/>
    </row>
    <row r="305" spans="1:22" ht="9" customHeight="1" x14ac:dyDescent="0.55000000000000004">
      <c r="A305" s="90"/>
      <c r="B305" s="91"/>
      <c r="C305" s="92" t="str">
        <f t="shared" ref="C305" si="1546">IF(B303="","",B305-B303)</f>
        <v/>
      </c>
      <c r="D305" s="91"/>
      <c r="E305" s="93" t="str">
        <f t="shared" ref="E305" si="1547">IF(D303="","",D305-D303)</f>
        <v/>
      </c>
      <c r="F305" s="94"/>
      <c r="G305" s="85"/>
      <c r="H305" s="85"/>
      <c r="I305" s="95"/>
      <c r="J305" s="86"/>
      <c r="K305" s="94"/>
      <c r="L305" s="85"/>
      <c r="M305" s="85"/>
      <c r="N305" s="95"/>
      <c r="O305" s="86"/>
      <c r="P305" s="94"/>
      <c r="Q305" s="85"/>
      <c r="R305" s="85"/>
      <c r="S305" s="95"/>
      <c r="T305" s="86"/>
      <c r="U305" s="96"/>
      <c r="V305" s="97"/>
    </row>
    <row r="306" spans="1:22" ht="9" customHeight="1" x14ac:dyDescent="0.55000000000000004">
      <c r="A306" s="98"/>
      <c r="B306" s="99"/>
      <c r="C306" s="100"/>
      <c r="D306" s="99"/>
      <c r="E306" s="101"/>
      <c r="F306" s="102" t="str">
        <f t="shared" ref="F306" si="1548">IF(H306="","",F303-H306)</f>
        <v/>
      </c>
      <c r="G306" s="103" t="str">
        <f t="shared" ref="G306" si="1549">IF(I306="","",F303-I306)</f>
        <v/>
      </c>
      <c r="H306" s="104"/>
      <c r="I306" s="104"/>
      <c r="J306" s="105"/>
      <c r="K306" s="106" t="str">
        <f t="shared" ref="K306" si="1550">IF(M306="","",K303-M306)</f>
        <v/>
      </c>
      <c r="L306" s="103" t="str">
        <f t="shared" ref="L306" si="1551">IF(N306="","",K303-N306)</f>
        <v/>
      </c>
      <c r="M306" s="104"/>
      <c r="N306" s="107"/>
      <c r="O306" s="105"/>
      <c r="P306" s="102" t="str">
        <f t="shared" ref="P306" si="1552">IF(R306="","",P303-R306)</f>
        <v/>
      </c>
      <c r="Q306" s="103" t="str">
        <f t="shared" ref="Q306" si="1553">IF(S306="","",P303-S306)</f>
        <v/>
      </c>
      <c r="R306" s="104"/>
      <c r="S306" s="104"/>
      <c r="T306" s="105"/>
      <c r="U306" s="108"/>
      <c r="V306" s="109"/>
    </row>
    <row r="307" spans="1:22" ht="9" customHeight="1" x14ac:dyDescent="0.55000000000000004">
      <c r="A307" s="19"/>
      <c r="B307" s="69"/>
      <c r="C307" s="70"/>
      <c r="D307" s="69"/>
      <c r="E307" s="71"/>
      <c r="F307" s="72"/>
      <c r="G307" s="73"/>
      <c r="H307" s="74"/>
      <c r="I307" s="75"/>
      <c r="J307" s="76"/>
      <c r="K307" s="72"/>
      <c r="L307" s="73"/>
      <c r="M307" s="74"/>
      <c r="N307" s="75"/>
      <c r="O307" s="76"/>
      <c r="P307" s="72"/>
      <c r="Q307" s="73"/>
      <c r="R307" s="74"/>
      <c r="S307" s="75"/>
      <c r="T307" s="76"/>
      <c r="U307" s="77" t="str">
        <f t="shared" ref="U307" si="1554">IF(OR(F310="",P310=""),"",B307/(F310-P310))</f>
        <v/>
      </c>
      <c r="V307" s="78"/>
    </row>
    <row r="308" spans="1:22" ht="9" customHeight="1" x14ac:dyDescent="0.55000000000000004">
      <c r="A308" s="79"/>
      <c r="B308" s="80"/>
      <c r="C308" s="81"/>
      <c r="D308" s="80"/>
      <c r="E308" s="82"/>
      <c r="F308" s="83" t="str">
        <f t="shared" ref="F308" si="1555">IF(H310="","",F307-H308)</f>
        <v/>
      </c>
      <c r="G308" s="84" t="str">
        <f t="shared" ref="G308" si="1556">IF(I310="","",F307-I308)</f>
        <v/>
      </c>
      <c r="H308" s="85" t="str">
        <f t="shared" ref="H308:I308" si="1557">IF(OR($A310="集水",$A310="吸水"),0.4,"")</f>
        <v/>
      </c>
      <c r="I308" s="85" t="str">
        <f t="shared" si="1557"/>
        <v/>
      </c>
      <c r="J308" s="86" t="str">
        <f t="shared" ref="J308" si="1558">IF(G308="","",F308-G308)</f>
        <v/>
      </c>
      <c r="K308" s="83" t="str">
        <f t="shared" ref="K308" si="1559">IF(M310="","",K307-M308)</f>
        <v/>
      </c>
      <c r="L308" s="87" t="str">
        <f t="shared" ref="L308" si="1560">IF(N310="","",K307-N308)</f>
        <v/>
      </c>
      <c r="M308" s="85" t="str">
        <f t="shared" ref="M308:N308" si="1561">IF(M310="","",IF(OR($A310="集水",$A310="吸水"),0.4,""))</f>
        <v/>
      </c>
      <c r="N308" s="85" t="str">
        <f t="shared" si="1561"/>
        <v/>
      </c>
      <c r="O308" s="86" t="str">
        <f t="shared" ref="O308" si="1562">IF(L308="","",K308-L308)</f>
        <v/>
      </c>
      <c r="P308" s="83" t="str">
        <f t="shared" ref="P308" si="1563">IF(R310="","",P307-R308)</f>
        <v/>
      </c>
      <c r="Q308" s="84" t="str">
        <f t="shared" ref="Q308" si="1564">IF(S310="","",P307-S308)</f>
        <v/>
      </c>
      <c r="R308" s="85" t="str">
        <f t="shared" ref="R308:S308" si="1565">IF(OR($A310="集水",$A310="吸水"),0.4,"")</f>
        <v/>
      </c>
      <c r="S308" s="85" t="str">
        <f t="shared" si="1565"/>
        <v/>
      </c>
      <c r="T308" s="86" t="str">
        <f t="shared" ref="T308" si="1566">IF(Q308="","",P308-Q308)</f>
        <v/>
      </c>
      <c r="U308" s="88"/>
      <c r="V308" s="89"/>
    </row>
    <row r="309" spans="1:22" ht="9" customHeight="1" x14ac:dyDescent="0.55000000000000004">
      <c r="A309" s="90"/>
      <c r="B309" s="91"/>
      <c r="C309" s="92" t="str">
        <f t="shared" ref="C309" si="1567">IF(B307="","",B309-B307)</f>
        <v/>
      </c>
      <c r="D309" s="91"/>
      <c r="E309" s="93" t="str">
        <f t="shared" ref="E309" si="1568">IF(D307="","",D309-D307)</f>
        <v/>
      </c>
      <c r="F309" s="94"/>
      <c r="G309" s="85"/>
      <c r="H309" s="85"/>
      <c r="I309" s="95"/>
      <c r="J309" s="86"/>
      <c r="K309" s="94"/>
      <c r="L309" s="85"/>
      <c r="M309" s="85"/>
      <c r="N309" s="95"/>
      <c r="O309" s="86"/>
      <c r="P309" s="94"/>
      <c r="Q309" s="85"/>
      <c r="R309" s="85"/>
      <c r="S309" s="95"/>
      <c r="T309" s="86"/>
      <c r="U309" s="96"/>
      <c r="V309" s="97"/>
    </row>
    <row r="310" spans="1:22" ht="9" customHeight="1" x14ac:dyDescent="0.55000000000000004">
      <c r="A310" s="98"/>
      <c r="B310" s="99"/>
      <c r="C310" s="100"/>
      <c r="D310" s="99"/>
      <c r="E310" s="101"/>
      <c r="F310" s="102" t="str">
        <f t="shared" ref="F310" si="1569">IF(H310="","",F307-H310)</f>
        <v/>
      </c>
      <c r="G310" s="103" t="str">
        <f t="shared" ref="G310" si="1570">IF(I310="","",F307-I310)</f>
        <v/>
      </c>
      <c r="H310" s="104"/>
      <c r="I310" s="104"/>
      <c r="J310" s="105"/>
      <c r="K310" s="106" t="str">
        <f t="shared" ref="K310" si="1571">IF(M310="","",K307-M310)</f>
        <v/>
      </c>
      <c r="L310" s="103" t="str">
        <f t="shared" ref="L310" si="1572">IF(N310="","",K307-N310)</f>
        <v/>
      </c>
      <c r="M310" s="104"/>
      <c r="N310" s="107"/>
      <c r="O310" s="105"/>
      <c r="P310" s="102" t="str">
        <f t="shared" ref="P310" si="1573">IF(R310="","",P307-R310)</f>
        <v/>
      </c>
      <c r="Q310" s="103" t="str">
        <f t="shared" ref="Q310" si="1574">IF(S310="","",P307-S310)</f>
        <v/>
      </c>
      <c r="R310" s="104"/>
      <c r="S310" s="104"/>
      <c r="T310" s="105"/>
      <c r="U310" s="108"/>
      <c r="V310" s="109"/>
    </row>
    <row r="311" spans="1:22" ht="9" customHeight="1" x14ac:dyDescent="0.55000000000000004">
      <c r="A311" s="19"/>
      <c r="B311" s="69"/>
      <c r="C311" s="70"/>
      <c r="D311" s="69"/>
      <c r="E311" s="71"/>
      <c r="F311" s="72"/>
      <c r="G311" s="73"/>
      <c r="H311" s="74"/>
      <c r="I311" s="75"/>
      <c r="J311" s="76"/>
      <c r="K311" s="72"/>
      <c r="L311" s="73"/>
      <c r="M311" s="74"/>
      <c r="N311" s="75"/>
      <c r="O311" s="76"/>
      <c r="P311" s="72"/>
      <c r="Q311" s="73"/>
      <c r="R311" s="74"/>
      <c r="S311" s="75"/>
      <c r="T311" s="76"/>
      <c r="U311" s="77" t="str">
        <f t="shared" ref="U311" si="1575">IF(OR(F314="",P314=""),"",B311/(F314-P314))</f>
        <v/>
      </c>
      <c r="V311" s="78"/>
    </row>
    <row r="312" spans="1:22" ht="9" customHeight="1" x14ac:dyDescent="0.55000000000000004">
      <c r="A312" s="79"/>
      <c r="B312" s="80"/>
      <c r="C312" s="81"/>
      <c r="D312" s="80"/>
      <c r="E312" s="82"/>
      <c r="F312" s="83" t="str">
        <f t="shared" ref="F312" si="1576">IF(H314="","",F311-H312)</f>
        <v/>
      </c>
      <c r="G312" s="84" t="str">
        <f t="shared" ref="G312" si="1577">IF(I314="","",F311-I312)</f>
        <v/>
      </c>
      <c r="H312" s="85" t="str">
        <f t="shared" ref="H312:I312" si="1578">IF(OR($A314="集水",$A314="吸水"),0.4,"")</f>
        <v/>
      </c>
      <c r="I312" s="85" t="str">
        <f t="shared" si="1578"/>
        <v/>
      </c>
      <c r="J312" s="86" t="str">
        <f t="shared" ref="J312" si="1579">IF(G312="","",F312-G312)</f>
        <v/>
      </c>
      <c r="K312" s="83" t="str">
        <f t="shared" ref="K312" si="1580">IF(M314="","",K311-M312)</f>
        <v/>
      </c>
      <c r="L312" s="87" t="str">
        <f t="shared" ref="L312" si="1581">IF(N314="","",K311-N312)</f>
        <v/>
      </c>
      <c r="M312" s="85" t="str">
        <f t="shared" ref="M312:N312" si="1582">IF(M314="","",IF(OR($A314="集水",$A314="吸水"),0.4,""))</f>
        <v/>
      </c>
      <c r="N312" s="85" t="str">
        <f t="shared" si="1582"/>
        <v/>
      </c>
      <c r="O312" s="86" t="str">
        <f t="shared" ref="O312" si="1583">IF(L312="","",K312-L312)</f>
        <v/>
      </c>
      <c r="P312" s="83" t="str">
        <f t="shared" ref="P312" si="1584">IF(R314="","",P311-R312)</f>
        <v/>
      </c>
      <c r="Q312" s="84" t="str">
        <f t="shared" ref="Q312" si="1585">IF(S314="","",P311-S312)</f>
        <v/>
      </c>
      <c r="R312" s="85" t="str">
        <f t="shared" ref="R312:S312" si="1586">IF(OR($A314="集水",$A314="吸水"),0.4,"")</f>
        <v/>
      </c>
      <c r="S312" s="85" t="str">
        <f t="shared" si="1586"/>
        <v/>
      </c>
      <c r="T312" s="86" t="str">
        <f t="shared" ref="T312" si="1587">IF(Q312="","",P312-Q312)</f>
        <v/>
      </c>
      <c r="U312" s="88"/>
      <c r="V312" s="89"/>
    </row>
    <row r="313" spans="1:22" ht="9" customHeight="1" x14ac:dyDescent="0.55000000000000004">
      <c r="A313" s="90"/>
      <c r="B313" s="91"/>
      <c r="C313" s="92" t="str">
        <f t="shared" ref="C313" si="1588">IF(B311="","",B313-B311)</f>
        <v/>
      </c>
      <c r="D313" s="91"/>
      <c r="E313" s="93" t="str">
        <f t="shared" ref="E313" si="1589">IF(D311="","",D313-D311)</f>
        <v/>
      </c>
      <c r="F313" s="94"/>
      <c r="G313" s="85"/>
      <c r="H313" s="85"/>
      <c r="I313" s="95"/>
      <c r="J313" s="86"/>
      <c r="K313" s="94"/>
      <c r="L313" s="85"/>
      <c r="M313" s="85"/>
      <c r="N313" s="95"/>
      <c r="O313" s="86"/>
      <c r="P313" s="94"/>
      <c r="Q313" s="85"/>
      <c r="R313" s="85"/>
      <c r="S313" s="95"/>
      <c r="T313" s="86"/>
      <c r="U313" s="96"/>
      <c r="V313" s="97"/>
    </row>
    <row r="314" spans="1:22" ht="9" customHeight="1" x14ac:dyDescent="0.55000000000000004">
      <c r="A314" s="98"/>
      <c r="B314" s="99"/>
      <c r="C314" s="100"/>
      <c r="D314" s="99"/>
      <c r="E314" s="101"/>
      <c r="F314" s="102" t="str">
        <f t="shared" ref="F314" si="1590">IF(H314="","",F311-H314)</f>
        <v/>
      </c>
      <c r="G314" s="103" t="str">
        <f t="shared" ref="G314" si="1591">IF(I314="","",F311-I314)</f>
        <v/>
      </c>
      <c r="H314" s="104"/>
      <c r="I314" s="104"/>
      <c r="J314" s="105"/>
      <c r="K314" s="106" t="str">
        <f t="shared" ref="K314" si="1592">IF(M314="","",K311-M314)</f>
        <v/>
      </c>
      <c r="L314" s="103" t="str">
        <f t="shared" ref="L314" si="1593">IF(N314="","",K311-N314)</f>
        <v/>
      </c>
      <c r="M314" s="104"/>
      <c r="N314" s="107"/>
      <c r="O314" s="105"/>
      <c r="P314" s="102" t="str">
        <f t="shared" ref="P314" si="1594">IF(R314="","",P311-R314)</f>
        <v/>
      </c>
      <c r="Q314" s="103" t="str">
        <f t="shared" ref="Q314" si="1595">IF(S314="","",P311-S314)</f>
        <v/>
      </c>
      <c r="R314" s="104"/>
      <c r="S314" s="104"/>
      <c r="T314" s="105"/>
      <c r="U314" s="108"/>
      <c r="V314" s="109"/>
    </row>
    <row r="315" spans="1:22" ht="9" customHeight="1" x14ac:dyDescent="0.55000000000000004">
      <c r="A315" s="19"/>
      <c r="B315" s="69"/>
      <c r="C315" s="70"/>
      <c r="D315" s="69"/>
      <c r="E315" s="71"/>
      <c r="F315" s="72"/>
      <c r="G315" s="73"/>
      <c r="H315" s="74"/>
      <c r="I315" s="75"/>
      <c r="J315" s="76"/>
      <c r="K315" s="72"/>
      <c r="L315" s="73"/>
      <c r="M315" s="74"/>
      <c r="N315" s="75"/>
      <c r="O315" s="76"/>
      <c r="P315" s="72"/>
      <c r="Q315" s="73"/>
      <c r="R315" s="74"/>
      <c r="S315" s="75"/>
      <c r="T315" s="76"/>
      <c r="U315" s="77" t="str">
        <f t="shared" ref="U315" si="1596">IF(OR(F318="",P318=""),"",B315/(F318-P318))</f>
        <v/>
      </c>
      <c r="V315" s="78"/>
    </row>
    <row r="316" spans="1:22" ht="9" customHeight="1" x14ac:dyDescent="0.55000000000000004">
      <c r="A316" s="79"/>
      <c r="B316" s="80"/>
      <c r="C316" s="81"/>
      <c r="D316" s="80"/>
      <c r="E316" s="82"/>
      <c r="F316" s="83" t="str">
        <f t="shared" ref="F316" si="1597">IF(H318="","",F315-H316)</f>
        <v/>
      </c>
      <c r="G316" s="84" t="str">
        <f t="shared" ref="G316" si="1598">IF(I318="","",F315-I316)</f>
        <v/>
      </c>
      <c r="H316" s="85" t="str">
        <f t="shared" ref="H316:I316" si="1599">IF(OR($A318="集水",$A318="吸水"),0.4,"")</f>
        <v/>
      </c>
      <c r="I316" s="85" t="str">
        <f t="shared" si="1599"/>
        <v/>
      </c>
      <c r="J316" s="86" t="str">
        <f t="shared" ref="J316" si="1600">IF(G316="","",F316-G316)</f>
        <v/>
      </c>
      <c r="K316" s="83" t="str">
        <f t="shared" ref="K316" si="1601">IF(M318="","",K315-M316)</f>
        <v/>
      </c>
      <c r="L316" s="87" t="str">
        <f t="shared" ref="L316" si="1602">IF(N318="","",K315-N316)</f>
        <v/>
      </c>
      <c r="M316" s="85" t="str">
        <f t="shared" ref="M316:N316" si="1603">IF(M318="","",IF(OR($A318="集水",$A318="吸水"),0.4,""))</f>
        <v/>
      </c>
      <c r="N316" s="85" t="str">
        <f t="shared" si="1603"/>
        <v/>
      </c>
      <c r="O316" s="86" t="str">
        <f t="shared" ref="O316" si="1604">IF(L316="","",K316-L316)</f>
        <v/>
      </c>
      <c r="P316" s="83" t="str">
        <f t="shared" ref="P316" si="1605">IF(R318="","",P315-R316)</f>
        <v/>
      </c>
      <c r="Q316" s="84" t="str">
        <f t="shared" ref="Q316" si="1606">IF(S318="","",P315-S316)</f>
        <v/>
      </c>
      <c r="R316" s="85" t="str">
        <f t="shared" ref="R316:S316" si="1607">IF(OR($A318="集水",$A318="吸水"),0.4,"")</f>
        <v/>
      </c>
      <c r="S316" s="85" t="str">
        <f t="shared" si="1607"/>
        <v/>
      </c>
      <c r="T316" s="86" t="str">
        <f t="shared" ref="T316" si="1608">IF(Q316="","",P316-Q316)</f>
        <v/>
      </c>
      <c r="U316" s="88"/>
      <c r="V316" s="89"/>
    </row>
    <row r="317" spans="1:22" ht="9" customHeight="1" x14ac:dyDescent="0.55000000000000004">
      <c r="A317" s="90"/>
      <c r="B317" s="91"/>
      <c r="C317" s="92" t="str">
        <f t="shared" ref="C317" si="1609">IF(B315="","",B317-B315)</f>
        <v/>
      </c>
      <c r="D317" s="91"/>
      <c r="E317" s="93" t="str">
        <f t="shared" ref="E317" si="1610">IF(D315="","",D317-D315)</f>
        <v/>
      </c>
      <c r="F317" s="94"/>
      <c r="G317" s="85"/>
      <c r="H317" s="85"/>
      <c r="I317" s="95"/>
      <c r="J317" s="86"/>
      <c r="K317" s="94"/>
      <c r="L317" s="85"/>
      <c r="M317" s="85"/>
      <c r="N317" s="95"/>
      <c r="O317" s="86"/>
      <c r="P317" s="94"/>
      <c r="Q317" s="85"/>
      <c r="R317" s="85"/>
      <c r="S317" s="95"/>
      <c r="T317" s="86"/>
      <c r="U317" s="96"/>
      <c r="V317" s="97"/>
    </row>
    <row r="318" spans="1:22" ht="9" customHeight="1" x14ac:dyDescent="0.55000000000000004">
      <c r="A318" s="98"/>
      <c r="B318" s="99"/>
      <c r="C318" s="100"/>
      <c r="D318" s="99"/>
      <c r="E318" s="101"/>
      <c r="F318" s="102" t="str">
        <f t="shared" ref="F318" si="1611">IF(H318="","",F315-H318)</f>
        <v/>
      </c>
      <c r="G318" s="103" t="str">
        <f t="shared" ref="G318" si="1612">IF(I318="","",F315-I318)</f>
        <v/>
      </c>
      <c r="H318" s="104"/>
      <c r="I318" s="104"/>
      <c r="J318" s="105"/>
      <c r="K318" s="106" t="str">
        <f t="shared" ref="K318" si="1613">IF(M318="","",K315-M318)</f>
        <v/>
      </c>
      <c r="L318" s="103" t="str">
        <f t="shared" ref="L318" si="1614">IF(N318="","",K315-N318)</f>
        <v/>
      </c>
      <c r="M318" s="104"/>
      <c r="N318" s="107"/>
      <c r="O318" s="105"/>
      <c r="P318" s="102" t="str">
        <f t="shared" ref="P318" si="1615">IF(R318="","",P315-R318)</f>
        <v/>
      </c>
      <c r="Q318" s="103" t="str">
        <f t="shared" ref="Q318" si="1616">IF(S318="","",P315-S318)</f>
        <v/>
      </c>
      <c r="R318" s="104"/>
      <c r="S318" s="104"/>
      <c r="T318" s="105"/>
      <c r="U318" s="108"/>
      <c r="V318" s="109"/>
    </row>
    <row r="319" spans="1:22" ht="9" customHeight="1" x14ac:dyDescent="0.55000000000000004">
      <c r="A319" s="19"/>
      <c r="B319" s="69"/>
      <c r="C319" s="70"/>
      <c r="D319" s="69"/>
      <c r="E319" s="71"/>
      <c r="F319" s="72"/>
      <c r="G319" s="73"/>
      <c r="H319" s="74"/>
      <c r="I319" s="75"/>
      <c r="J319" s="76"/>
      <c r="K319" s="72"/>
      <c r="L319" s="73"/>
      <c r="M319" s="74"/>
      <c r="N319" s="75"/>
      <c r="O319" s="76"/>
      <c r="P319" s="72"/>
      <c r="Q319" s="73"/>
      <c r="R319" s="74"/>
      <c r="S319" s="75"/>
      <c r="T319" s="76"/>
      <c r="U319" s="77" t="str">
        <f t="shared" ref="U319" si="1617">IF(OR(F322="",P322=""),"",B319/(F322-P322))</f>
        <v/>
      </c>
      <c r="V319" s="78"/>
    </row>
    <row r="320" spans="1:22" ht="9" customHeight="1" x14ac:dyDescent="0.55000000000000004">
      <c r="A320" s="79"/>
      <c r="B320" s="80"/>
      <c r="C320" s="81"/>
      <c r="D320" s="80"/>
      <c r="E320" s="82"/>
      <c r="F320" s="83" t="str">
        <f t="shared" ref="F320" si="1618">IF(H322="","",F319-H320)</f>
        <v/>
      </c>
      <c r="G320" s="84" t="str">
        <f t="shared" ref="G320" si="1619">IF(I322="","",F319-I320)</f>
        <v/>
      </c>
      <c r="H320" s="85" t="str">
        <f t="shared" ref="H320:I320" si="1620">IF(OR($A322="集水",$A322="吸水"),0.4,"")</f>
        <v/>
      </c>
      <c r="I320" s="85" t="str">
        <f t="shared" si="1620"/>
        <v/>
      </c>
      <c r="J320" s="86" t="str">
        <f t="shared" ref="J320" si="1621">IF(G320="","",F320-G320)</f>
        <v/>
      </c>
      <c r="K320" s="83" t="str">
        <f t="shared" ref="K320" si="1622">IF(M322="","",K319-M320)</f>
        <v/>
      </c>
      <c r="L320" s="87" t="str">
        <f t="shared" ref="L320" si="1623">IF(N322="","",K319-N320)</f>
        <v/>
      </c>
      <c r="M320" s="85" t="str">
        <f t="shared" ref="M320:N320" si="1624">IF(M322="","",IF(OR($A322="集水",$A322="吸水"),0.4,""))</f>
        <v/>
      </c>
      <c r="N320" s="85" t="str">
        <f t="shared" si="1624"/>
        <v/>
      </c>
      <c r="O320" s="86" t="str">
        <f t="shared" ref="O320" si="1625">IF(L320="","",K320-L320)</f>
        <v/>
      </c>
      <c r="P320" s="83" t="str">
        <f t="shared" ref="P320" si="1626">IF(R322="","",P319-R320)</f>
        <v/>
      </c>
      <c r="Q320" s="84" t="str">
        <f t="shared" ref="Q320" si="1627">IF(S322="","",P319-S320)</f>
        <v/>
      </c>
      <c r="R320" s="85" t="str">
        <f t="shared" ref="R320:S320" si="1628">IF(OR($A322="集水",$A322="吸水"),0.4,"")</f>
        <v/>
      </c>
      <c r="S320" s="85" t="str">
        <f t="shared" si="1628"/>
        <v/>
      </c>
      <c r="T320" s="86" t="str">
        <f t="shared" ref="T320" si="1629">IF(Q320="","",P320-Q320)</f>
        <v/>
      </c>
      <c r="U320" s="88"/>
      <c r="V320" s="89"/>
    </row>
    <row r="321" spans="1:22" ht="9" customHeight="1" x14ac:dyDescent="0.55000000000000004">
      <c r="A321" s="90"/>
      <c r="B321" s="91"/>
      <c r="C321" s="92" t="str">
        <f t="shared" ref="C321" si="1630">IF(B319="","",B321-B319)</f>
        <v/>
      </c>
      <c r="D321" s="91"/>
      <c r="E321" s="93" t="str">
        <f t="shared" ref="E321" si="1631">IF(D319="","",D321-D319)</f>
        <v/>
      </c>
      <c r="F321" s="94"/>
      <c r="G321" s="85"/>
      <c r="H321" s="85"/>
      <c r="I321" s="95"/>
      <c r="J321" s="86"/>
      <c r="K321" s="94"/>
      <c r="L321" s="85"/>
      <c r="M321" s="85"/>
      <c r="N321" s="95"/>
      <c r="O321" s="86"/>
      <c r="P321" s="94"/>
      <c r="Q321" s="85"/>
      <c r="R321" s="85"/>
      <c r="S321" s="95"/>
      <c r="T321" s="86"/>
      <c r="U321" s="96"/>
      <c r="V321" s="97"/>
    </row>
    <row r="322" spans="1:22" ht="9" customHeight="1" x14ac:dyDescent="0.55000000000000004">
      <c r="A322" s="98"/>
      <c r="B322" s="99"/>
      <c r="C322" s="100"/>
      <c r="D322" s="99"/>
      <c r="E322" s="101"/>
      <c r="F322" s="102" t="str">
        <f t="shared" ref="F322" si="1632">IF(H322="","",F319-H322)</f>
        <v/>
      </c>
      <c r="G322" s="103" t="str">
        <f t="shared" ref="G322" si="1633">IF(I322="","",F319-I322)</f>
        <v/>
      </c>
      <c r="H322" s="104"/>
      <c r="I322" s="104"/>
      <c r="J322" s="105"/>
      <c r="K322" s="106" t="str">
        <f t="shared" ref="K322" si="1634">IF(M322="","",K319-M322)</f>
        <v/>
      </c>
      <c r="L322" s="103" t="str">
        <f t="shared" ref="L322" si="1635">IF(N322="","",K319-N322)</f>
        <v/>
      </c>
      <c r="M322" s="104"/>
      <c r="N322" s="107"/>
      <c r="O322" s="105"/>
      <c r="P322" s="102" t="str">
        <f t="shared" ref="P322" si="1636">IF(R322="","",P319-R322)</f>
        <v/>
      </c>
      <c r="Q322" s="103" t="str">
        <f t="shared" ref="Q322" si="1637">IF(S322="","",P319-S322)</f>
        <v/>
      </c>
      <c r="R322" s="104"/>
      <c r="S322" s="104"/>
      <c r="T322" s="105"/>
      <c r="U322" s="108"/>
      <c r="V322" s="109"/>
    </row>
    <row r="323" spans="1:22" ht="9" customHeight="1" x14ac:dyDescent="0.55000000000000004">
      <c r="A323" s="19"/>
      <c r="B323" s="69"/>
      <c r="C323" s="70"/>
      <c r="D323" s="69"/>
      <c r="E323" s="71"/>
      <c r="F323" s="72"/>
      <c r="G323" s="73"/>
      <c r="H323" s="74"/>
      <c r="I323" s="75"/>
      <c r="J323" s="76"/>
      <c r="K323" s="72"/>
      <c r="L323" s="73"/>
      <c r="M323" s="74"/>
      <c r="N323" s="75"/>
      <c r="O323" s="76"/>
      <c r="P323" s="72"/>
      <c r="Q323" s="73"/>
      <c r="R323" s="74"/>
      <c r="S323" s="75"/>
      <c r="T323" s="76"/>
      <c r="U323" s="77" t="str">
        <f t="shared" ref="U323" si="1638">IF(OR(F326="",P326=""),"",B323/(F326-P326))</f>
        <v/>
      </c>
      <c r="V323" s="78"/>
    </row>
    <row r="324" spans="1:22" ht="9" customHeight="1" x14ac:dyDescent="0.55000000000000004">
      <c r="A324" s="79"/>
      <c r="B324" s="80"/>
      <c r="C324" s="81"/>
      <c r="D324" s="80"/>
      <c r="E324" s="82"/>
      <c r="F324" s="83" t="str">
        <f t="shared" ref="F324" si="1639">IF(H326="","",F323-H324)</f>
        <v/>
      </c>
      <c r="G324" s="84" t="str">
        <f t="shared" ref="G324" si="1640">IF(I326="","",F323-I324)</f>
        <v/>
      </c>
      <c r="H324" s="85" t="str">
        <f t="shared" ref="H324:I324" si="1641">IF(OR($A326="集水",$A326="吸水"),0.4,"")</f>
        <v/>
      </c>
      <c r="I324" s="85" t="str">
        <f t="shared" si="1641"/>
        <v/>
      </c>
      <c r="J324" s="86" t="str">
        <f t="shared" ref="J324" si="1642">IF(G324="","",F324-G324)</f>
        <v/>
      </c>
      <c r="K324" s="83" t="str">
        <f t="shared" ref="K324" si="1643">IF(M326="","",K323-M324)</f>
        <v/>
      </c>
      <c r="L324" s="87" t="str">
        <f t="shared" ref="L324" si="1644">IF(N326="","",K323-N324)</f>
        <v/>
      </c>
      <c r="M324" s="85" t="str">
        <f t="shared" ref="M324:N324" si="1645">IF(M326="","",IF(OR($A326="集水",$A326="吸水"),0.4,""))</f>
        <v/>
      </c>
      <c r="N324" s="85" t="str">
        <f t="shared" si="1645"/>
        <v/>
      </c>
      <c r="O324" s="86" t="str">
        <f t="shared" ref="O324" si="1646">IF(L324="","",K324-L324)</f>
        <v/>
      </c>
      <c r="P324" s="83" t="str">
        <f t="shared" ref="P324" si="1647">IF(R326="","",P323-R324)</f>
        <v/>
      </c>
      <c r="Q324" s="84" t="str">
        <f t="shared" ref="Q324" si="1648">IF(S326="","",P323-S324)</f>
        <v/>
      </c>
      <c r="R324" s="85" t="str">
        <f t="shared" ref="R324:S324" si="1649">IF(OR($A326="集水",$A326="吸水"),0.4,"")</f>
        <v/>
      </c>
      <c r="S324" s="85" t="str">
        <f t="shared" si="1649"/>
        <v/>
      </c>
      <c r="T324" s="86" t="str">
        <f t="shared" ref="T324" si="1650">IF(Q324="","",P324-Q324)</f>
        <v/>
      </c>
      <c r="U324" s="88"/>
      <c r="V324" s="89"/>
    </row>
    <row r="325" spans="1:22" ht="9" customHeight="1" x14ac:dyDescent="0.55000000000000004">
      <c r="A325" s="90"/>
      <c r="B325" s="91"/>
      <c r="C325" s="92" t="str">
        <f t="shared" ref="C325" si="1651">IF(B323="","",B325-B323)</f>
        <v/>
      </c>
      <c r="D325" s="91"/>
      <c r="E325" s="93" t="str">
        <f t="shared" ref="E325" si="1652">IF(D323="","",D325-D323)</f>
        <v/>
      </c>
      <c r="F325" s="94"/>
      <c r="G325" s="85"/>
      <c r="H325" s="85"/>
      <c r="I325" s="95"/>
      <c r="J325" s="86"/>
      <c r="K325" s="94"/>
      <c r="L325" s="85"/>
      <c r="M325" s="85"/>
      <c r="N325" s="95"/>
      <c r="O325" s="86"/>
      <c r="P325" s="94"/>
      <c r="Q325" s="85"/>
      <c r="R325" s="85"/>
      <c r="S325" s="95"/>
      <c r="T325" s="86"/>
      <c r="U325" s="96"/>
      <c r="V325" s="97"/>
    </row>
    <row r="326" spans="1:22" ht="9" customHeight="1" x14ac:dyDescent="0.55000000000000004">
      <c r="A326" s="98"/>
      <c r="B326" s="99"/>
      <c r="C326" s="100"/>
      <c r="D326" s="99"/>
      <c r="E326" s="101"/>
      <c r="F326" s="102" t="str">
        <f t="shared" ref="F326" si="1653">IF(H326="","",F323-H326)</f>
        <v/>
      </c>
      <c r="G326" s="103" t="str">
        <f t="shared" ref="G326" si="1654">IF(I326="","",F323-I326)</f>
        <v/>
      </c>
      <c r="H326" s="104"/>
      <c r="I326" s="104"/>
      <c r="J326" s="105"/>
      <c r="K326" s="106" t="str">
        <f t="shared" ref="K326" si="1655">IF(M326="","",K323-M326)</f>
        <v/>
      </c>
      <c r="L326" s="103" t="str">
        <f t="shared" ref="L326" si="1656">IF(N326="","",K323-N326)</f>
        <v/>
      </c>
      <c r="M326" s="104"/>
      <c r="N326" s="107"/>
      <c r="O326" s="105"/>
      <c r="P326" s="102" t="str">
        <f t="shared" ref="P326" si="1657">IF(R326="","",P323-R326)</f>
        <v/>
      </c>
      <c r="Q326" s="103" t="str">
        <f t="shared" ref="Q326" si="1658">IF(S326="","",P323-S326)</f>
        <v/>
      </c>
      <c r="R326" s="104"/>
      <c r="S326" s="104"/>
      <c r="T326" s="105"/>
      <c r="U326" s="108"/>
      <c r="V326" s="109"/>
    </row>
    <row r="327" spans="1:22" ht="9" customHeight="1" x14ac:dyDescent="0.55000000000000004">
      <c r="A327" s="19"/>
      <c r="B327" s="69"/>
      <c r="C327" s="70"/>
      <c r="D327" s="69"/>
      <c r="E327" s="71"/>
      <c r="F327" s="72"/>
      <c r="G327" s="73"/>
      <c r="H327" s="74"/>
      <c r="I327" s="75"/>
      <c r="J327" s="76"/>
      <c r="K327" s="72"/>
      <c r="L327" s="73"/>
      <c r="M327" s="74"/>
      <c r="N327" s="75"/>
      <c r="O327" s="76"/>
      <c r="P327" s="72"/>
      <c r="Q327" s="73"/>
      <c r="R327" s="74"/>
      <c r="S327" s="75"/>
      <c r="T327" s="76"/>
      <c r="U327" s="77" t="str">
        <f t="shared" ref="U327" si="1659">IF(OR(F330="",P330=""),"",B327/(F330-P330))</f>
        <v/>
      </c>
      <c r="V327" s="78"/>
    </row>
    <row r="328" spans="1:22" ht="9" customHeight="1" x14ac:dyDescent="0.55000000000000004">
      <c r="A328" s="79"/>
      <c r="B328" s="80"/>
      <c r="C328" s="81"/>
      <c r="D328" s="80"/>
      <c r="E328" s="82"/>
      <c r="F328" s="83" t="str">
        <f t="shared" ref="F328" si="1660">IF(H330="","",F327-H328)</f>
        <v/>
      </c>
      <c r="G328" s="84" t="str">
        <f t="shared" ref="G328" si="1661">IF(I330="","",F327-I328)</f>
        <v/>
      </c>
      <c r="H328" s="85" t="str">
        <f t="shared" ref="H328:I328" si="1662">IF(OR($A330="集水",$A330="吸水"),0.4,"")</f>
        <v/>
      </c>
      <c r="I328" s="85" t="str">
        <f t="shared" si="1662"/>
        <v/>
      </c>
      <c r="J328" s="86" t="str">
        <f t="shared" ref="J328" si="1663">IF(G328="","",F328-G328)</f>
        <v/>
      </c>
      <c r="K328" s="83" t="str">
        <f t="shared" ref="K328" si="1664">IF(M330="","",K327-M328)</f>
        <v/>
      </c>
      <c r="L328" s="87" t="str">
        <f t="shared" ref="L328" si="1665">IF(N330="","",K327-N328)</f>
        <v/>
      </c>
      <c r="M328" s="85" t="str">
        <f t="shared" ref="M328:N328" si="1666">IF(M330="","",IF(OR($A330="集水",$A330="吸水"),0.4,""))</f>
        <v/>
      </c>
      <c r="N328" s="85" t="str">
        <f t="shared" si="1666"/>
        <v/>
      </c>
      <c r="O328" s="86" t="str">
        <f t="shared" ref="O328" si="1667">IF(L328="","",K328-L328)</f>
        <v/>
      </c>
      <c r="P328" s="83" t="str">
        <f t="shared" ref="P328" si="1668">IF(R330="","",P327-R328)</f>
        <v/>
      </c>
      <c r="Q328" s="84" t="str">
        <f t="shared" ref="Q328" si="1669">IF(S330="","",P327-S328)</f>
        <v/>
      </c>
      <c r="R328" s="85" t="str">
        <f t="shared" ref="R328:S328" si="1670">IF(OR($A330="集水",$A330="吸水"),0.4,"")</f>
        <v/>
      </c>
      <c r="S328" s="85" t="str">
        <f t="shared" si="1670"/>
        <v/>
      </c>
      <c r="T328" s="86" t="str">
        <f t="shared" ref="T328" si="1671">IF(Q328="","",P328-Q328)</f>
        <v/>
      </c>
      <c r="U328" s="88"/>
      <c r="V328" s="89"/>
    </row>
    <row r="329" spans="1:22" ht="9" customHeight="1" x14ac:dyDescent="0.55000000000000004">
      <c r="A329" s="90"/>
      <c r="B329" s="91"/>
      <c r="C329" s="92" t="str">
        <f t="shared" ref="C329" si="1672">IF(B327="","",B329-B327)</f>
        <v/>
      </c>
      <c r="D329" s="91"/>
      <c r="E329" s="93" t="str">
        <f t="shared" ref="E329" si="1673">IF(D327="","",D329-D327)</f>
        <v/>
      </c>
      <c r="F329" s="94"/>
      <c r="G329" s="85"/>
      <c r="H329" s="85"/>
      <c r="I329" s="95"/>
      <c r="J329" s="86"/>
      <c r="K329" s="94"/>
      <c r="L329" s="85"/>
      <c r="M329" s="85"/>
      <c r="N329" s="95"/>
      <c r="O329" s="86"/>
      <c r="P329" s="94"/>
      <c r="Q329" s="85"/>
      <c r="R329" s="85"/>
      <c r="S329" s="95"/>
      <c r="T329" s="86"/>
      <c r="U329" s="96"/>
      <c r="V329" s="97"/>
    </row>
    <row r="330" spans="1:22" ht="9" customHeight="1" x14ac:dyDescent="0.55000000000000004">
      <c r="A330" s="98"/>
      <c r="B330" s="99"/>
      <c r="C330" s="100"/>
      <c r="D330" s="99"/>
      <c r="E330" s="101"/>
      <c r="F330" s="102" t="str">
        <f t="shared" ref="F330" si="1674">IF(H330="","",F327-H330)</f>
        <v/>
      </c>
      <c r="G330" s="103" t="str">
        <f t="shared" ref="G330" si="1675">IF(I330="","",F327-I330)</f>
        <v/>
      </c>
      <c r="H330" s="104"/>
      <c r="I330" s="104"/>
      <c r="J330" s="105"/>
      <c r="K330" s="106" t="str">
        <f t="shared" ref="K330" si="1676">IF(M330="","",K327-M330)</f>
        <v/>
      </c>
      <c r="L330" s="103" t="str">
        <f t="shared" ref="L330" si="1677">IF(N330="","",K327-N330)</f>
        <v/>
      </c>
      <c r="M330" s="104"/>
      <c r="N330" s="107"/>
      <c r="O330" s="105"/>
      <c r="P330" s="102" t="str">
        <f t="shared" ref="P330" si="1678">IF(R330="","",P327-R330)</f>
        <v/>
      </c>
      <c r="Q330" s="103" t="str">
        <f t="shared" ref="Q330" si="1679">IF(S330="","",P327-S330)</f>
        <v/>
      </c>
      <c r="R330" s="104"/>
      <c r="S330" s="104"/>
      <c r="T330" s="105"/>
      <c r="U330" s="108"/>
      <c r="V330" s="109"/>
    </row>
    <row r="331" spans="1:22" ht="9" customHeight="1" x14ac:dyDescent="0.55000000000000004">
      <c r="A331" s="19"/>
      <c r="B331" s="69"/>
      <c r="C331" s="70"/>
      <c r="D331" s="69"/>
      <c r="E331" s="71"/>
      <c r="F331" s="72"/>
      <c r="G331" s="73"/>
      <c r="H331" s="74"/>
      <c r="I331" s="75"/>
      <c r="J331" s="76"/>
      <c r="K331" s="72"/>
      <c r="L331" s="73"/>
      <c r="M331" s="74"/>
      <c r="N331" s="75"/>
      <c r="O331" s="76"/>
      <c r="P331" s="72"/>
      <c r="Q331" s="73"/>
      <c r="R331" s="74"/>
      <c r="S331" s="75"/>
      <c r="T331" s="76"/>
      <c r="U331" s="77" t="str">
        <f t="shared" ref="U331" si="1680">IF(OR(F334="",P334=""),"",B331/(F334-P334))</f>
        <v/>
      </c>
      <c r="V331" s="78"/>
    </row>
    <row r="332" spans="1:22" ht="9" customHeight="1" x14ac:dyDescent="0.55000000000000004">
      <c r="A332" s="79"/>
      <c r="B332" s="80"/>
      <c r="C332" s="81"/>
      <c r="D332" s="80"/>
      <c r="E332" s="82"/>
      <c r="F332" s="83" t="str">
        <f t="shared" ref="F332" si="1681">IF(H334="","",F331-H332)</f>
        <v/>
      </c>
      <c r="G332" s="84" t="str">
        <f t="shared" ref="G332" si="1682">IF(I334="","",F331-I332)</f>
        <v/>
      </c>
      <c r="H332" s="85" t="str">
        <f t="shared" ref="H332:I332" si="1683">IF(OR($A334="集水",$A334="吸水"),0.4,"")</f>
        <v/>
      </c>
      <c r="I332" s="85" t="str">
        <f t="shared" si="1683"/>
        <v/>
      </c>
      <c r="J332" s="86" t="str">
        <f t="shared" ref="J332" si="1684">IF(G332="","",F332-G332)</f>
        <v/>
      </c>
      <c r="K332" s="83" t="str">
        <f t="shared" ref="K332" si="1685">IF(M334="","",K331-M332)</f>
        <v/>
      </c>
      <c r="L332" s="87" t="str">
        <f t="shared" ref="L332" si="1686">IF(N334="","",K331-N332)</f>
        <v/>
      </c>
      <c r="M332" s="85" t="str">
        <f t="shared" ref="M332:N332" si="1687">IF(M334="","",IF(OR($A334="集水",$A334="吸水"),0.4,""))</f>
        <v/>
      </c>
      <c r="N332" s="85" t="str">
        <f t="shared" si="1687"/>
        <v/>
      </c>
      <c r="O332" s="86" t="str">
        <f t="shared" ref="O332" si="1688">IF(L332="","",K332-L332)</f>
        <v/>
      </c>
      <c r="P332" s="83" t="str">
        <f t="shared" ref="P332" si="1689">IF(R334="","",P331-R332)</f>
        <v/>
      </c>
      <c r="Q332" s="84" t="str">
        <f t="shared" ref="Q332" si="1690">IF(S334="","",P331-S332)</f>
        <v/>
      </c>
      <c r="R332" s="85" t="str">
        <f t="shared" ref="R332:S332" si="1691">IF(OR($A334="集水",$A334="吸水"),0.4,"")</f>
        <v/>
      </c>
      <c r="S332" s="85" t="str">
        <f t="shared" si="1691"/>
        <v/>
      </c>
      <c r="T332" s="86" t="str">
        <f t="shared" ref="T332" si="1692">IF(Q332="","",P332-Q332)</f>
        <v/>
      </c>
      <c r="U332" s="88"/>
      <c r="V332" s="89"/>
    </row>
    <row r="333" spans="1:22" ht="9" customHeight="1" x14ac:dyDescent="0.55000000000000004">
      <c r="A333" s="90"/>
      <c r="B333" s="91"/>
      <c r="C333" s="92" t="str">
        <f t="shared" ref="C333" si="1693">IF(B331="","",B333-B331)</f>
        <v/>
      </c>
      <c r="D333" s="91"/>
      <c r="E333" s="93" t="str">
        <f t="shared" ref="E333" si="1694">IF(D331="","",D333-D331)</f>
        <v/>
      </c>
      <c r="F333" s="94"/>
      <c r="G333" s="85"/>
      <c r="H333" s="85"/>
      <c r="I333" s="95"/>
      <c r="J333" s="86"/>
      <c r="K333" s="94"/>
      <c r="L333" s="85"/>
      <c r="M333" s="85"/>
      <c r="N333" s="95"/>
      <c r="O333" s="86"/>
      <c r="P333" s="94"/>
      <c r="Q333" s="85"/>
      <c r="R333" s="85"/>
      <c r="S333" s="95"/>
      <c r="T333" s="86"/>
      <c r="U333" s="96"/>
      <c r="V333" s="97"/>
    </row>
    <row r="334" spans="1:22" ht="9" customHeight="1" x14ac:dyDescent="0.55000000000000004">
      <c r="A334" s="98"/>
      <c r="B334" s="99"/>
      <c r="C334" s="100"/>
      <c r="D334" s="99"/>
      <c r="E334" s="101"/>
      <c r="F334" s="102" t="str">
        <f t="shared" ref="F334" si="1695">IF(H334="","",F331-H334)</f>
        <v/>
      </c>
      <c r="G334" s="103" t="str">
        <f t="shared" ref="G334" si="1696">IF(I334="","",F331-I334)</f>
        <v/>
      </c>
      <c r="H334" s="104"/>
      <c r="I334" s="104"/>
      <c r="J334" s="105"/>
      <c r="K334" s="106" t="str">
        <f t="shared" ref="K334" si="1697">IF(M334="","",K331-M334)</f>
        <v/>
      </c>
      <c r="L334" s="103" t="str">
        <f t="shared" ref="L334" si="1698">IF(N334="","",K331-N334)</f>
        <v/>
      </c>
      <c r="M334" s="104"/>
      <c r="N334" s="107"/>
      <c r="O334" s="105"/>
      <c r="P334" s="102" t="str">
        <f t="shared" ref="P334" si="1699">IF(R334="","",P331-R334)</f>
        <v/>
      </c>
      <c r="Q334" s="103" t="str">
        <f t="shared" ref="Q334" si="1700">IF(S334="","",P331-S334)</f>
        <v/>
      </c>
      <c r="R334" s="104"/>
      <c r="S334" s="104"/>
      <c r="T334" s="105"/>
      <c r="U334" s="108"/>
      <c r="V334" s="109"/>
    </row>
    <row r="335" spans="1:22" ht="9" customHeight="1" x14ac:dyDescent="0.55000000000000004">
      <c r="A335" s="19"/>
      <c r="B335" s="69"/>
      <c r="C335" s="70"/>
      <c r="D335" s="69"/>
      <c r="E335" s="71"/>
      <c r="F335" s="72"/>
      <c r="G335" s="73"/>
      <c r="H335" s="74"/>
      <c r="I335" s="75"/>
      <c r="J335" s="76"/>
      <c r="K335" s="72"/>
      <c r="L335" s="73"/>
      <c r="M335" s="74"/>
      <c r="N335" s="75"/>
      <c r="O335" s="76"/>
      <c r="P335" s="72"/>
      <c r="Q335" s="73"/>
      <c r="R335" s="74"/>
      <c r="S335" s="75"/>
      <c r="T335" s="76"/>
      <c r="U335" s="77" t="str">
        <f t="shared" ref="U335" si="1701">IF(OR(F338="",P338=""),"",B335/(F338-P338))</f>
        <v/>
      </c>
      <c r="V335" s="78"/>
    </row>
    <row r="336" spans="1:22" ht="9" customHeight="1" x14ac:dyDescent="0.55000000000000004">
      <c r="A336" s="79"/>
      <c r="B336" s="80"/>
      <c r="C336" s="81"/>
      <c r="D336" s="80"/>
      <c r="E336" s="82"/>
      <c r="F336" s="83" t="str">
        <f t="shared" ref="F336" si="1702">IF(H338="","",F335-H336)</f>
        <v/>
      </c>
      <c r="G336" s="84" t="str">
        <f t="shared" ref="G336" si="1703">IF(I338="","",F335-I336)</f>
        <v/>
      </c>
      <c r="H336" s="85" t="str">
        <f t="shared" ref="H336:I336" si="1704">IF(OR($A338="集水",$A338="吸水"),0.4,"")</f>
        <v/>
      </c>
      <c r="I336" s="85" t="str">
        <f t="shared" si="1704"/>
        <v/>
      </c>
      <c r="J336" s="86" t="str">
        <f t="shared" ref="J336" si="1705">IF(G336="","",F336-G336)</f>
        <v/>
      </c>
      <c r="K336" s="83" t="str">
        <f t="shared" ref="K336" si="1706">IF(M338="","",K335-M336)</f>
        <v/>
      </c>
      <c r="L336" s="87" t="str">
        <f t="shared" ref="L336" si="1707">IF(N338="","",K335-N336)</f>
        <v/>
      </c>
      <c r="M336" s="85" t="str">
        <f t="shared" ref="M336:N336" si="1708">IF(M338="","",IF(OR($A338="集水",$A338="吸水"),0.4,""))</f>
        <v/>
      </c>
      <c r="N336" s="85" t="str">
        <f t="shared" si="1708"/>
        <v/>
      </c>
      <c r="O336" s="86" t="str">
        <f t="shared" ref="O336" si="1709">IF(L336="","",K336-L336)</f>
        <v/>
      </c>
      <c r="P336" s="83" t="str">
        <f t="shared" ref="P336" si="1710">IF(R338="","",P335-R336)</f>
        <v/>
      </c>
      <c r="Q336" s="84" t="str">
        <f t="shared" ref="Q336" si="1711">IF(S338="","",P335-S336)</f>
        <v/>
      </c>
      <c r="R336" s="85" t="str">
        <f t="shared" ref="R336:S336" si="1712">IF(OR($A338="集水",$A338="吸水"),0.4,"")</f>
        <v/>
      </c>
      <c r="S336" s="85" t="str">
        <f t="shared" si="1712"/>
        <v/>
      </c>
      <c r="T336" s="86" t="str">
        <f t="shared" ref="T336" si="1713">IF(Q336="","",P336-Q336)</f>
        <v/>
      </c>
      <c r="U336" s="88"/>
      <c r="V336" s="89"/>
    </row>
    <row r="337" spans="1:22" ht="9" customHeight="1" x14ac:dyDescent="0.55000000000000004">
      <c r="A337" s="90"/>
      <c r="B337" s="91"/>
      <c r="C337" s="92" t="str">
        <f t="shared" ref="C337" si="1714">IF(B335="","",B337-B335)</f>
        <v/>
      </c>
      <c r="D337" s="91"/>
      <c r="E337" s="93" t="str">
        <f t="shared" ref="E337" si="1715">IF(D335="","",D337-D335)</f>
        <v/>
      </c>
      <c r="F337" s="94"/>
      <c r="G337" s="85"/>
      <c r="H337" s="85"/>
      <c r="I337" s="95"/>
      <c r="J337" s="86"/>
      <c r="K337" s="94"/>
      <c r="L337" s="85"/>
      <c r="M337" s="85"/>
      <c r="N337" s="95"/>
      <c r="O337" s="86"/>
      <c r="P337" s="94"/>
      <c r="Q337" s="85"/>
      <c r="R337" s="85"/>
      <c r="S337" s="95"/>
      <c r="T337" s="86"/>
      <c r="U337" s="96"/>
      <c r="V337" s="97"/>
    </row>
    <row r="338" spans="1:22" ht="9" customHeight="1" x14ac:dyDescent="0.55000000000000004">
      <c r="A338" s="98"/>
      <c r="B338" s="99"/>
      <c r="C338" s="100"/>
      <c r="D338" s="99"/>
      <c r="E338" s="101"/>
      <c r="F338" s="102" t="str">
        <f t="shared" ref="F338" si="1716">IF(H338="","",F335-H338)</f>
        <v/>
      </c>
      <c r="G338" s="103" t="str">
        <f t="shared" ref="G338" si="1717">IF(I338="","",F335-I338)</f>
        <v/>
      </c>
      <c r="H338" s="104"/>
      <c r="I338" s="104"/>
      <c r="J338" s="105"/>
      <c r="K338" s="106" t="str">
        <f t="shared" ref="K338" si="1718">IF(M338="","",K335-M338)</f>
        <v/>
      </c>
      <c r="L338" s="103" t="str">
        <f t="shared" ref="L338" si="1719">IF(N338="","",K335-N338)</f>
        <v/>
      </c>
      <c r="M338" s="104"/>
      <c r="N338" s="107"/>
      <c r="O338" s="105"/>
      <c r="P338" s="102" t="str">
        <f t="shared" ref="P338" si="1720">IF(R338="","",P335-R338)</f>
        <v/>
      </c>
      <c r="Q338" s="103" t="str">
        <f t="shared" ref="Q338" si="1721">IF(S338="","",P335-S338)</f>
        <v/>
      </c>
      <c r="R338" s="104"/>
      <c r="S338" s="104"/>
      <c r="T338" s="105"/>
      <c r="U338" s="108"/>
      <c r="V338" s="109"/>
    </row>
    <row r="339" spans="1:22" ht="9" customHeight="1" x14ac:dyDescent="0.55000000000000004">
      <c r="A339" s="19"/>
      <c r="B339" s="69"/>
      <c r="C339" s="70"/>
      <c r="D339" s="69"/>
      <c r="E339" s="71"/>
      <c r="F339" s="72"/>
      <c r="G339" s="73"/>
      <c r="H339" s="74"/>
      <c r="I339" s="75"/>
      <c r="J339" s="76"/>
      <c r="K339" s="72"/>
      <c r="L339" s="73"/>
      <c r="M339" s="74"/>
      <c r="N339" s="75"/>
      <c r="O339" s="76"/>
      <c r="P339" s="72"/>
      <c r="Q339" s="73"/>
      <c r="R339" s="74"/>
      <c r="S339" s="75"/>
      <c r="T339" s="76"/>
      <c r="U339" s="77" t="str">
        <f t="shared" ref="U339" si="1722">IF(OR(F342="",P342=""),"",B339/(F342-P342))</f>
        <v/>
      </c>
      <c r="V339" s="78"/>
    </row>
    <row r="340" spans="1:22" ht="9" customHeight="1" x14ac:dyDescent="0.55000000000000004">
      <c r="A340" s="79"/>
      <c r="B340" s="80"/>
      <c r="C340" s="81"/>
      <c r="D340" s="80"/>
      <c r="E340" s="82"/>
      <c r="F340" s="83" t="str">
        <f t="shared" ref="F340" si="1723">IF(H342="","",F339-H340)</f>
        <v/>
      </c>
      <c r="G340" s="84" t="str">
        <f t="shared" ref="G340" si="1724">IF(I342="","",F339-I340)</f>
        <v/>
      </c>
      <c r="H340" s="85" t="str">
        <f t="shared" ref="H340:I340" si="1725">IF(OR($A342="集水",$A342="吸水"),0.4,"")</f>
        <v/>
      </c>
      <c r="I340" s="85" t="str">
        <f t="shared" si="1725"/>
        <v/>
      </c>
      <c r="J340" s="86" t="str">
        <f t="shared" ref="J340" si="1726">IF(G340="","",F340-G340)</f>
        <v/>
      </c>
      <c r="K340" s="83" t="str">
        <f t="shared" ref="K340" si="1727">IF(M342="","",K339-M340)</f>
        <v/>
      </c>
      <c r="L340" s="87" t="str">
        <f t="shared" ref="L340" si="1728">IF(N342="","",K339-N340)</f>
        <v/>
      </c>
      <c r="M340" s="85" t="str">
        <f t="shared" ref="M340:N340" si="1729">IF(M342="","",IF(OR($A342="集水",$A342="吸水"),0.4,""))</f>
        <v/>
      </c>
      <c r="N340" s="85" t="str">
        <f t="shared" si="1729"/>
        <v/>
      </c>
      <c r="O340" s="86" t="str">
        <f t="shared" ref="O340" si="1730">IF(L340="","",K340-L340)</f>
        <v/>
      </c>
      <c r="P340" s="83" t="str">
        <f t="shared" ref="P340" si="1731">IF(R342="","",P339-R340)</f>
        <v/>
      </c>
      <c r="Q340" s="84" t="str">
        <f t="shared" ref="Q340" si="1732">IF(S342="","",P339-S340)</f>
        <v/>
      </c>
      <c r="R340" s="85" t="str">
        <f t="shared" ref="R340:S340" si="1733">IF(OR($A342="集水",$A342="吸水"),0.4,"")</f>
        <v/>
      </c>
      <c r="S340" s="85" t="str">
        <f t="shared" si="1733"/>
        <v/>
      </c>
      <c r="T340" s="86" t="str">
        <f t="shared" ref="T340" si="1734">IF(Q340="","",P340-Q340)</f>
        <v/>
      </c>
      <c r="U340" s="88"/>
      <c r="V340" s="89"/>
    </row>
    <row r="341" spans="1:22" ht="9" customHeight="1" x14ac:dyDescent="0.55000000000000004">
      <c r="A341" s="90"/>
      <c r="B341" s="91"/>
      <c r="C341" s="92" t="str">
        <f t="shared" ref="C341" si="1735">IF(B339="","",B341-B339)</f>
        <v/>
      </c>
      <c r="D341" s="91"/>
      <c r="E341" s="93" t="str">
        <f t="shared" ref="E341" si="1736">IF(D339="","",D341-D339)</f>
        <v/>
      </c>
      <c r="F341" s="94"/>
      <c r="G341" s="85"/>
      <c r="H341" s="85"/>
      <c r="I341" s="95"/>
      <c r="J341" s="86"/>
      <c r="K341" s="94"/>
      <c r="L341" s="85"/>
      <c r="M341" s="85"/>
      <c r="N341" s="95"/>
      <c r="O341" s="86"/>
      <c r="P341" s="94"/>
      <c r="Q341" s="85"/>
      <c r="R341" s="85"/>
      <c r="S341" s="95"/>
      <c r="T341" s="86"/>
      <c r="U341" s="96"/>
      <c r="V341" s="97"/>
    </row>
    <row r="342" spans="1:22" ht="9" customHeight="1" x14ac:dyDescent="0.55000000000000004">
      <c r="A342" s="98"/>
      <c r="B342" s="99"/>
      <c r="C342" s="100"/>
      <c r="D342" s="99"/>
      <c r="E342" s="101"/>
      <c r="F342" s="102" t="str">
        <f t="shared" ref="F342" si="1737">IF(H342="","",F339-H342)</f>
        <v/>
      </c>
      <c r="G342" s="103" t="str">
        <f t="shared" ref="G342" si="1738">IF(I342="","",F339-I342)</f>
        <v/>
      </c>
      <c r="H342" s="104"/>
      <c r="I342" s="104"/>
      <c r="J342" s="105"/>
      <c r="K342" s="106" t="str">
        <f t="shared" ref="K342" si="1739">IF(M342="","",K339-M342)</f>
        <v/>
      </c>
      <c r="L342" s="103" t="str">
        <f t="shared" ref="L342" si="1740">IF(N342="","",K339-N342)</f>
        <v/>
      </c>
      <c r="M342" s="104"/>
      <c r="N342" s="107"/>
      <c r="O342" s="105"/>
      <c r="P342" s="102" t="str">
        <f t="shared" ref="P342" si="1741">IF(R342="","",P339-R342)</f>
        <v/>
      </c>
      <c r="Q342" s="103" t="str">
        <f t="shared" ref="Q342" si="1742">IF(S342="","",P339-S342)</f>
        <v/>
      </c>
      <c r="R342" s="104"/>
      <c r="S342" s="104"/>
      <c r="T342" s="105"/>
      <c r="U342" s="108"/>
      <c r="V342" s="109"/>
    </row>
    <row r="343" spans="1:22" ht="9" customHeight="1" x14ac:dyDescent="0.55000000000000004">
      <c r="A343" s="19"/>
      <c r="B343" s="69"/>
      <c r="C343" s="70"/>
      <c r="D343" s="69"/>
      <c r="E343" s="71"/>
      <c r="F343" s="72"/>
      <c r="G343" s="73"/>
      <c r="H343" s="74"/>
      <c r="I343" s="75"/>
      <c r="J343" s="76"/>
      <c r="K343" s="72"/>
      <c r="L343" s="73"/>
      <c r="M343" s="74"/>
      <c r="N343" s="75"/>
      <c r="O343" s="76"/>
      <c r="P343" s="72"/>
      <c r="Q343" s="73"/>
      <c r="R343" s="74"/>
      <c r="S343" s="75"/>
      <c r="T343" s="76"/>
      <c r="U343" s="77" t="str">
        <f t="shared" ref="U343" si="1743">IF(OR(F346="",P346=""),"",B343/(F346-P346))</f>
        <v/>
      </c>
      <c r="V343" s="78"/>
    </row>
    <row r="344" spans="1:22" ht="9" customHeight="1" x14ac:dyDescent="0.55000000000000004">
      <c r="A344" s="79"/>
      <c r="B344" s="80"/>
      <c r="C344" s="81"/>
      <c r="D344" s="80"/>
      <c r="E344" s="82"/>
      <c r="F344" s="83" t="str">
        <f t="shared" ref="F344" si="1744">IF(H346="","",F343-H344)</f>
        <v/>
      </c>
      <c r="G344" s="84" t="str">
        <f t="shared" ref="G344" si="1745">IF(I346="","",F343-I344)</f>
        <v/>
      </c>
      <c r="H344" s="85" t="str">
        <f t="shared" ref="H344:I344" si="1746">IF(OR($A346="集水",$A346="吸水"),0.4,"")</f>
        <v/>
      </c>
      <c r="I344" s="85" t="str">
        <f t="shared" si="1746"/>
        <v/>
      </c>
      <c r="J344" s="86" t="str">
        <f t="shared" ref="J344" si="1747">IF(G344="","",F344-G344)</f>
        <v/>
      </c>
      <c r="K344" s="83" t="str">
        <f t="shared" ref="K344" si="1748">IF(M346="","",K343-M344)</f>
        <v/>
      </c>
      <c r="L344" s="87" t="str">
        <f t="shared" ref="L344" si="1749">IF(N346="","",K343-N344)</f>
        <v/>
      </c>
      <c r="M344" s="85" t="str">
        <f t="shared" ref="M344:N344" si="1750">IF(M346="","",IF(OR($A346="集水",$A346="吸水"),0.4,""))</f>
        <v/>
      </c>
      <c r="N344" s="85" t="str">
        <f t="shared" si="1750"/>
        <v/>
      </c>
      <c r="O344" s="86" t="str">
        <f t="shared" ref="O344" si="1751">IF(L344="","",K344-L344)</f>
        <v/>
      </c>
      <c r="P344" s="83" t="str">
        <f t="shared" ref="P344" si="1752">IF(R346="","",P343-R344)</f>
        <v/>
      </c>
      <c r="Q344" s="84" t="str">
        <f t="shared" ref="Q344" si="1753">IF(S346="","",P343-S344)</f>
        <v/>
      </c>
      <c r="R344" s="85" t="str">
        <f t="shared" ref="R344:S344" si="1754">IF(OR($A346="集水",$A346="吸水"),0.4,"")</f>
        <v/>
      </c>
      <c r="S344" s="85" t="str">
        <f t="shared" si="1754"/>
        <v/>
      </c>
      <c r="T344" s="86" t="str">
        <f t="shared" ref="T344" si="1755">IF(Q344="","",P344-Q344)</f>
        <v/>
      </c>
      <c r="U344" s="88"/>
      <c r="V344" s="89"/>
    </row>
    <row r="345" spans="1:22" ht="9" customHeight="1" x14ac:dyDescent="0.55000000000000004">
      <c r="A345" s="90"/>
      <c r="B345" s="91"/>
      <c r="C345" s="92" t="str">
        <f t="shared" ref="C345" si="1756">IF(B343="","",B345-B343)</f>
        <v/>
      </c>
      <c r="D345" s="91"/>
      <c r="E345" s="93" t="str">
        <f t="shared" ref="E345" si="1757">IF(D343="","",D345-D343)</f>
        <v/>
      </c>
      <c r="F345" s="94"/>
      <c r="G345" s="85"/>
      <c r="H345" s="85"/>
      <c r="I345" s="95"/>
      <c r="J345" s="86"/>
      <c r="K345" s="94"/>
      <c r="L345" s="85"/>
      <c r="M345" s="85"/>
      <c r="N345" s="95"/>
      <c r="O345" s="86"/>
      <c r="P345" s="94"/>
      <c r="Q345" s="85"/>
      <c r="R345" s="85"/>
      <c r="S345" s="95"/>
      <c r="T345" s="86"/>
      <c r="U345" s="96"/>
      <c r="V345" s="97"/>
    </row>
    <row r="346" spans="1:22" ht="9" customHeight="1" x14ac:dyDescent="0.55000000000000004">
      <c r="A346" s="98"/>
      <c r="B346" s="99"/>
      <c r="C346" s="100"/>
      <c r="D346" s="99"/>
      <c r="E346" s="101"/>
      <c r="F346" s="102" t="str">
        <f t="shared" ref="F346" si="1758">IF(H346="","",F343-H346)</f>
        <v/>
      </c>
      <c r="G346" s="103" t="str">
        <f t="shared" ref="G346" si="1759">IF(I346="","",F343-I346)</f>
        <v/>
      </c>
      <c r="H346" s="104"/>
      <c r="I346" s="104"/>
      <c r="J346" s="105"/>
      <c r="K346" s="106" t="str">
        <f t="shared" ref="K346" si="1760">IF(M346="","",K343-M346)</f>
        <v/>
      </c>
      <c r="L346" s="103" t="str">
        <f t="shared" ref="L346" si="1761">IF(N346="","",K343-N346)</f>
        <v/>
      </c>
      <c r="M346" s="104"/>
      <c r="N346" s="107"/>
      <c r="O346" s="105"/>
      <c r="P346" s="102" t="str">
        <f t="shared" ref="P346" si="1762">IF(R346="","",P343-R346)</f>
        <v/>
      </c>
      <c r="Q346" s="103" t="str">
        <f t="shared" ref="Q346" si="1763">IF(S346="","",P343-S346)</f>
        <v/>
      </c>
      <c r="R346" s="104"/>
      <c r="S346" s="104"/>
      <c r="T346" s="105"/>
      <c r="U346" s="108"/>
      <c r="V346" s="109"/>
    </row>
    <row r="347" spans="1:22" ht="9" customHeight="1" x14ac:dyDescent="0.55000000000000004">
      <c r="A347" s="19"/>
      <c r="B347" s="69"/>
      <c r="C347" s="70"/>
      <c r="D347" s="69"/>
      <c r="E347" s="71"/>
      <c r="F347" s="72"/>
      <c r="G347" s="73"/>
      <c r="H347" s="74"/>
      <c r="I347" s="75"/>
      <c r="J347" s="76"/>
      <c r="K347" s="72"/>
      <c r="L347" s="73"/>
      <c r="M347" s="74"/>
      <c r="N347" s="75"/>
      <c r="O347" s="76"/>
      <c r="P347" s="72"/>
      <c r="Q347" s="73"/>
      <c r="R347" s="74"/>
      <c r="S347" s="75"/>
      <c r="T347" s="76"/>
      <c r="U347" s="77" t="str">
        <f t="shared" ref="U347" si="1764">IF(OR(F350="",P350=""),"",B347/(F350-P350))</f>
        <v/>
      </c>
      <c r="V347" s="78"/>
    </row>
    <row r="348" spans="1:22" ht="9" customHeight="1" x14ac:dyDescent="0.55000000000000004">
      <c r="A348" s="79"/>
      <c r="B348" s="80"/>
      <c r="C348" s="81"/>
      <c r="D348" s="80"/>
      <c r="E348" s="82"/>
      <c r="F348" s="83" t="str">
        <f t="shared" ref="F348" si="1765">IF(H350="","",F347-H348)</f>
        <v/>
      </c>
      <c r="G348" s="84" t="str">
        <f t="shared" ref="G348" si="1766">IF(I350="","",F347-I348)</f>
        <v/>
      </c>
      <c r="H348" s="85" t="str">
        <f t="shared" ref="H348:I348" si="1767">IF(OR($A350="集水",$A350="吸水"),0.4,"")</f>
        <v/>
      </c>
      <c r="I348" s="85" t="str">
        <f t="shared" si="1767"/>
        <v/>
      </c>
      <c r="J348" s="86" t="str">
        <f t="shared" ref="J348" si="1768">IF(G348="","",F348-G348)</f>
        <v/>
      </c>
      <c r="K348" s="83" t="str">
        <f t="shared" ref="K348" si="1769">IF(M350="","",K347-M348)</f>
        <v/>
      </c>
      <c r="L348" s="87" t="str">
        <f t="shared" ref="L348" si="1770">IF(N350="","",K347-N348)</f>
        <v/>
      </c>
      <c r="M348" s="85" t="str">
        <f t="shared" ref="M348:N348" si="1771">IF(M350="","",IF(OR($A350="集水",$A350="吸水"),0.4,""))</f>
        <v/>
      </c>
      <c r="N348" s="85" t="str">
        <f t="shared" si="1771"/>
        <v/>
      </c>
      <c r="O348" s="86" t="str">
        <f t="shared" ref="O348" si="1772">IF(L348="","",K348-L348)</f>
        <v/>
      </c>
      <c r="P348" s="83" t="str">
        <f t="shared" ref="P348" si="1773">IF(R350="","",P347-R348)</f>
        <v/>
      </c>
      <c r="Q348" s="84" t="str">
        <f t="shared" ref="Q348" si="1774">IF(S350="","",P347-S348)</f>
        <v/>
      </c>
      <c r="R348" s="85" t="str">
        <f t="shared" ref="R348:S348" si="1775">IF(OR($A350="集水",$A350="吸水"),0.4,"")</f>
        <v/>
      </c>
      <c r="S348" s="85" t="str">
        <f t="shared" si="1775"/>
        <v/>
      </c>
      <c r="T348" s="86" t="str">
        <f t="shared" ref="T348" si="1776">IF(Q348="","",P348-Q348)</f>
        <v/>
      </c>
      <c r="U348" s="88"/>
      <c r="V348" s="89"/>
    </row>
    <row r="349" spans="1:22" ht="9" customHeight="1" x14ac:dyDescent="0.55000000000000004">
      <c r="A349" s="90"/>
      <c r="B349" s="91"/>
      <c r="C349" s="92" t="str">
        <f t="shared" ref="C349" si="1777">IF(B347="","",B349-B347)</f>
        <v/>
      </c>
      <c r="D349" s="91"/>
      <c r="E349" s="93" t="str">
        <f t="shared" ref="E349" si="1778">IF(D347="","",D349-D347)</f>
        <v/>
      </c>
      <c r="F349" s="94"/>
      <c r="G349" s="85"/>
      <c r="H349" s="85"/>
      <c r="I349" s="95"/>
      <c r="J349" s="86"/>
      <c r="K349" s="94"/>
      <c r="L349" s="85"/>
      <c r="M349" s="85"/>
      <c r="N349" s="95"/>
      <c r="O349" s="86"/>
      <c r="P349" s="94"/>
      <c r="Q349" s="85"/>
      <c r="R349" s="85"/>
      <c r="S349" s="95"/>
      <c r="T349" s="86"/>
      <c r="U349" s="96"/>
      <c r="V349" s="97"/>
    </row>
    <row r="350" spans="1:22" ht="9" customHeight="1" x14ac:dyDescent="0.55000000000000004">
      <c r="A350" s="98"/>
      <c r="B350" s="99"/>
      <c r="C350" s="100"/>
      <c r="D350" s="99"/>
      <c r="E350" s="101"/>
      <c r="F350" s="102" t="str">
        <f t="shared" ref="F350" si="1779">IF(H350="","",F347-H350)</f>
        <v/>
      </c>
      <c r="G350" s="103" t="str">
        <f t="shared" ref="G350" si="1780">IF(I350="","",F347-I350)</f>
        <v/>
      </c>
      <c r="H350" s="104"/>
      <c r="I350" s="104"/>
      <c r="J350" s="105"/>
      <c r="K350" s="106" t="str">
        <f t="shared" ref="K350" si="1781">IF(M350="","",K347-M350)</f>
        <v/>
      </c>
      <c r="L350" s="103" t="str">
        <f t="shared" ref="L350" si="1782">IF(N350="","",K347-N350)</f>
        <v/>
      </c>
      <c r="M350" s="104"/>
      <c r="N350" s="107"/>
      <c r="O350" s="105"/>
      <c r="P350" s="102" t="str">
        <f t="shared" ref="P350" si="1783">IF(R350="","",P347-R350)</f>
        <v/>
      </c>
      <c r="Q350" s="103" t="str">
        <f t="shared" ref="Q350" si="1784">IF(S350="","",P347-S350)</f>
        <v/>
      </c>
      <c r="R350" s="104"/>
      <c r="S350" s="104"/>
      <c r="T350" s="105"/>
      <c r="U350" s="108"/>
      <c r="V350" s="109"/>
    </row>
    <row r="351" spans="1:22" ht="9" customHeight="1" x14ac:dyDescent="0.55000000000000004">
      <c r="A351" s="19"/>
      <c r="B351" s="69"/>
      <c r="C351" s="70"/>
      <c r="D351" s="69"/>
      <c r="E351" s="71"/>
      <c r="F351" s="72"/>
      <c r="G351" s="73"/>
      <c r="H351" s="74"/>
      <c r="I351" s="75"/>
      <c r="J351" s="76"/>
      <c r="K351" s="72"/>
      <c r="L351" s="73"/>
      <c r="M351" s="74"/>
      <c r="N351" s="75"/>
      <c r="O351" s="76"/>
      <c r="P351" s="72"/>
      <c r="Q351" s="73"/>
      <c r="R351" s="74"/>
      <c r="S351" s="75"/>
      <c r="T351" s="76"/>
      <c r="U351" s="77" t="str">
        <f t="shared" ref="U351" si="1785">IF(OR(F354="",P354=""),"",B351/(F354-P354))</f>
        <v/>
      </c>
      <c r="V351" s="78"/>
    </row>
    <row r="352" spans="1:22" ht="9" customHeight="1" x14ac:dyDescent="0.55000000000000004">
      <c r="A352" s="79"/>
      <c r="B352" s="80"/>
      <c r="C352" s="81"/>
      <c r="D352" s="80"/>
      <c r="E352" s="82"/>
      <c r="F352" s="83" t="str">
        <f t="shared" ref="F352" si="1786">IF(H354="","",F351-H352)</f>
        <v/>
      </c>
      <c r="G352" s="84" t="str">
        <f t="shared" ref="G352" si="1787">IF(I354="","",F351-I352)</f>
        <v/>
      </c>
      <c r="H352" s="85" t="str">
        <f t="shared" ref="H352:I352" si="1788">IF(OR($A354="集水",$A354="吸水"),0.4,"")</f>
        <v/>
      </c>
      <c r="I352" s="85" t="str">
        <f t="shared" si="1788"/>
        <v/>
      </c>
      <c r="J352" s="86" t="str">
        <f t="shared" ref="J352" si="1789">IF(G352="","",F352-G352)</f>
        <v/>
      </c>
      <c r="K352" s="83" t="str">
        <f t="shared" ref="K352" si="1790">IF(M354="","",K351-M352)</f>
        <v/>
      </c>
      <c r="L352" s="87" t="str">
        <f t="shared" ref="L352" si="1791">IF(N354="","",K351-N352)</f>
        <v/>
      </c>
      <c r="M352" s="85" t="str">
        <f t="shared" ref="M352:N352" si="1792">IF(M354="","",IF(OR($A354="集水",$A354="吸水"),0.4,""))</f>
        <v/>
      </c>
      <c r="N352" s="85" t="str">
        <f t="shared" si="1792"/>
        <v/>
      </c>
      <c r="O352" s="86" t="str">
        <f t="shared" ref="O352" si="1793">IF(L352="","",K352-L352)</f>
        <v/>
      </c>
      <c r="P352" s="83" t="str">
        <f t="shared" ref="P352" si="1794">IF(R354="","",P351-R352)</f>
        <v/>
      </c>
      <c r="Q352" s="84" t="str">
        <f t="shared" ref="Q352" si="1795">IF(S354="","",P351-S352)</f>
        <v/>
      </c>
      <c r="R352" s="85" t="str">
        <f t="shared" ref="R352:S352" si="1796">IF(OR($A354="集水",$A354="吸水"),0.4,"")</f>
        <v/>
      </c>
      <c r="S352" s="85" t="str">
        <f t="shared" si="1796"/>
        <v/>
      </c>
      <c r="T352" s="86" t="str">
        <f t="shared" ref="T352" si="1797">IF(Q352="","",P352-Q352)</f>
        <v/>
      </c>
      <c r="U352" s="88"/>
      <c r="V352" s="89"/>
    </row>
    <row r="353" spans="1:22" ht="9" customHeight="1" x14ac:dyDescent="0.55000000000000004">
      <c r="A353" s="90"/>
      <c r="B353" s="91"/>
      <c r="C353" s="92" t="str">
        <f t="shared" ref="C353" si="1798">IF(B351="","",B353-B351)</f>
        <v/>
      </c>
      <c r="D353" s="91"/>
      <c r="E353" s="93" t="str">
        <f t="shared" ref="E353" si="1799">IF(D351="","",D353-D351)</f>
        <v/>
      </c>
      <c r="F353" s="94"/>
      <c r="G353" s="85"/>
      <c r="H353" s="85"/>
      <c r="I353" s="95"/>
      <c r="J353" s="86"/>
      <c r="K353" s="94"/>
      <c r="L353" s="85"/>
      <c r="M353" s="85"/>
      <c r="N353" s="95"/>
      <c r="O353" s="86"/>
      <c r="P353" s="94"/>
      <c r="Q353" s="85"/>
      <c r="R353" s="85"/>
      <c r="S353" s="95"/>
      <c r="T353" s="86"/>
      <c r="U353" s="96"/>
      <c r="V353" s="97"/>
    </row>
    <row r="354" spans="1:22" ht="9" customHeight="1" x14ac:dyDescent="0.55000000000000004">
      <c r="A354" s="98"/>
      <c r="B354" s="99"/>
      <c r="C354" s="100"/>
      <c r="D354" s="99"/>
      <c r="E354" s="101"/>
      <c r="F354" s="102" t="str">
        <f t="shared" ref="F354" si="1800">IF(H354="","",F351-H354)</f>
        <v/>
      </c>
      <c r="G354" s="103" t="str">
        <f t="shared" ref="G354" si="1801">IF(I354="","",F351-I354)</f>
        <v/>
      </c>
      <c r="H354" s="104"/>
      <c r="I354" s="104"/>
      <c r="J354" s="105"/>
      <c r="K354" s="106" t="str">
        <f t="shared" ref="K354" si="1802">IF(M354="","",K351-M354)</f>
        <v/>
      </c>
      <c r="L354" s="103" t="str">
        <f t="shared" ref="L354" si="1803">IF(N354="","",K351-N354)</f>
        <v/>
      </c>
      <c r="M354" s="104"/>
      <c r="N354" s="107"/>
      <c r="O354" s="105"/>
      <c r="P354" s="102" t="str">
        <f t="shared" ref="P354" si="1804">IF(R354="","",P351-R354)</f>
        <v/>
      </c>
      <c r="Q354" s="103" t="str">
        <f t="shared" ref="Q354" si="1805">IF(S354="","",P351-S354)</f>
        <v/>
      </c>
      <c r="R354" s="104"/>
      <c r="S354" s="104"/>
      <c r="T354" s="105"/>
      <c r="U354" s="108"/>
      <c r="V354" s="109"/>
    </row>
    <row r="355" spans="1:22" ht="9" customHeight="1" x14ac:dyDescent="0.55000000000000004">
      <c r="A355" s="19"/>
      <c r="B355" s="69"/>
      <c r="C355" s="70"/>
      <c r="D355" s="69"/>
      <c r="E355" s="71"/>
      <c r="F355" s="72"/>
      <c r="G355" s="73"/>
      <c r="H355" s="74"/>
      <c r="I355" s="75"/>
      <c r="J355" s="76"/>
      <c r="K355" s="72"/>
      <c r="L355" s="73"/>
      <c r="M355" s="74"/>
      <c r="N355" s="75"/>
      <c r="O355" s="76"/>
      <c r="P355" s="72"/>
      <c r="Q355" s="73"/>
      <c r="R355" s="74"/>
      <c r="S355" s="75"/>
      <c r="T355" s="76"/>
      <c r="U355" s="77" t="str">
        <f t="shared" ref="U355" si="1806">IF(OR(F358="",P358=""),"",B355/(F358-P358))</f>
        <v/>
      </c>
      <c r="V355" s="78"/>
    </row>
    <row r="356" spans="1:22" ht="9" customHeight="1" x14ac:dyDescent="0.55000000000000004">
      <c r="A356" s="79"/>
      <c r="B356" s="80"/>
      <c r="C356" s="81"/>
      <c r="D356" s="80"/>
      <c r="E356" s="82"/>
      <c r="F356" s="83" t="str">
        <f t="shared" ref="F356" si="1807">IF(H358="","",F355-H356)</f>
        <v/>
      </c>
      <c r="G356" s="84" t="str">
        <f t="shared" ref="G356" si="1808">IF(I358="","",F355-I356)</f>
        <v/>
      </c>
      <c r="H356" s="85" t="str">
        <f t="shared" ref="H356:I356" si="1809">IF(OR($A358="集水",$A358="吸水"),0.4,"")</f>
        <v/>
      </c>
      <c r="I356" s="85" t="str">
        <f t="shared" si="1809"/>
        <v/>
      </c>
      <c r="J356" s="86" t="str">
        <f t="shared" ref="J356" si="1810">IF(G356="","",F356-G356)</f>
        <v/>
      </c>
      <c r="K356" s="83" t="str">
        <f t="shared" ref="K356" si="1811">IF(M358="","",K355-M356)</f>
        <v/>
      </c>
      <c r="L356" s="87" t="str">
        <f t="shared" ref="L356" si="1812">IF(N358="","",K355-N356)</f>
        <v/>
      </c>
      <c r="M356" s="85" t="str">
        <f t="shared" ref="M356:N356" si="1813">IF(M358="","",IF(OR($A358="集水",$A358="吸水"),0.4,""))</f>
        <v/>
      </c>
      <c r="N356" s="85" t="str">
        <f t="shared" si="1813"/>
        <v/>
      </c>
      <c r="O356" s="86" t="str">
        <f t="shared" ref="O356" si="1814">IF(L356="","",K356-L356)</f>
        <v/>
      </c>
      <c r="P356" s="83" t="str">
        <f t="shared" ref="P356" si="1815">IF(R358="","",P355-R356)</f>
        <v/>
      </c>
      <c r="Q356" s="84" t="str">
        <f t="shared" ref="Q356" si="1816">IF(S358="","",P355-S356)</f>
        <v/>
      </c>
      <c r="R356" s="85" t="str">
        <f t="shared" ref="R356:S356" si="1817">IF(OR($A358="集水",$A358="吸水"),0.4,"")</f>
        <v/>
      </c>
      <c r="S356" s="85" t="str">
        <f t="shared" si="1817"/>
        <v/>
      </c>
      <c r="T356" s="86" t="str">
        <f t="shared" ref="T356" si="1818">IF(Q356="","",P356-Q356)</f>
        <v/>
      </c>
      <c r="U356" s="88"/>
      <c r="V356" s="89"/>
    </row>
    <row r="357" spans="1:22" ht="9" customHeight="1" x14ac:dyDescent="0.55000000000000004">
      <c r="A357" s="90"/>
      <c r="B357" s="91"/>
      <c r="C357" s="92" t="str">
        <f t="shared" ref="C357" si="1819">IF(B355="","",B357-B355)</f>
        <v/>
      </c>
      <c r="D357" s="91"/>
      <c r="E357" s="93" t="str">
        <f t="shared" ref="E357" si="1820">IF(D355="","",D357-D355)</f>
        <v/>
      </c>
      <c r="F357" s="94"/>
      <c r="G357" s="85"/>
      <c r="H357" s="85"/>
      <c r="I357" s="95"/>
      <c r="J357" s="86"/>
      <c r="K357" s="94"/>
      <c r="L357" s="85"/>
      <c r="M357" s="85"/>
      <c r="N357" s="95"/>
      <c r="O357" s="86"/>
      <c r="P357" s="94"/>
      <c r="Q357" s="85"/>
      <c r="R357" s="85"/>
      <c r="S357" s="95"/>
      <c r="T357" s="86"/>
      <c r="U357" s="96"/>
      <c r="V357" s="97"/>
    </row>
    <row r="358" spans="1:22" ht="9" customHeight="1" x14ac:dyDescent="0.55000000000000004">
      <c r="A358" s="98"/>
      <c r="B358" s="99"/>
      <c r="C358" s="100"/>
      <c r="D358" s="99"/>
      <c r="E358" s="101"/>
      <c r="F358" s="102" t="str">
        <f t="shared" ref="F358" si="1821">IF(H358="","",F355-H358)</f>
        <v/>
      </c>
      <c r="G358" s="103" t="str">
        <f t="shared" ref="G358" si="1822">IF(I358="","",F355-I358)</f>
        <v/>
      </c>
      <c r="H358" s="104"/>
      <c r="I358" s="104"/>
      <c r="J358" s="105"/>
      <c r="K358" s="106" t="str">
        <f t="shared" ref="K358" si="1823">IF(M358="","",K355-M358)</f>
        <v/>
      </c>
      <c r="L358" s="103" t="str">
        <f t="shared" ref="L358" si="1824">IF(N358="","",K355-N358)</f>
        <v/>
      </c>
      <c r="M358" s="104"/>
      <c r="N358" s="107"/>
      <c r="O358" s="105"/>
      <c r="P358" s="102" t="str">
        <f t="shared" ref="P358" si="1825">IF(R358="","",P355-R358)</f>
        <v/>
      </c>
      <c r="Q358" s="103" t="str">
        <f t="shared" ref="Q358" si="1826">IF(S358="","",P355-S358)</f>
        <v/>
      </c>
      <c r="R358" s="104"/>
      <c r="S358" s="104"/>
      <c r="T358" s="105"/>
      <c r="U358" s="108"/>
      <c r="V358" s="109"/>
    </row>
    <row r="359" spans="1:22" ht="9" customHeight="1" x14ac:dyDescent="0.55000000000000004">
      <c r="A359" s="19"/>
      <c r="B359" s="69"/>
      <c r="C359" s="70"/>
      <c r="D359" s="69"/>
      <c r="E359" s="71"/>
      <c r="F359" s="72"/>
      <c r="G359" s="73"/>
      <c r="H359" s="74"/>
      <c r="I359" s="75"/>
      <c r="J359" s="76"/>
      <c r="K359" s="72"/>
      <c r="L359" s="73"/>
      <c r="M359" s="74"/>
      <c r="N359" s="75"/>
      <c r="O359" s="76"/>
      <c r="P359" s="72"/>
      <c r="Q359" s="73"/>
      <c r="R359" s="74"/>
      <c r="S359" s="75"/>
      <c r="T359" s="76"/>
      <c r="U359" s="77" t="str">
        <f t="shared" ref="U359" si="1827">IF(OR(F362="",P362=""),"",B359/(F362-P362))</f>
        <v/>
      </c>
      <c r="V359" s="78"/>
    </row>
    <row r="360" spans="1:22" ht="9" customHeight="1" x14ac:dyDescent="0.55000000000000004">
      <c r="A360" s="79"/>
      <c r="B360" s="80"/>
      <c r="C360" s="81"/>
      <c r="D360" s="80"/>
      <c r="E360" s="82"/>
      <c r="F360" s="83" t="str">
        <f t="shared" ref="F360" si="1828">IF(H362="","",F359-H360)</f>
        <v/>
      </c>
      <c r="G360" s="84" t="str">
        <f t="shared" ref="G360" si="1829">IF(I362="","",F359-I360)</f>
        <v/>
      </c>
      <c r="H360" s="85" t="str">
        <f t="shared" ref="H360:I360" si="1830">IF(OR($A362="集水",$A362="吸水"),0.4,"")</f>
        <v/>
      </c>
      <c r="I360" s="85" t="str">
        <f t="shared" si="1830"/>
        <v/>
      </c>
      <c r="J360" s="86" t="str">
        <f t="shared" ref="J360" si="1831">IF(G360="","",F360-G360)</f>
        <v/>
      </c>
      <c r="K360" s="83" t="str">
        <f t="shared" ref="K360" si="1832">IF(M362="","",K359-M360)</f>
        <v/>
      </c>
      <c r="L360" s="87" t="str">
        <f t="shared" ref="L360" si="1833">IF(N362="","",K359-N360)</f>
        <v/>
      </c>
      <c r="M360" s="85" t="str">
        <f t="shared" ref="M360:N360" si="1834">IF(M362="","",IF(OR($A362="集水",$A362="吸水"),0.4,""))</f>
        <v/>
      </c>
      <c r="N360" s="85" t="str">
        <f t="shared" si="1834"/>
        <v/>
      </c>
      <c r="O360" s="86" t="str">
        <f t="shared" ref="O360" si="1835">IF(L360="","",K360-L360)</f>
        <v/>
      </c>
      <c r="P360" s="83" t="str">
        <f t="shared" ref="P360" si="1836">IF(R362="","",P359-R360)</f>
        <v/>
      </c>
      <c r="Q360" s="84" t="str">
        <f t="shared" ref="Q360" si="1837">IF(S362="","",P359-S360)</f>
        <v/>
      </c>
      <c r="R360" s="85" t="str">
        <f t="shared" ref="R360:S360" si="1838">IF(OR($A362="集水",$A362="吸水"),0.4,"")</f>
        <v/>
      </c>
      <c r="S360" s="85" t="str">
        <f t="shared" si="1838"/>
        <v/>
      </c>
      <c r="T360" s="86" t="str">
        <f t="shared" ref="T360" si="1839">IF(Q360="","",P360-Q360)</f>
        <v/>
      </c>
      <c r="U360" s="88"/>
      <c r="V360" s="89"/>
    </row>
    <row r="361" spans="1:22" ht="9" customHeight="1" x14ac:dyDescent="0.55000000000000004">
      <c r="A361" s="90"/>
      <c r="B361" s="91"/>
      <c r="C361" s="92" t="str">
        <f t="shared" ref="C361" si="1840">IF(B359="","",B361-B359)</f>
        <v/>
      </c>
      <c r="D361" s="91"/>
      <c r="E361" s="93" t="str">
        <f t="shared" ref="E361" si="1841">IF(D359="","",D361-D359)</f>
        <v/>
      </c>
      <c r="F361" s="94"/>
      <c r="G361" s="85"/>
      <c r="H361" s="85"/>
      <c r="I361" s="95"/>
      <c r="J361" s="86"/>
      <c r="K361" s="94"/>
      <c r="L361" s="85"/>
      <c r="M361" s="85"/>
      <c r="N361" s="95"/>
      <c r="O361" s="86"/>
      <c r="P361" s="94"/>
      <c r="Q361" s="85"/>
      <c r="R361" s="85"/>
      <c r="S361" s="95"/>
      <c r="T361" s="86"/>
      <c r="U361" s="96"/>
      <c r="V361" s="97"/>
    </row>
    <row r="362" spans="1:22" ht="9" customHeight="1" x14ac:dyDescent="0.55000000000000004">
      <c r="A362" s="98"/>
      <c r="B362" s="99"/>
      <c r="C362" s="100"/>
      <c r="D362" s="99"/>
      <c r="E362" s="101"/>
      <c r="F362" s="102" t="str">
        <f t="shared" ref="F362" si="1842">IF(H362="","",F359-H362)</f>
        <v/>
      </c>
      <c r="G362" s="103" t="str">
        <f t="shared" ref="G362" si="1843">IF(I362="","",F359-I362)</f>
        <v/>
      </c>
      <c r="H362" s="104"/>
      <c r="I362" s="104"/>
      <c r="J362" s="105"/>
      <c r="K362" s="106" t="str">
        <f t="shared" ref="K362" si="1844">IF(M362="","",K359-M362)</f>
        <v/>
      </c>
      <c r="L362" s="103" t="str">
        <f t="shared" ref="L362" si="1845">IF(N362="","",K359-N362)</f>
        <v/>
      </c>
      <c r="M362" s="104"/>
      <c r="N362" s="107"/>
      <c r="O362" s="105"/>
      <c r="P362" s="102" t="str">
        <f t="shared" ref="P362" si="1846">IF(R362="","",P359-R362)</f>
        <v/>
      </c>
      <c r="Q362" s="103" t="str">
        <f t="shared" ref="Q362" si="1847">IF(S362="","",P359-S362)</f>
        <v/>
      </c>
      <c r="R362" s="104"/>
      <c r="S362" s="104"/>
      <c r="T362" s="105"/>
      <c r="U362" s="108"/>
      <c r="V362" s="109"/>
    </row>
    <row r="363" spans="1:22" ht="9" customHeight="1" x14ac:dyDescent="0.55000000000000004">
      <c r="A363" s="19"/>
      <c r="B363" s="69"/>
      <c r="C363" s="70"/>
      <c r="D363" s="69"/>
      <c r="E363" s="71"/>
      <c r="F363" s="72"/>
      <c r="G363" s="73"/>
      <c r="H363" s="74"/>
      <c r="I363" s="75"/>
      <c r="J363" s="76"/>
      <c r="K363" s="72"/>
      <c r="L363" s="73"/>
      <c r="M363" s="74"/>
      <c r="N363" s="75"/>
      <c r="O363" s="76"/>
      <c r="P363" s="72"/>
      <c r="Q363" s="73"/>
      <c r="R363" s="74"/>
      <c r="S363" s="75"/>
      <c r="T363" s="76"/>
      <c r="U363" s="77" t="str">
        <f t="shared" ref="U363" si="1848">IF(OR(F366="",P366=""),"",B363/(F366-P366))</f>
        <v/>
      </c>
      <c r="V363" s="78"/>
    </row>
    <row r="364" spans="1:22" ht="9" customHeight="1" x14ac:dyDescent="0.55000000000000004">
      <c r="A364" s="79"/>
      <c r="B364" s="80"/>
      <c r="C364" s="81"/>
      <c r="D364" s="80"/>
      <c r="E364" s="82"/>
      <c r="F364" s="83" t="str">
        <f t="shared" ref="F364" si="1849">IF(H366="","",F363-H364)</f>
        <v/>
      </c>
      <c r="G364" s="84" t="str">
        <f t="shared" ref="G364" si="1850">IF(I366="","",F363-I364)</f>
        <v/>
      </c>
      <c r="H364" s="85" t="str">
        <f t="shared" ref="H364:I364" si="1851">IF(OR($A366="集水",$A366="吸水"),0.4,"")</f>
        <v/>
      </c>
      <c r="I364" s="85" t="str">
        <f t="shared" si="1851"/>
        <v/>
      </c>
      <c r="J364" s="86" t="str">
        <f t="shared" ref="J364" si="1852">IF(G364="","",F364-G364)</f>
        <v/>
      </c>
      <c r="K364" s="83" t="str">
        <f t="shared" ref="K364" si="1853">IF(M366="","",K363-M364)</f>
        <v/>
      </c>
      <c r="L364" s="87" t="str">
        <f t="shared" ref="L364" si="1854">IF(N366="","",K363-N364)</f>
        <v/>
      </c>
      <c r="M364" s="85" t="str">
        <f t="shared" ref="M364:N364" si="1855">IF(M366="","",IF(OR($A366="集水",$A366="吸水"),0.4,""))</f>
        <v/>
      </c>
      <c r="N364" s="85" t="str">
        <f t="shared" si="1855"/>
        <v/>
      </c>
      <c r="O364" s="86" t="str">
        <f t="shared" ref="O364" si="1856">IF(L364="","",K364-L364)</f>
        <v/>
      </c>
      <c r="P364" s="83" t="str">
        <f t="shared" ref="P364" si="1857">IF(R366="","",P363-R364)</f>
        <v/>
      </c>
      <c r="Q364" s="84" t="str">
        <f t="shared" ref="Q364" si="1858">IF(S366="","",P363-S364)</f>
        <v/>
      </c>
      <c r="R364" s="85" t="str">
        <f t="shared" ref="R364:S364" si="1859">IF(OR($A366="集水",$A366="吸水"),0.4,"")</f>
        <v/>
      </c>
      <c r="S364" s="85" t="str">
        <f t="shared" si="1859"/>
        <v/>
      </c>
      <c r="T364" s="86" t="str">
        <f t="shared" ref="T364" si="1860">IF(Q364="","",P364-Q364)</f>
        <v/>
      </c>
      <c r="U364" s="88"/>
      <c r="V364" s="89"/>
    </row>
    <row r="365" spans="1:22" ht="9" customHeight="1" x14ac:dyDescent="0.55000000000000004">
      <c r="A365" s="90"/>
      <c r="B365" s="91"/>
      <c r="C365" s="92" t="str">
        <f t="shared" ref="C365" si="1861">IF(B363="","",B365-B363)</f>
        <v/>
      </c>
      <c r="D365" s="91"/>
      <c r="E365" s="93" t="str">
        <f t="shared" ref="E365" si="1862">IF(D363="","",D365-D363)</f>
        <v/>
      </c>
      <c r="F365" s="94"/>
      <c r="G365" s="85"/>
      <c r="H365" s="85"/>
      <c r="I365" s="95"/>
      <c r="J365" s="86"/>
      <c r="K365" s="94"/>
      <c r="L365" s="85"/>
      <c r="M365" s="85"/>
      <c r="N365" s="95"/>
      <c r="O365" s="86"/>
      <c r="P365" s="94"/>
      <c r="Q365" s="85"/>
      <c r="R365" s="85"/>
      <c r="S365" s="95"/>
      <c r="T365" s="86"/>
      <c r="U365" s="96"/>
      <c r="V365" s="97"/>
    </row>
    <row r="366" spans="1:22" ht="9" customHeight="1" x14ac:dyDescent="0.55000000000000004">
      <c r="A366" s="98"/>
      <c r="B366" s="99"/>
      <c r="C366" s="100"/>
      <c r="D366" s="99"/>
      <c r="E366" s="101"/>
      <c r="F366" s="102" t="str">
        <f t="shared" ref="F366" si="1863">IF(H366="","",F363-H366)</f>
        <v/>
      </c>
      <c r="G366" s="103" t="str">
        <f t="shared" ref="G366" si="1864">IF(I366="","",F363-I366)</f>
        <v/>
      </c>
      <c r="H366" s="104"/>
      <c r="I366" s="104"/>
      <c r="J366" s="105"/>
      <c r="K366" s="106" t="str">
        <f t="shared" ref="K366" si="1865">IF(M366="","",K363-M366)</f>
        <v/>
      </c>
      <c r="L366" s="103" t="str">
        <f t="shared" ref="L366" si="1866">IF(N366="","",K363-N366)</f>
        <v/>
      </c>
      <c r="M366" s="104"/>
      <c r="N366" s="107"/>
      <c r="O366" s="105"/>
      <c r="P366" s="102" t="str">
        <f t="shared" ref="P366" si="1867">IF(R366="","",P363-R366)</f>
        <v/>
      </c>
      <c r="Q366" s="103" t="str">
        <f t="shared" ref="Q366" si="1868">IF(S366="","",P363-S366)</f>
        <v/>
      </c>
      <c r="R366" s="104"/>
      <c r="S366" s="104"/>
      <c r="T366" s="105"/>
      <c r="U366" s="108"/>
      <c r="V366" s="109"/>
    </row>
    <row r="367" spans="1:22" ht="9" customHeight="1" x14ac:dyDescent="0.55000000000000004">
      <c r="A367" s="19"/>
      <c r="B367" s="69"/>
      <c r="C367" s="70"/>
      <c r="D367" s="69"/>
      <c r="E367" s="71"/>
      <c r="F367" s="72"/>
      <c r="G367" s="73"/>
      <c r="H367" s="74"/>
      <c r="I367" s="75"/>
      <c r="J367" s="76"/>
      <c r="K367" s="72"/>
      <c r="L367" s="73"/>
      <c r="M367" s="74"/>
      <c r="N367" s="75"/>
      <c r="O367" s="76"/>
      <c r="P367" s="72"/>
      <c r="Q367" s="73"/>
      <c r="R367" s="74"/>
      <c r="S367" s="75"/>
      <c r="T367" s="76"/>
      <c r="U367" s="77" t="str">
        <f t="shared" ref="U367" si="1869">IF(OR(F370="",P370=""),"",B367/(F370-P370))</f>
        <v/>
      </c>
      <c r="V367" s="78"/>
    </row>
    <row r="368" spans="1:22" ht="9" customHeight="1" x14ac:dyDescent="0.55000000000000004">
      <c r="A368" s="79"/>
      <c r="B368" s="80"/>
      <c r="C368" s="81"/>
      <c r="D368" s="80"/>
      <c r="E368" s="82"/>
      <c r="F368" s="83" t="str">
        <f t="shared" ref="F368" si="1870">IF(H370="","",F367-H368)</f>
        <v/>
      </c>
      <c r="G368" s="84" t="str">
        <f t="shared" ref="G368" si="1871">IF(I370="","",F367-I368)</f>
        <v/>
      </c>
      <c r="H368" s="85" t="str">
        <f t="shared" ref="H368:I368" si="1872">IF(OR($A370="集水",$A370="吸水"),0.4,"")</f>
        <v/>
      </c>
      <c r="I368" s="85" t="str">
        <f t="shared" si="1872"/>
        <v/>
      </c>
      <c r="J368" s="86" t="str">
        <f t="shared" ref="J368" si="1873">IF(G368="","",F368-G368)</f>
        <v/>
      </c>
      <c r="K368" s="83" t="str">
        <f t="shared" ref="K368" si="1874">IF(M370="","",K367-M368)</f>
        <v/>
      </c>
      <c r="L368" s="87" t="str">
        <f t="shared" ref="L368" si="1875">IF(N370="","",K367-N368)</f>
        <v/>
      </c>
      <c r="M368" s="85" t="str">
        <f t="shared" ref="M368:N368" si="1876">IF(M370="","",IF(OR($A370="集水",$A370="吸水"),0.4,""))</f>
        <v/>
      </c>
      <c r="N368" s="85" t="str">
        <f t="shared" si="1876"/>
        <v/>
      </c>
      <c r="O368" s="86" t="str">
        <f t="shared" ref="O368" si="1877">IF(L368="","",K368-L368)</f>
        <v/>
      </c>
      <c r="P368" s="83" t="str">
        <f t="shared" ref="P368" si="1878">IF(R370="","",P367-R368)</f>
        <v/>
      </c>
      <c r="Q368" s="84" t="str">
        <f t="shared" ref="Q368" si="1879">IF(S370="","",P367-S368)</f>
        <v/>
      </c>
      <c r="R368" s="85" t="str">
        <f t="shared" ref="R368:S368" si="1880">IF(OR($A370="集水",$A370="吸水"),0.4,"")</f>
        <v/>
      </c>
      <c r="S368" s="85" t="str">
        <f t="shared" si="1880"/>
        <v/>
      </c>
      <c r="T368" s="86" t="str">
        <f t="shared" ref="T368" si="1881">IF(Q368="","",P368-Q368)</f>
        <v/>
      </c>
      <c r="U368" s="88"/>
      <c r="V368" s="89"/>
    </row>
    <row r="369" spans="1:22" ht="9" customHeight="1" x14ac:dyDescent="0.55000000000000004">
      <c r="A369" s="90"/>
      <c r="B369" s="91"/>
      <c r="C369" s="92" t="str">
        <f t="shared" ref="C369" si="1882">IF(B367="","",B369-B367)</f>
        <v/>
      </c>
      <c r="D369" s="91"/>
      <c r="E369" s="93" t="str">
        <f t="shared" ref="E369" si="1883">IF(D367="","",D369-D367)</f>
        <v/>
      </c>
      <c r="F369" s="94"/>
      <c r="G369" s="85"/>
      <c r="H369" s="85"/>
      <c r="I369" s="95"/>
      <c r="J369" s="86"/>
      <c r="K369" s="94"/>
      <c r="L369" s="85"/>
      <c r="M369" s="85"/>
      <c r="N369" s="95"/>
      <c r="O369" s="86"/>
      <c r="P369" s="94"/>
      <c r="Q369" s="85"/>
      <c r="R369" s="85"/>
      <c r="S369" s="95"/>
      <c r="T369" s="86"/>
      <c r="U369" s="96"/>
      <c r="V369" s="97"/>
    </row>
    <row r="370" spans="1:22" ht="9" customHeight="1" x14ac:dyDescent="0.55000000000000004">
      <c r="A370" s="98"/>
      <c r="B370" s="99"/>
      <c r="C370" s="100"/>
      <c r="D370" s="99"/>
      <c r="E370" s="101"/>
      <c r="F370" s="102" t="str">
        <f t="shared" ref="F370" si="1884">IF(H370="","",F367-H370)</f>
        <v/>
      </c>
      <c r="G370" s="103" t="str">
        <f t="shared" ref="G370" si="1885">IF(I370="","",F367-I370)</f>
        <v/>
      </c>
      <c r="H370" s="104"/>
      <c r="I370" s="104"/>
      <c r="J370" s="105"/>
      <c r="K370" s="106" t="str">
        <f t="shared" ref="K370" si="1886">IF(M370="","",K367-M370)</f>
        <v/>
      </c>
      <c r="L370" s="103" t="str">
        <f t="shared" ref="L370" si="1887">IF(N370="","",K367-N370)</f>
        <v/>
      </c>
      <c r="M370" s="104"/>
      <c r="N370" s="107"/>
      <c r="O370" s="105"/>
      <c r="P370" s="102" t="str">
        <f t="shared" ref="P370" si="1888">IF(R370="","",P367-R370)</f>
        <v/>
      </c>
      <c r="Q370" s="103" t="str">
        <f t="shared" ref="Q370" si="1889">IF(S370="","",P367-S370)</f>
        <v/>
      </c>
      <c r="R370" s="104"/>
      <c r="S370" s="104"/>
      <c r="T370" s="105"/>
      <c r="U370" s="108"/>
      <c r="V370" s="109"/>
    </row>
    <row r="371" spans="1:22" ht="9" customHeight="1" x14ac:dyDescent="0.55000000000000004">
      <c r="A371" s="19"/>
      <c r="B371" s="69"/>
      <c r="C371" s="70"/>
      <c r="D371" s="69"/>
      <c r="E371" s="71"/>
      <c r="F371" s="72"/>
      <c r="G371" s="73"/>
      <c r="H371" s="74"/>
      <c r="I371" s="75"/>
      <c r="J371" s="76"/>
      <c r="K371" s="72"/>
      <c r="L371" s="73"/>
      <c r="M371" s="74"/>
      <c r="N371" s="75"/>
      <c r="O371" s="76"/>
      <c r="P371" s="72"/>
      <c r="Q371" s="73"/>
      <c r="R371" s="74"/>
      <c r="S371" s="75"/>
      <c r="T371" s="76"/>
      <c r="U371" s="77" t="str">
        <f t="shared" ref="U371" si="1890">IF(OR(F374="",P374=""),"",B371/(F374-P374))</f>
        <v/>
      </c>
      <c r="V371" s="78"/>
    </row>
    <row r="372" spans="1:22" ht="9" customHeight="1" x14ac:dyDescent="0.55000000000000004">
      <c r="A372" s="79"/>
      <c r="B372" s="80"/>
      <c r="C372" s="81"/>
      <c r="D372" s="80"/>
      <c r="E372" s="82"/>
      <c r="F372" s="83" t="str">
        <f t="shared" ref="F372" si="1891">IF(H374="","",F371-H372)</f>
        <v/>
      </c>
      <c r="G372" s="84" t="str">
        <f t="shared" ref="G372" si="1892">IF(I374="","",F371-I372)</f>
        <v/>
      </c>
      <c r="H372" s="85" t="str">
        <f t="shared" ref="H372:I372" si="1893">IF(OR($A374="集水",$A374="吸水"),0.4,"")</f>
        <v/>
      </c>
      <c r="I372" s="85" t="str">
        <f t="shared" si="1893"/>
        <v/>
      </c>
      <c r="J372" s="86" t="str">
        <f t="shared" ref="J372" si="1894">IF(G372="","",F372-G372)</f>
        <v/>
      </c>
      <c r="K372" s="83" t="str">
        <f t="shared" ref="K372" si="1895">IF(M374="","",K371-M372)</f>
        <v/>
      </c>
      <c r="L372" s="87" t="str">
        <f t="shared" ref="L372" si="1896">IF(N374="","",K371-N372)</f>
        <v/>
      </c>
      <c r="M372" s="85" t="str">
        <f t="shared" ref="M372:N372" si="1897">IF(M374="","",IF(OR($A374="集水",$A374="吸水"),0.4,""))</f>
        <v/>
      </c>
      <c r="N372" s="85" t="str">
        <f t="shared" si="1897"/>
        <v/>
      </c>
      <c r="O372" s="86" t="str">
        <f t="shared" ref="O372" si="1898">IF(L372="","",K372-L372)</f>
        <v/>
      </c>
      <c r="P372" s="83" t="str">
        <f t="shared" ref="P372" si="1899">IF(R374="","",P371-R372)</f>
        <v/>
      </c>
      <c r="Q372" s="84" t="str">
        <f t="shared" ref="Q372" si="1900">IF(S374="","",P371-S372)</f>
        <v/>
      </c>
      <c r="R372" s="85" t="str">
        <f t="shared" ref="R372:S372" si="1901">IF(OR($A374="集水",$A374="吸水"),0.4,"")</f>
        <v/>
      </c>
      <c r="S372" s="85" t="str">
        <f t="shared" si="1901"/>
        <v/>
      </c>
      <c r="T372" s="86" t="str">
        <f t="shared" ref="T372" si="1902">IF(Q372="","",P372-Q372)</f>
        <v/>
      </c>
      <c r="U372" s="88"/>
      <c r="V372" s="89"/>
    </row>
    <row r="373" spans="1:22" ht="9" customHeight="1" x14ac:dyDescent="0.55000000000000004">
      <c r="A373" s="90"/>
      <c r="B373" s="91"/>
      <c r="C373" s="92" t="str">
        <f t="shared" ref="C373" si="1903">IF(B371="","",B373-B371)</f>
        <v/>
      </c>
      <c r="D373" s="91"/>
      <c r="E373" s="93" t="str">
        <f t="shared" ref="E373" si="1904">IF(D371="","",D373-D371)</f>
        <v/>
      </c>
      <c r="F373" s="94"/>
      <c r="G373" s="85"/>
      <c r="H373" s="85"/>
      <c r="I373" s="95"/>
      <c r="J373" s="86"/>
      <c r="K373" s="94"/>
      <c r="L373" s="85"/>
      <c r="M373" s="85"/>
      <c r="N373" s="95"/>
      <c r="O373" s="86"/>
      <c r="P373" s="94"/>
      <c r="Q373" s="85"/>
      <c r="R373" s="85"/>
      <c r="S373" s="95"/>
      <c r="T373" s="86"/>
      <c r="U373" s="96"/>
      <c r="V373" s="97"/>
    </row>
    <row r="374" spans="1:22" ht="9" customHeight="1" x14ac:dyDescent="0.55000000000000004">
      <c r="A374" s="98"/>
      <c r="B374" s="99"/>
      <c r="C374" s="100"/>
      <c r="D374" s="99"/>
      <c r="E374" s="101"/>
      <c r="F374" s="102" t="str">
        <f t="shared" ref="F374" si="1905">IF(H374="","",F371-H374)</f>
        <v/>
      </c>
      <c r="G374" s="103" t="str">
        <f t="shared" ref="G374" si="1906">IF(I374="","",F371-I374)</f>
        <v/>
      </c>
      <c r="H374" s="104"/>
      <c r="I374" s="104"/>
      <c r="J374" s="105"/>
      <c r="K374" s="106" t="str">
        <f t="shared" ref="K374" si="1907">IF(M374="","",K371-M374)</f>
        <v/>
      </c>
      <c r="L374" s="103" t="str">
        <f t="shared" ref="L374" si="1908">IF(N374="","",K371-N374)</f>
        <v/>
      </c>
      <c r="M374" s="104"/>
      <c r="N374" s="107"/>
      <c r="O374" s="105"/>
      <c r="P374" s="102" t="str">
        <f t="shared" ref="P374" si="1909">IF(R374="","",P371-R374)</f>
        <v/>
      </c>
      <c r="Q374" s="103" t="str">
        <f t="shared" ref="Q374" si="1910">IF(S374="","",P371-S374)</f>
        <v/>
      </c>
      <c r="R374" s="104"/>
      <c r="S374" s="104"/>
      <c r="T374" s="105"/>
      <c r="U374" s="108"/>
      <c r="V374" s="109"/>
    </row>
    <row r="375" spans="1:22" ht="9" customHeight="1" x14ac:dyDescent="0.55000000000000004">
      <c r="A375" s="19"/>
      <c r="B375" s="69"/>
      <c r="C375" s="70"/>
      <c r="D375" s="69"/>
      <c r="E375" s="71"/>
      <c r="F375" s="72"/>
      <c r="G375" s="73"/>
      <c r="H375" s="74"/>
      <c r="I375" s="75"/>
      <c r="J375" s="76"/>
      <c r="K375" s="72"/>
      <c r="L375" s="73"/>
      <c r="M375" s="74"/>
      <c r="N375" s="75"/>
      <c r="O375" s="76"/>
      <c r="P375" s="72"/>
      <c r="Q375" s="73"/>
      <c r="R375" s="74"/>
      <c r="S375" s="75"/>
      <c r="T375" s="76"/>
      <c r="U375" s="77" t="str">
        <f t="shared" ref="U375" si="1911">IF(OR(F378="",P378=""),"",B375/(F378-P378))</f>
        <v/>
      </c>
      <c r="V375" s="78"/>
    </row>
    <row r="376" spans="1:22" ht="9" customHeight="1" x14ac:dyDescent="0.55000000000000004">
      <c r="A376" s="79"/>
      <c r="B376" s="80"/>
      <c r="C376" s="81"/>
      <c r="D376" s="80"/>
      <c r="E376" s="82"/>
      <c r="F376" s="83" t="str">
        <f t="shared" ref="F376" si="1912">IF(H378="","",F375-H376)</f>
        <v/>
      </c>
      <c r="G376" s="84" t="str">
        <f t="shared" ref="G376" si="1913">IF(I378="","",F375-I376)</f>
        <v/>
      </c>
      <c r="H376" s="85" t="str">
        <f t="shared" ref="H376:I376" si="1914">IF(OR($A378="集水",$A378="吸水"),0.4,"")</f>
        <v/>
      </c>
      <c r="I376" s="85" t="str">
        <f t="shared" si="1914"/>
        <v/>
      </c>
      <c r="J376" s="86" t="str">
        <f t="shared" ref="J376" si="1915">IF(G376="","",F376-G376)</f>
        <v/>
      </c>
      <c r="K376" s="83" t="str">
        <f t="shared" ref="K376" si="1916">IF(M378="","",K375-M376)</f>
        <v/>
      </c>
      <c r="L376" s="87" t="str">
        <f t="shared" ref="L376" si="1917">IF(N378="","",K375-N376)</f>
        <v/>
      </c>
      <c r="M376" s="85" t="str">
        <f t="shared" ref="M376:N376" si="1918">IF(M378="","",IF(OR($A378="集水",$A378="吸水"),0.4,""))</f>
        <v/>
      </c>
      <c r="N376" s="85" t="str">
        <f t="shared" si="1918"/>
        <v/>
      </c>
      <c r="O376" s="86" t="str">
        <f t="shared" ref="O376" si="1919">IF(L376="","",K376-L376)</f>
        <v/>
      </c>
      <c r="P376" s="83" t="str">
        <f t="shared" ref="P376" si="1920">IF(R378="","",P375-R376)</f>
        <v/>
      </c>
      <c r="Q376" s="84" t="str">
        <f t="shared" ref="Q376" si="1921">IF(S378="","",P375-S376)</f>
        <v/>
      </c>
      <c r="R376" s="85" t="str">
        <f t="shared" ref="R376:S376" si="1922">IF(OR($A378="集水",$A378="吸水"),0.4,"")</f>
        <v/>
      </c>
      <c r="S376" s="85" t="str">
        <f t="shared" si="1922"/>
        <v/>
      </c>
      <c r="T376" s="86" t="str">
        <f t="shared" ref="T376" si="1923">IF(Q376="","",P376-Q376)</f>
        <v/>
      </c>
      <c r="U376" s="88"/>
      <c r="V376" s="89"/>
    </row>
    <row r="377" spans="1:22" ht="9" customHeight="1" x14ac:dyDescent="0.55000000000000004">
      <c r="A377" s="90"/>
      <c r="B377" s="91"/>
      <c r="C377" s="92" t="str">
        <f t="shared" ref="C377" si="1924">IF(B375="","",B377-B375)</f>
        <v/>
      </c>
      <c r="D377" s="91"/>
      <c r="E377" s="93" t="str">
        <f t="shared" ref="E377" si="1925">IF(D375="","",D377-D375)</f>
        <v/>
      </c>
      <c r="F377" s="94"/>
      <c r="G377" s="85"/>
      <c r="H377" s="85"/>
      <c r="I377" s="95"/>
      <c r="J377" s="86"/>
      <c r="K377" s="94"/>
      <c r="L377" s="85"/>
      <c r="M377" s="85"/>
      <c r="N377" s="95"/>
      <c r="O377" s="86"/>
      <c r="P377" s="94"/>
      <c r="Q377" s="85"/>
      <c r="R377" s="85"/>
      <c r="S377" s="95"/>
      <c r="T377" s="86"/>
      <c r="U377" s="96"/>
      <c r="V377" s="97"/>
    </row>
    <row r="378" spans="1:22" ht="9" customHeight="1" x14ac:dyDescent="0.55000000000000004">
      <c r="A378" s="98"/>
      <c r="B378" s="99"/>
      <c r="C378" s="100"/>
      <c r="D378" s="99"/>
      <c r="E378" s="101"/>
      <c r="F378" s="102" t="str">
        <f t="shared" ref="F378" si="1926">IF(H378="","",F375-H378)</f>
        <v/>
      </c>
      <c r="G378" s="103" t="str">
        <f t="shared" ref="G378" si="1927">IF(I378="","",F375-I378)</f>
        <v/>
      </c>
      <c r="H378" s="104"/>
      <c r="I378" s="104"/>
      <c r="J378" s="105"/>
      <c r="K378" s="106" t="str">
        <f t="shared" ref="K378" si="1928">IF(M378="","",K375-M378)</f>
        <v/>
      </c>
      <c r="L378" s="103" t="str">
        <f t="shared" ref="L378" si="1929">IF(N378="","",K375-N378)</f>
        <v/>
      </c>
      <c r="M378" s="104"/>
      <c r="N378" s="107"/>
      <c r="O378" s="105"/>
      <c r="P378" s="102" t="str">
        <f t="shared" ref="P378" si="1930">IF(R378="","",P375-R378)</f>
        <v/>
      </c>
      <c r="Q378" s="103" t="str">
        <f t="shared" ref="Q378" si="1931">IF(S378="","",P375-S378)</f>
        <v/>
      </c>
      <c r="R378" s="104"/>
      <c r="S378" s="104"/>
      <c r="T378" s="105"/>
      <c r="U378" s="108"/>
      <c r="V378" s="109"/>
    </row>
    <row r="379" spans="1:22" ht="9" customHeight="1" x14ac:dyDescent="0.55000000000000004">
      <c r="A379" s="19"/>
      <c r="B379" s="69"/>
      <c r="C379" s="70"/>
      <c r="D379" s="69"/>
      <c r="E379" s="71"/>
      <c r="F379" s="72"/>
      <c r="G379" s="73"/>
      <c r="H379" s="74"/>
      <c r="I379" s="75"/>
      <c r="J379" s="76"/>
      <c r="K379" s="72"/>
      <c r="L379" s="73"/>
      <c r="M379" s="74"/>
      <c r="N379" s="75"/>
      <c r="O379" s="76"/>
      <c r="P379" s="72"/>
      <c r="Q379" s="73"/>
      <c r="R379" s="74"/>
      <c r="S379" s="75"/>
      <c r="T379" s="76"/>
      <c r="U379" s="77" t="str">
        <f t="shared" ref="U379" si="1932">IF(OR(F382="",P382=""),"",B379/(F382-P382))</f>
        <v/>
      </c>
      <c r="V379" s="78"/>
    </row>
    <row r="380" spans="1:22" ht="9" customHeight="1" x14ac:dyDescent="0.55000000000000004">
      <c r="A380" s="79"/>
      <c r="B380" s="80"/>
      <c r="C380" s="81"/>
      <c r="D380" s="80"/>
      <c r="E380" s="82"/>
      <c r="F380" s="83" t="str">
        <f t="shared" ref="F380" si="1933">IF(H382="","",F379-H380)</f>
        <v/>
      </c>
      <c r="G380" s="84" t="str">
        <f t="shared" ref="G380" si="1934">IF(I382="","",F379-I380)</f>
        <v/>
      </c>
      <c r="H380" s="85" t="str">
        <f t="shared" ref="H380:I380" si="1935">IF(OR($A382="集水",$A382="吸水"),0.4,"")</f>
        <v/>
      </c>
      <c r="I380" s="85" t="str">
        <f t="shared" si="1935"/>
        <v/>
      </c>
      <c r="J380" s="86" t="str">
        <f t="shared" ref="J380" si="1936">IF(G380="","",F380-G380)</f>
        <v/>
      </c>
      <c r="K380" s="83" t="str">
        <f t="shared" ref="K380" si="1937">IF(M382="","",K379-M380)</f>
        <v/>
      </c>
      <c r="L380" s="87" t="str">
        <f t="shared" ref="L380" si="1938">IF(N382="","",K379-N380)</f>
        <v/>
      </c>
      <c r="M380" s="85" t="str">
        <f t="shared" ref="M380:N380" si="1939">IF(M382="","",IF(OR($A382="集水",$A382="吸水"),0.4,""))</f>
        <v/>
      </c>
      <c r="N380" s="85" t="str">
        <f t="shared" si="1939"/>
        <v/>
      </c>
      <c r="O380" s="86" t="str">
        <f t="shared" ref="O380" si="1940">IF(L380="","",K380-L380)</f>
        <v/>
      </c>
      <c r="P380" s="83" t="str">
        <f t="shared" ref="P380" si="1941">IF(R382="","",P379-R380)</f>
        <v/>
      </c>
      <c r="Q380" s="84" t="str">
        <f t="shared" ref="Q380" si="1942">IF(S382="","",P379-S380)</f>
        <v/>
      </c>
      <c r="R380" s="85" t="str">
        <f t="shared" ref="R380:S380" si="1943">IF(OR($A382="集水",$A382="吸水"),0.4,"")</f>
        <v/>
      </c>
      <c r="S380" s="85" t="str">
        <f t="shared" si="1943"/>
        <v/>
      </c>
      <c r="T380" s="86" t="str">
        <f t="shared" ref="T380" si="1944">IF(Q380="","",P380-Q380)</f>
        <v/>
      </c>
      <c r="U380" s="88"/>
      <c r="V380" s="89"/>
    </row>
    <row r="381" spans="1:22" ht="9" customHeight="1" x14ac:dyDescent="0.55000000000000004">
      <c r="A381" s="90"/>
      <c r="B381" s="91"/>
      <c r="C381" s="92" t="str">
        <f t="shared" ref="C381" si="1945">IF(B379="","",B381-B379)</f>
        <v/>
      </c>
      <c r="D381" s="91"/>
      <c r="E381" s="93" t="str">
        <f t="shared" ref="E381" si="1946">IF(D379="","",D381-D379)</f>
        <v/>
      </c>
      <c r="F381" s="94"/>
      <c r="G381" s="85"/>
      <c r="H381" s="85"/>
      <c r="I381" s="95"/>
      <c r="J381" s="86"/>
      <c r="K381" s="94"/>
      <c r="L381" s="85"/>
      <c r="M381" s="85"/>
      <c r="N381" s="95"/>
      <c r="O381" s="86"/>
      <c r="P381" s="94"/>
      <c r="Q381" s="85"/>
      <c r="R381" s="85"/>
      <c r="S381" s="95"/>
      <c r="T381" s="86"/>
      <c r="U381" s="96"/>
      <c r="V381" s="97"/>
    </row>
    <row r="382" spans="1:22" ht="9" customHeight="1" x14ac:dyDescent="0.55000000000000004">
      <c r="A382" s="98"/>
      <c r="B382" s="99"/>
      <c r="C382" s="100"/>
      <c r="D382" s="99"/>
      <c r="E382" s="101"/>
      <c r="F382" s="102" t="str">
        <f t="shared" ref="F382" si="1947">IF(H382="","",F379-H382)</f>
        <v/>
      </c>
      <c r="G382" s="103" t="str">
        <f t="shared" ref="G382" si="1948">IF(I382="","",F379-I382)</f>
        <v/>
      </c>
      <c r="H382" s="104"/>
      <c r="I382" s="104"/>
      <c r="J382" s="105"/>
      <c r="K382" s="106" t="str">
        <f t="shared" ref="K382" si="1949">IF(M382="","",K379-M382)</f>
        <v/>
      </c>
      <c r="L382" s="103" t="str">
        <f t="shared" ref="L382" si="1950">IF(N382="","",K379-N382)</f>
        <v/>
      </c>
      <c r="M382" s="104"/>
      <c r="N382" s="107"/>
      <c r="O382" s="105"/>
      <c r="P382" s="102" t="str">
        <f t="shared" ref="P382" si="1951">IF(R382="","",P379-R382)</f>
        <v/>
      </c>
      <c r="Q382" s="103" t="str">
        <f t="shared" ref="Q382" si="1952">IF(S382="","",P379-S382)</f>
        <v/>
      </c>
      <c r="R382" s="104"/>
      <c r="S382" s="104"/>
      <c r="T382" s="105"/>
      <c r="U382" s="108"/>
      <c r="V382" s="109"/>
    </row>
    <row r="383" spans="1:22" ht="9" customHeight="1" x14ac:dyDescent="0.55000000000000004">
      <c r="A383" s="19"/>
      <c r="B383" s="69"/>
      <c r="C383" s="70"/>
      <c r="D383" s="69"/>
      <c r="E383" s="71"/>
      <c r="F383" s="72"/>
      <c r="G383" s="73"/>
      <c r="H383" s="74"/>
      <c r="I383" s="75"/>
      <c r="J383" s="76"/>
      <c r="K383" s="72"/>
      <c r="L383" s="73"/>
      <c r="M383" s="74"/>
      <c r="N383" s="75"/>
      <c r="O383" s="76"/>
      <c r="P383" s="72"/>
      <c r="Q383" s="73"/>
      <c r="R383" s="74"/>
      <c r="S383" s="75"/>
      <c r="T383" s="76"/>
      <c r="U383" s="77" t="str">
        <f t="shared" ref="U383" si="1953">IF(OR(F386="",P386=""),"",B383/(F386-P386))</f>
        <v/>
      </c>
      <c r="V383" s="78"/>
    </row>
    <row r="384" spans="1:22" ht="9" customHeight="1" x14ac:dyDescent="0.55000000000000004">
      <c r="A384" s="79"/>
      <c r="B384" s="80"/>
      <c r="C384" s="81"/>
      <c r="D384" s="80"/>
      <c r="E384" s="82"/>
      <c r="F384" s="83" t="str">
        <f t="shared" ref="F384" si="1954">IF(H386="","",F383-H384)</f>
        <v/>
      </c>
      <c r="G384" s="84" t="str">
        <f t="shared" ref="G384" si="1955">IF(I386="","",F383-I384)</f>
        <v/>
      </c>
      <c r="H384" s="85" t="str">
        <f t="shared" ref="H384:I384" si="1956">IF(OR($A386="集水",$A386="吸水"),0.4,"")</f>
        <v/>
      </c>
      <c r="I384" s="85" t="str">
        <f t="shared" si="1956"/>
        <v/>
      </c>
      <c r="J384" s="86" t="str">
        <f t="shared" ref="J384" si="1957">IF(G384="","",F384-G384)</f>
        <v/>
      </c>
      <c r="K384" s="83" t="str">
        <f t="shared" ref="K384" si="1958">IF(M386="","",K383-M384)</f>
        <v/>
      </c>
      <c r="L384" s="87" t="str">
        <f t="shared" ref="L384" si="1959">IF(N386="","",K383-N384)</f>
        <v/>
      </c>
      <c r="M384" s="85" t="str">
        <f t="shared" ref="M384:N384" si="1960">IF(M386="","",IF(OR($A386="集水",$A386="吸水"),0.4,""))</f>
        <v/>
      </c>
      <c r="N384" s="85" t="str">
        <f t="shared" si="1960"/>
        <v/>
      </c>
      <c r="O384" s="86" t="str">
        <f t="shared" ref="O384" si="1961">IF(L384="","",K384-L384)</f>
        <v/>
      </c>
      <c r="P384" s="83" t="str">
        <f t="shared" ref="P384" si="1962">IF(R386="","",P383-R384)</f>
        <v/>
      </c>
      <c r="Q384" s="84" t="str">
        <f t="shared" ref="Q384" si="1963">IF(S386="","",P383-S384)</f>
        <v/>
      </c>
      <c r="R384" s="85" t="str">
        <f t="shared" ref="R384:S384" si="1964">IF(OR($A386="集水",$A386="吸水"),0.4,"")</f>
        <v/>
      </c>
      <c r="S384" s="85" t="str">
        <f t="shared" si="1964"/>
        <v/>
      </c>
      <c r="T384" s="86" t="str">
        <f t="shared" ref="T384" si="1965">IF(Q384="","",P384-Q384)</f>
        <v/>
      </c>
      <c r="U384" s="88"/>
      <c r="V384" s="89"/>
    </row>
    <row r="385" spans="1:22" ht="9" customHeight="1" x14ac:dyDescent="0.55000000000000004">
      <c r="A385" s="90"/>
      <c r="B385" s="91"/>
      <c r="C385" s="92" t="str">
        <f t="shared" ref="C385" si="1966">IF(B383="","",B385-B383)</f>
        <v/>
      </c>
      <c r="D385" s="91"/>
      <c r="E385" s="93" t="str">
        <f t="shared" ref="E385" si="1967">IF(D383="","",D385-D383)</f>
        <v/>
      </c>
      <c r="F385" s="94"/>
      <c r="G385" s="85"/>
      <c r="H385" s="85"/>
      <c r="I385" s="95"/>
      <c r="J385" s="86"/>
      <c r="K385" s="94"/>
      <c r="L385" s="85"/>
      <c r="M385" s="85"/>
      <c r="N385" s="95"/>
      <c r="O385" s="86"/>
      <c r="P385" s="94"/>
      <c r="Q385" s="85"/>
      <c r="R385" s="85"/>
      <c r="S385" s="95"/>
      <c r="T385" s="86"/>
      <c r="U385" s="96"/>
      <c r="V385" s="97"/>
    </row>
    <row r="386" spans="1:22" ht="9" customHeight="1" x14ac:dyDescent="0.55000000000000004">
      <c r="A386" s="98"/>
      <c r="B386" s="99"/>
      <c r="C386" s="100"/>
      <c r="D386" s="99"/>
      <c r="E386" s="101"/>
      <c r="F386" s="102" t="str">
        <f t="shared" ref="F386" si="1968">IF(H386="","",F383-H386)</f>
        <v/>
      </c>
      <c r="G386" s="103" t="str">
        <f t="shared" ref="G386" si="1969">IF(I386="","",F383-I386)</f>
        <v/>
      </c>
      <c r="H386" s="104"/>
      <c r="I386" s="104"/>
      <c r="J386" s="105"/>
      <c r="K386" s="106" t="str">
        <f t="shared" ref="K386" si="1970">IF(M386="","",K383-M386)</f>
        <v/>
      </c>
      <c r="L386" s="103" t="str">
        <f t="shared" ref="L386" si="1971">IF(N386="","",K383-N386)</f>
        <v/>
      </c>
      <c r="M386" s="104"/>
      <c r="N386" s="107"/>
      <c r="O386" s="105"/>
      <c r="P386" s="102" t="str">
        <f t="shared" ref="P386" si="1972">IF(R386="","",P383-R386)</f>
        <v/>
      </c>
      <c r="Q386" s="103" t="str">
        <f t="shared" ref="Q386" si="1973">IF(S386="","",P383-S386)</f>
        <v/>
      </c>
      <c r="R386" s="104"/>
      <c r="S386" s="104"/>
      <c r="T386" s="105"/>
      <c r="U386" s="108"/>
      <c r="V386" s="109"/>
    </row>
    <row r="387" spans="1:22" ht="9" customHeight="1" x14ac:dyDescent="0.55000000000000004">
      <c r="A387" s="19"/>
      <c r="B387" s="69"/>
      <c r="C387" s="70"/>
      <c r="D387" s="69"/>
      <c r="E387" s="71"/>
      <c r="F387" s="72"/>
      <c r="G387" s="73"/>
      <c r="H387" s="74"/>
      <c r="I387" s="75"/>
      <c r="J387" s="76"/>
      <c r="K387" s="72"/>
      <c r="L387" s="73"/>
      <c r="M387" s="74"/>
      <c r="N387" s="75"/>
      <c r="O387" s="76"/>
      <c r="P387" s="72"/>
      <c r="Q387" s="73"/>
      <c r="R387" s="74"/>
      <c r="S387" s="75"/>
      <c r="T387" s="76"/>
      <c r="U387" s="77" t="str">
        <f t="shared" ref="U387" si="1974">IF(OR(F390="",P390=""),"",B387/(F390-P390))</f>
        <v/>
      </c>
      <c r="V387" s="78"/>
    </row>
    <row r="388" spans="1:22" ht="9" customHeight="1" x14ac:dyDescent="0.55000000000000004">
      <c r="A388" s="79"/>
      <c r="B388" s="80"/>
      <c r="C388" s="81"/>
      <c r="D388" s="80"/>
      <c r="E388" s="82"/>
      <c r="F388" s="83" t="str">
        <f t="shared" ref="F388" si="1975">IF(H390="","",F387-H388)</f>
        <v/>
      </c>
      <c r="G388" s="84" t="str">
        <f t="shared" ref="G388" si="1976">IF(I390="","",F387-I388)</f>
        <v/>
      </c>
      <c r="H388" s="85" t="str">
        <f t="shared" ref="H388:I388" si="1977">IF(OR($A390="集水",$A390="吸水"),0.4,"")</f>
        <v/>
      </c>
      <c r="I388" s="85" t="str">
        <f t="shared" si="1977"/>
        <v/>
      </c>
      <c r="J388" s="86" t="str">
        <f t="shared" ref="J388" si="1978">IF(G388="","",F388-G388)</f>
        <v/>
      </c>
      <c r="K388" s="83" t="str">
        <f t="shared" ref="K388" si="1979">IF(M390="","",K387-M388)</f>
        <v/>
      </c>
      <c r="L388" s="87" t="str">
        <f t="shared" ref="L388" si="1980">IF(N390="","",K387-N388)</f>
        <v/>
      </c>
      <c r="M388" s="85" t="str">
        <f t="shared" ref="M388:N388" si="1981">IF(M390="","",IF(OR($A390="集水",$A390="吸水"),0.4,""))</f>
        <v/>
      </c>
      <c r="N388" s="85" t="str">
        <f t="shared" si="1981"/>
        <v/>
      </c>
      <c r="O388" s="86" t="str">
        <f t="shared" ref="O388" si="1982">IF(L388="","",K388-L388)</f>
        <v/>
      </c>
      <c r="P388" s="83" t="str">
        <f t="shared" ref="P388" si="1983">IF(R390="","",P387-R388)</f>
        <v/>
      </c>
      <c r="Q388" s="84" t="str">
        <f t="shared" ref="Q388" si="1984">IF(S390="","",P387-S388)</f>
        <v/>
      </c>
      <c r="R388" s="85" t="str">
        <f t="shared" ref="R388:S388" si="1985">IF(OR($A390="集水",$A390="吸水"),0.4,"")</f>
        <v/>
      </c>
      <c r="S388" s="85" t="str">
        <f t="shared" si="1985"/>
        <v/>
      </c>
      <c r="T388" s="86" t="str">
        <f t="shared" ref="T388" si="1986">IF(Q388="","",P388-Q388)</f>
        <v/>
      </c>
      <c r="U388" s="88"/>
      <c r="V388" s="89"/>
    </row>
    <row r="389" spans="1:22" ht="9" customHeight="1" x14ac:dyDescent="0.55000000000000004">
      <c r="A389" s="90"/>
      <c r="B389" s="91"/>
      <c r="C389" s="92" t="str">
        <f t="shared" ref="C389" si="1987">IF(B387="","",B389-B387)</f>
        <v/>
      </c>
      <c r="D389" s="91"/>
      <c r="E389" s="93" t="str">
        <f t="shared" ref="E389" si="1988">IF(D387="","",D389-D387)</f>
        <v/>
      </c>
      <c r="F389" s="94"/>
      <c r="G389" s="85"/>
      <c r="H389" s="85"/>
      <c r="I389" s="95"/>
      <c r="J389" s="86"/>
      <c r="K389" s="94"/>
      <c r="L389" s="85"/>
      <c r="M389" s="85"/>
      <c r="N389" s="95"/>
      <c r="O389" s="86"/>
      <c r="P389" s="94"/>
      <c r="Q389" s="85"/>
      <c r="R389" s="85"/>
      <c r="S389" s="95"/>
      <c r="T389" s="86"/>
      <c r="U389" s="96"/>
      <c r="V389" s="97"/>
    </row>
    <row r="390" spans="1:22" ht="9" customHeight="1" x14ac:dyDescent="0.55000000000000004">
      <c r="A390" s="98"/>
      <c r="B390" s="99"/>
      <c r="C390" s="100"/>
      <c r="D390" s="99"/>
      <c r="E390" s="101"/>
      <c r="F390" s="102" t="str">
        <f t="shared" ref="F390" si="1989">IF(H390="","",F387-H390)</f>
        <v/>
      </c>
      <c r="G390" s="103" t="str">
        <f t="shared" ref="G390" si="1990">IF(I390="","",F387-I390)</f>
        <v/>
      </c>
      <c r="H390" s="104"/>
      <c r="I390" s="104"/>
      <c r="J390" s="105"/>
      <c r="K390" s="106" t="str">
        <f t="shared" ref="K390" si="1991">IF(M390="","",K387-M390)</f>
        <v/>
      </c>
      <c r="L390" s="103" t="str">
        <f t="shared" ref="L390" si="1992">IF(N390="","",K387-N390)</f>
        <v/>
      </c>
      <c r="M390" s="104"/>
      <c r="N390" s="107"/>
      <c r="O390" s="105"/>
      <c r="P390" s="102" t="str">
        <f t="shared" ref="P390" si="1993">IF(R390="","",P387-R390)</f>
        <v/>
      </c>
      <c r="Q390" s="103" t="str">
        <f t="shared" ref="Q390" si="1994">IF(S390="","",P387-S390)</f>
        <v/>
      </c>
      <c r="R390" s="104"/>
      <c r="S390" s="104"/>
      <c r="T390" s="105"/>
      <c r="U390" s="108"/>
      <c r="V390" s="109"/>
    </row>
    <row r="391" spans="1:22" ht="9" customHeight="1" x14ac:dyDescent="0.55000000000000004">
      <c r="A391" s="19"/>
      <c r="B391" s="69"/>
      <c r="C391" s="70"/>
      <c r="D391" s="69"/>
      <c r="E391" s="71"/>
      <c r="F391" s="72"/>
      <c r="G391" s="73"/>
      <c r="H391" s="74"/>
      <c r="I391" s="75"/>
      <c r="J391" s="76"/>
      <c r="K391" s="72"/>
      <c r="L391" s="73"/>
      <c r="M391" s="74"/>
      <c r="N391" s="75"/>
      <c r="O391" s="76"/>
      <c r="P391" s="72"/>
      <c r="Q391" s="73"/>
      <c r="R391" s="74"/>
      <c r="S391" s="75"/>
      <c r="T391" s="76"/>
      <c r="U391" s="77" t="str">
        <f t="shared" ref="U391" si="1995">IF(OR(F394="",P394=""),"",B391/(F394-P394))</f>
        <v/>
      </c>
      <c r="V391" s="78"/>
    </row>
    <row r="392" spans="1:22" ht="9" customHeight="1" x14ac:dyDescent="0.55000000000000004">
      <c r="A392" s="79"/>
      <c r="B392" s="80"/>
      <c r="C392" s="81"/>
      <c r="D392" s="80"/>
      <c r="E392" s="82"/>
      <c r="F392" s="83" t="str">
        <f t="shared" ref="F392" si="1996">IF(H394="","",F391-H392)</f>
        <v/>
      </c>
      <c r="G392" s="84" t="str">
        <f t="shared" ref="G392" si="1997">IF(I394="","",F391-I392)</f>
        <v/>
      </c>
      <c r="H392" s="85" t="str">
        <f t="shared" ref="H392:I392" si="1998">IF(OR($A394="集水",$A394="吸水"),0.4,"")</f>
        <v/>
      </c>
      <c r="I392" s="85" t="str">
        <f t="shared" si="1998"/>
        <v/>
      </c>
      <c r="J392" s="86" t="str">
        <f t="shared" ref="J392" si="1999">IF(G392="","",F392-G392)</f>
        <v/>
      </c>
      <c r="K392" s="83" t="str">
        <f t="shared" ref="K392" si="2000">IF(M394="","",K391-M392)</f>
        <v/>
      </c>
      <c r="L392" s="87" t="str">
        <f t="shared" ref="L392" si="2001">IF(N394="","",K391-N392)</f>
        <v/>
      </c>
      <c r="M392" s="85" t="str">
        <f t="shared" ref="M392:N392" si="2002">IF(M394="","",IF(OR($A394="集水",$A394="吸水"),0.4,""))</f>
        <v/>
      </c>
      <c r="N392" s="85" t="str">
        <f t="shared" si="2002"/>
        <v/>
      </c>
      <c r="O392" s="86" t="str">
        <f t="shared" ref="O392" si="2003">IF(L392="","",K392-L392)</f>
        <v/>
      </c>
      <c r="P392" s="83" t="str">
        <f t="shared" ref="P392" si="2004">IF(R394="","",P391-R392)</f>
        <v/>
      </c>
      <c r="Q392" s="84" t="str">
        <f t="shared" ref="Q392" si="2005">IF(S394="","",P391-S392)</f>
        <v/>
      </c>
      <c r="R392" s="85" t="str">
        <f t="shared" ref="R392:S392" si="2006">IF(OR($A394="集水",$A394="吸水"),0.4,"")</f>
        <v/>
      </c>
      <c r="S392" s="85" t="str">
        <f t="shared" si="2006"/>
        <v/>
      </c>
      <c r="T392" s="86" t="str">
        <f t="shared" ref="T392" si="2007">IF(Q392="","",P392-Q392)</f>
        <v/>
      </c>
      <c r="U392" s="88"/>
      <c r="V392" s="89"/>
    </row>
    <row r="393" spans="1:22" ht="9" customHeight="1" x14ac:dyDescent="0.55000000000000004">
      <c r="A393" s="90"/>
      <c r="B393" s="91"/>
      <c r="C393" s="92" t="str">
        <f t="shared" ref="C393" si="2008">IF(B391="","",B393-B391)</f>
        <v/>
      </c>
      <c r="D393" s="91"/>
      <c r="E393" s="93" t="str">
        <f t="shared" ref="E393" si="2009">IF(D391="","",D393-D391)</f>
        <v/>
      </c>
      <c r="F393" s="94"/>
      <c r="G393" s="85"/>
      <c r="H393" s="85"/>
      <c r="I393" s="95"/>
      <c r="J393" s="86"/>
      <c r="K393" s="94"/>
      <c r="L393" s="85"/>
      <c r="M393" s="85"/>
      <c r="N393" s="95"/>
      <c r="O393" s="86"/>
      <c r="P393" s="94"/>
      <c r="Q393" s="85"/>
      <c r="R393" s="85"/>
      <c r="S393" s="95"/>
      <c r="T393" s="86"/>
      <c r="U393" s="96"/>
      <c r="V393" s="97"/>
    </row>
    <row r="394" spans="1:22" ht="9" customHeight="1" x14ac:dyDescent="0.55000000000000004">
      <c r="A394" s="98"/>
      <c r="B394" s="99"/>
      <c r="C394" s="100"/>
      <c r="D394" s="99"/>
      <c r="E394" s="101"/>
      <c r="F394" s="102" t="str">
        <f t="shared" ref="F394" si="2010">IF(H394="","",F391-H394)</f>
        <v/>
      </c>
      <c r="G394" s="103" t="str">
        <f t="shared" ref="G394" si="2011">IF(I394="","",F391-I394)</f>
        <v/>
      </c>
      <c r="H394" s="104"/>
      <c r="I394" s="104"/>
      <c r="J394" s="105"/>
      <c r="K394" s="106" t="str">
        <f t="shared" ref="K394" si="2012">IF(M394="","",K391-M394)</f>
        <v/>
      </c>
      <c r="L394" s="103" t="str">
        <f t="shared" ref="L394" si="2013">IF(N394="","",K391-N394)</f>
        <v/>
      </c>
      <c r="M394" s="104"/>
      <c r="N394" s="107"/>
      <c r="O394" s="105"/>
      <c r="P394" s="102" t="str">
        <f t="shared" ref="P394" si="2014">IF(R394="","",P391-R394)</f>
        <v/>
      </c>
      <c r="Q394" s="103" t="str">
        <f t="shared" ref="Q394" si="2015">IF(S394="","",P391-S394)</f>
        <v/>
      </c>
      <c r="R394" s="104"/>
      <c r="S394" s="104"/>
      <c r="T394" s="105"/>
      <c r="U394" s="108"/>
      <c r="V394" s="109"/>
    </row>
    <row r="395" spans="1:22" ht="9" customHeight="1" x14ac:dyDescent="0.55000000000000004">
      <c r="A395" s="19"/>
      <c r="B395" s="69"/>
      <c r="C395" s="70"/>
      <c r="D395" s="69"/>
      <c r="E395" s="71"/>
      <c r="F395" s="72"/>
      <c r="G395" s="73"/>
      <c r="H395" s="74"/>
      <c r="I395" s="75"/>
      <c r="J395" s="76"/>
      <c r="K395" s="72"/>
      <c r="L395" s="73"/>
      <c r="M395" s="74"/>
      <c r="N395" s="75"/>
      <c r="O395" s="76"/>
      <c r="P395" s="72"/>
      <c r="Q395" s="73"/>
      <c r="R395" s="74"/>
      <c r="S395" s="75"/>
      <c r="T395" s="76"/>
      <c r="U395" s="77" t="str">
        <f t="shared" ref="U395" si="2016">IF(OR(F398="",P398=""),"",B395/(F398-P398))</f>
        <v/>
      </c>
      <c r="V395" s="78"/>
    </row>
    <row r="396" spans="1:22" ht="9" customHeight="1" x14ac:dyDescent="0.55000000000000004">
      <c r="A396" s="79"/>
      <c r="B396" s="80"/>
      <c r="C396" s="81"/>
      <c r="D396" s="80"/>
      <c r="E396" s="82"/>
      <c r="F396" s="83" t="str">
        <f t="shared" ref="F396" si="2017">IF(H398="","",F395-H396)</f>
        <v/>
      </c>
      <c r="G396" s="84" t="str">
        <f t="shared" ref="G396" si="2018">IF(I398="","",F395-I396)</f>
        <v/>
      </c>
      <c r="H396" s="85" t="str">
        <f t="shared" ref="H396:I396" si="2019">IF(OR($A398="集水",$A398="吸水"),0.4,"")</f>
        <v/>
      </c>
      <c r="I396" s="85" t="str">
        <f t="shared" si="2019"/>
        <v/>
      </c>
      <c r="J396" s="86" t="str">
        <f t="shared" ref="J396" si="2020">IF(G396="","",F396-G396)</f>
        <v/>
      </c>
      <c r="K396" s="83" t="str">
        <f t="shared" ref="K396" si="2021">IF(M398="","",K395-M396)</f>
        <v/>
      </c>
      <c r="L396" s="87" t="str">
        <f t="shared" ref="L396" si="2022">IF(N398="","",K395-N396)</f>
        <v/>
      </c>
      <c r="M396" s="85" t="str">
        <f t="shared" ref="M396:N396" si="2023">IF(M398="","",IF(OR($A398="集水",$A398="吸水"),0.4,""))</f>
        <v/>
      </c>
      <c r="N396" s="85" t="str">
        <f t="shared" si="2023"/>
        <v/>
      </c>
      <c r="O396" s="86" t="str">
        <f t="shared" ref="O396" si="2024">IF(L396="","",K396-L396)</f>
        <v/>
      </c>
      <c r="P396" s="83" t="str">
        <f t="shared" ref="P396" si="2025">IF(R398="","",P395-R396)</f>
        <v/>
      </c>
      <c r="Q396" s="84" t="str">
        <f t="shared" ref="Q396" si="2026">IF(S398="","",P395-S396)</f>
        <v/>
      </c>
      <c r="R396" s="85" t="str">
        <f t="shared" ref="R396:S396" si="2027">IF(OR($A398="集水",$A398="吸水"),0.4,"")</f>
        <v/>
      </c>
      <c r="S396" s="85" t="str">
        <f t="shared" si="2027"/>
        <v/>
      </c>
      <c r="T396" s="86" t="str">
        <f t="shared" ref="T396" si="2028">IF(Q396="","",P396-Q396)</f>
        <v/>
      </c>
      <c r="U396" s="88"/>
      <c r="V396" s="89"/>
    </row>
    <row r="397" spans="1:22" ht="9" customHeight="1" x14ac:dyDescent="0.55000000000000004">
      <c r="A397" s="90"/>
      <c r="B397" s="91"/>
      <c r="C397" s="92" t="str">
        <f t="shared" ref="C397" si="2029">IF(B395="","",B397-B395)</f>
        <v/>
      </c>
      <c r="D397" s="91"/>
      <c r="E397" s="93" t="str">
        <f t="shared" ref="E397" si="2030">IF(D395="","",D397-D395)</f>
        <v/>
      </c>
      <c r="F397" s="94"/>
      <c r="G397" s="85"/>
      <c r="H397" s="85"/>
      <c r="I397" s="95"/>
      <c r="J397" s="86"/>
      <c r="K397" s="94"/>
      <c r="L397" s="85"/>
      <c r="M397" s="85"/>
      <c r="N397" s="95"/>
      <c r="O397" s="86"/>
      <c r="P397" s="94"/>
      <c r="Q397" s="85"/>
      <c r="R397" s="85"/>
      <c r="S397" s="95"/>
      <c r="T397" s="86"/>
      <c r="U397" s="96"/>
      <c r="V397" s="97"/>
    </row>
    <row r="398" spans="1:22" ht="9" customHeight="1" x14ac:dyDescent="0.55000000000000004">
      <c r="A398" s="98"/>
      <c r="B398" s="99"/>
      <c r="C398" s="100"/>
      <c r="D398" s="99"/>
      <c r="E398" s="101"/>
      <c r="F398" s="102" t="str">
        <f t="shared" ref="F398" si="2031">IF(H398="","",F395-H398)</f>
        <v/>
      </c>
      <c r="G398" s="103" t="str">
        <f t="shared" ref="G398" si="2032">IF(I398="","",F395-I398)</f>
        <v/>
      </c>
      <c r="H398" s="104"/>
      <c r="I398" s="104"/>
      <c r="J398" s="105"/>
      <c r="K398" s="106" t="str">
        <f t="shared" ref="K398" si="2033">IF(M398="","",K395-M398)</f>
        <v/>
      </c>
      <c r="L398" s="103" t="str">
        <f t="shared" ref="L398" si="2034">IF(N398="","",K395-N398)</f>
        <v/>
      </c>
      <c r="M398" s="104"/>
      <c r="N398" s="107"/>
      <c r="O398" s="105"/>
      <c r="P398" s="102" t="str">
        <f t="shared" ref="P398" si="2035">IF(R398="","",P395-R398)</f>
        <v/>
      </c>
      <c r="Q398" s="103" t="str">
        <f t="shared" ref="Q398" si="2036">IF(S398="","",P395-S398)</f>
        <v/>
      </c>
      <c r="R398" s="104"/>
      <c r="S398" s="104"/>
      <c r="T398" s="105"/>
      <c r="U398" s="108"/>
      <c r="V398" s="109"/>
    </row>
    <row r="399" spans="1:22" ht="9" customHeight="1" x14ac:dyDescent="0.55000000000000004">
      <c r="A399" s="19"/>
      <c r="B399" s="69"/>
      <c r="C399" s="70"/>
      <c r="D399" s="69"/>
      <c r="E399" s="71"/>
      <c r="F399" s="72"/>
      <c r="G399" s="73"/>
      <c r="H399" s="74"/>
      <c r="I399" s="75"/>
      <c r="J399" s="76"/>
      <c r="K399" s="72"/>
      <c r="L399" s="73"/>
      <c r="M399" s="74"/>
      <c r="N399" s="75"/>
      <c r="O399" s="76"/>
      <c r="P399" s="72"/>
      <c r="Q399" s="73"/>
      <c r="R399" s="74"/>
      <c r="S399" s="75"/>
      <c r="T399" s="76"/>
      <c r="U399" s="77" t="str">
        <f t="shared" ref="U399" si="2037">IF(OR(F402="",P402=""),"",B399/(F402-P402))</f>
        <v/>
      </c>
      <c r="V399" s="78"/>
    </row>
    <row r="400" spans="1:22" ht="9" customHeight="1" x14ac:dyDescent="0.55000000000000004">
      <c r="A400" s="79"/>
      <c r="B400" s="80"/>
      <c r="C400" s="81"/>
      <c r="D400" s="80"/>
      <c r="E400" s="82"/>
      <c r="F400" s="83" t="str">
        <f t="shared" ref="F400" si="2038">IF(H402="","",F399-H400)</f>
        <v/>
      </c>
      <c r="G400" s="84" t="str">
        <f t="shared" ref="G400" si="2039">IF(I402="","",F399-I400)</f>
        <v/>
      </c>
      <c r="H400" s="85" t="str">
        <f t="shared" ref="H400:I400" si="2040">IF(OR($A402="集水",$A402="吸水"),0.4,"")</f>
        <v/>
      </c>
      <c r="I400" s="85" t="str">
        <f t="shared" si="2040"/>
        <v/>
      </c>
      <c r="J400" s="86" t="str">
        <f t="shared" ref="J400" si="2041">IF(G400="","",F400-G400)</f>
        <v/>
      </c>
      <c r="K400" s="83" t="str">
        <f t="shared" ref="K400" si="2042">IF(M402="","",K399-M400)</f>
        <v/>
      </c>
      <c r="L400" s="87" t="str">
        <f t="shared" ref="L400" si="2043">IF(N402="","",K399-N400)</f>
        <v/>
      </c>
      <c r="M400" s="85" t="str">
        <f t="shared" ref="M400:N400" si="2044">IF(M402="","",IF(OR($A402="集水",$A402="吸水"),0.4,""))</f>
        <v/>
      </c>
      <c r="N400" s="85" t="str">
        <f t="shared" si="2044"/>
        <v/>
      </c>
      <c r="O400" s="86" t="str">
        <f t="shared" ref="O400" si="2045">IF(L400="","",K400-L400)</f>
        <v/>
      </c>
      <c r="P400" s="83" t="str">
        <f t="shared" ref="P400" si="2046">IF(R402="","",P399-R400)</f>
        <v/>
      </c>
      <c r="Q400" s="84" t="str">
        <f t="shared" ref="Q400" si="2047">IF(S402="","",P399-S400)</f>
        <v/>
      </c>
      <c r="R400" s="85" t="str">
        <f t="shared" ref="R400:S400" si="2048">IF(OR($A402="集水",$A402="吸水"),0.4,"")</f>
        <v/>
      </c>
      <c r="S400" s="85" t="str">
        <f t="shared" si="2048"/>
        <v/>
      </c>
      <c r="T400" s="86" t="str">
        <f t="shared" ref="T400" si="2049">IF(Q400="","",P400-Q400)</f>
        <v/>
      </c>
      <c r="U400" s="88"/>
      <c r="V400" s="89"/>
    </row>
    <row r="401" spans="1:22" ht="9" customHeight="1" x14ac:dyDescent="0.55000000000000004">
      <c r="A401" s="90"/>
      <c r="B401" s="91"/>
      <c r="C401" s="92" t="str">
        <f t="shared" ref="C401" si="2050">IF(B399="","",B401-B399)</f>
        <v/>
      </c>
      <c r="D401" s="91"/>
      <c r="E401" s="93" t="str">
        <f t="shared" ref="E401" si="2051">IF(D399="","",D401-D399)</f>
        <v/>
      </c>
      <c r="F401" s="94"/>
      <c r="G401" s="85"/>
      <c r="H401" s="85"/>
      <c r="I401" s="95"/>
      <c r="J401" s="86"/>
      <c r="K401" s="94"/>
      <c r="L401" s="85"/>
      <c r="M401" s="85"/>
      <c r="N401" s="95"/>
      <c r="O401" s="86"/>
      <c r="P401" s="94"/>
      <c r="Q401" s="85"/>
      <c r="R401" s="85"/>
      <c r="S401" s="95"/>
      <c r="T401" s="86"/>
      <c r="U401" s="96"/>
      <c r="V401" s="97"/>
    </row>
    <row r="402" spans="1:22" ht="9" customHeight="1" x14ac:dyDescent="0.55000000000000004">
      <c r="A402" s="98"/>
      <c r="B402" s="99"/>
      <c r="C402" s="100"/>
      <c r="D402" s="99"/>
      <c r="E402" s="101"/>
      <c r="F402" s="102" t="str">
        <f t="shared" ref="F402" si="2052">IF(H402="","",F399-H402)</f>
        <v/>
      </c>
      <c r="G402" s="103" t="str">
        <f t="shared" ref="G402" si="2053">IF(I402="","",F399-I402)</f>
        <v/>
      </c>
      <c r="H402" s="104"/>
      <c r="I402" s="104"/>
      <c r="J402" s="105"/>
      <c r="K402" s="106" t="str">
        <f t="shared" ref="K402" si="2054">IF(M402="","",K399-M402)</f>
        <v/>
      </c>
      <c r="L402" s="103" t="str">
        <f t="shared" ref="L402" si="2055">IF(N402="","",K399-N402)</f>
        <v/>
      </c>
      <c r="M402" s="104"/>
      <c r="N402" s="107"/>
      <c r="O402" s="105"/>
      <c r="P402" s="102" t="str">
        <f t="shared" ref="P402" si="2056">IF(R402="","",P399-R402)</f>
        <v/>
      </c>
      <c r="Q402" s="103" t="str">
        <f t="shared" ref="Q402" si="2057">IF(S402="","",P399-S402)</f>
        <v/>
      </c>
      <c r="R402" s="104"/>
      <c r="S402" s="104"/>
      <c r="T402" s="105"/>
      <c r="U402" s="108"/>
      <c r="V402" s="109"/>
    </row>
    <row r="403" spans="1:22" ht="9" customHeight="1" x14ac:dyDescent="0.55000000000000004">
      <c r="A403" s="19"/>
      <c r="B403" s="69"/>
      <c r="C403" s="70"/>
      <c r="D403" s="69"/>
      <c r="E403" s="71"/>
      <c r="F403" s="72"/>
      <c r="G403" s="73"/>
      <c r="H403" s="74"/>
      <c r="I403" s="75"/>
      <c r="J403" s="76"/>
      <c r="K403" s="72"/>
      <c r="L403" s="73"/>
      <c r="M403" s="74"/>
      <c r="N403" s="75"/>
      <c r="O403" s="76"/>
      <c r="P403" s="72"/>
      <c r="Q403" s="73"/>
      <c r="R403" s="74"/>
      <c r="S403" s="75"/>
      <c r="T403" s="76"/>
      <c r="U403" s="77" t="str">
        <f t="shared" ref="U403" si="2058">IF(OR(F406="",P406=""),"",B403/(F406-P406))</f>
        <v/>
      </c>
      <c r="V403" s="78"/>
    </row>
    <row r="404" spans="1:22" ht="9" customHeight="1" x14ac:dyDescent="0.55000000000000004">
      <c r="A404" s="79"/>
      <c r="B404" s="80"/>
      <c r="C404" s="81"/>
      <c r="D404" s="80"/>
      <c r="E404" s="82"/>
      <c r="F404" s="83" t="str">
        <f t="shared" ref="F404" si="2059">IF(H406="","",F403-H404)</f>
        <v/>
      </c>
      <c r="G404" s="84" t="str">
        <f t="shared" ref="G404" si="2060">IF(I406="","",F403-I404)</f>
        <v/>
      </c>
      <c r="H404" s="85" t="str">
        <f t="shared" ref="H404:I404" si="2061">IF(OR($A406="集水",$A406="吸水"),0.4,"")</f>
        <v/>
      </c>
      <c r="I404" s="85" t="str">
        <f t="shared" si="2061"/>
        <v/>
      </c>
      <c r="J404" s="86" t="str">
        <f t="shared" ref="J404" si="2062">IF(G404="","",F404-G404)</f>
        <v/>
      </c>
      <c r="K404" s="83" t="str">
        <f t="shared" ref="K404" si="2063">IF(M406="","",K403-M404)</f>
        <v/>
      </c>
      <c r="L404" s="87" t="str">
        <f t="shared" ref="L404" si="2064">IF(N406="","",K403-N404)</f>
        <v/>
      </c>
      <c r="M404" s="85" t="str">
        <f t="shared" ref="M404:N404" si="2065">IF(M406="","",IF(OR($A406="集水",$A406="吸水"),0.4,""))</f>
        <v/>
      </c>
      <c r="N404" s="85" t="str">
        <f t="shared" si="2065"/>
        <v/>
      </c>
      <c r="O404" s="86" t="str">
        <f t="shared" ref="O404" si="2066">IF(L404="","",K404-L404)</f>
        <v/>
      </c>
      <c r="P404" s="83" t="str">
        <f t="shared" ref="P404" si="2067">IF(R406="","",P403-R404)</f>
        <v/>
      </c>
      <c r="Q404" s="84" t="str">
        <f t="shared" ref="Q404" si="2068">IF(S406="","",P403-S404)</f>
        <v/>
      </c>
      <c r="R404" s="85" t="str">
        <f t="shared" ref="R404:S404" si="2069">IF(OR($A406="集水",$A406="吸水"),0.4,"")</f>
        <v/>
      </c>
      <c r="S404" s="85" t="str">
        <f t="shared" si="2069"/>
        <v/>
      </c>
      <c r="T404" s="86" t="str">
        <f t="shared" ref="T404" si="2070">IF(Q404="","",P404-Q404)</f>
        <v/>
      </c>
      <c r="U404" s="88"/>
      <c r="V404" s="89"/>
    </row>
    <row r="405" spans="1:22" ht="9" customHeight="1" x14ac:dyDescent="0.55000000000000004">
      <c r="A405" s="90"/>
      <c r="B405" s="91"/>
      <c r="C405" s="92" t="str">
        <f t="shared" ref="C405" si="2071">IF(B403="","",B405-B403)</f>
        <v/>
      </c>
      <c r="D405" s="91"/>
      <c r="E405" s="93" t="str">
        <f t="shared" ref="E405" si="2072">IF(D403="","",D405-D403)</f>
        <v/>
      </c>
      <c r="F405" s="94"/>
      <c r="G405" s="85"/>
      <c r="H405" s="85"/>
      <c r="I405" s="95"/>
      <c r="J405" s="86"/>
      <c r="K405" s="94"/>
      <c r="L405" s="85"/>
      <c r="M405" s="85"/>
      <c r="N405" s="95"/>
      <c r="O405" s="86"/>
      <c r="P405" s="94"/>
      <c r="Q405" s="85"/>
      <c r="R405" s="85"/>
      <c r="S405" s="95"/>
      <c r="T405" s="86"/>
      <c r="U405" s="96"/>
      <c r="V405" s="97"/>
    </row>
    <row r="406" spans="1:22" ht="9" customHeight="1" x14ac:dyDescent="0.55000000000000004">
      <c r="A406" s="98"/>
      <c r="B406" s="99"/>
      <c r="C406" s="100"/>
      <c r="D406" s="99"/>
      <c r="E406" s="101"/>
      <c r="F406" s="102" t="str">
        <f t="shared" ref="F406" si="2073">IF(H406="","",F403-H406)</f>
        <v/>
      </c>
      <c r="G406" s="103" t="str">
        <f t="shared" ref="G406" si="2074">IF(I406="","",F403-I406)</f>
        <v/>
      </c>
      <c r="H406" s="104"/>
      <c r="I406" s="104"/>
      <c r="J406" s="105"/>
      <c r="K406" s="106" t="str">
        <f t="shared" ref="K406" si="2075">IF(M406="","",K403-M406)</f>
        <v/>
      </c>
      <c r="L406" s="103" t="str">
        <f t="shared" ref="L406" si="2076">IF(N406="","",K403-N406)</f>
        <v/>
      </c>
      <c r="M406" s="104"/>
      <c r="N406" s="107"/>
      <c r="O406" s="105"/>
      <c r="P406" s="102" t="str">
        <f t="shared" ref="P406" si="2077">IF(R406="","",P403-R406)</f>
        <v/>
      </c>
      <c r="Q406" s="103" t="str">
        <f t="shared" ref="Q406" si="2078">IF(S406="","",P403-S406)</f>
        <v/>
      </c>
      <c r="R406" s="104"/>
      <c r="S406" s="104"/>
      <c r="T406" s="105"/>
      <c r="U406" s="108"/>
      <c r="V406" s="109"/>
    </row>
    <row r="407" spans="1:22" ht="9" customHeight="1" x14ac:dyDescent="0.55000000000000004">
      <c r="A407" s="19"/>
      <c r="B407" s="69"/>
      <c r="C407" s="70"/>
      <c r="D407" s="69"/>
      <c r="E407" s="71"/>
      <c r="F407" s="72"/>
      <c r="G407" s="73"/>
      <c r="H407" s="74"/>
      <c r="I407" s="75"/>
      <c r="J407" s="76"/>
      <c r="K407" s="72"/>
      <c r="L407" s="73"/>
      <c r="M407" s="74"/>
      <c r="N407" s="75"/>
      <c r="O407" s="76"/>
      <c r="P407" s="72"/>
      <c r="Q407" s="73"/>
      <c r="R407" s="74"/>
      <c r="S407" s="75"/>
      <c r="T407" s="76"/>
      <c r="U407" s="77" t="str">
        <f t="shared" ref="U407" si="2079">IF(OR(F410="",P410=""),"",B407/(F410-P410))</f>
        <v/>
      </c>
      <c r="V407" s="78"/>
    </row>
    <row r="408" spans="1:22" ht="9" customHeight="1" x14ac:dyDescent="0.55000000000000004">
      <c r="A408" s="79"/>
      <c r="B408" s="80"/>
      <c r="C408" s="81"/>
      <c r="D408" s="80"/>
      <c r="E408" s="82"/>
      <c r="F408" s="83" t="str">
        <f t="shared" ref="F408" si="2080">IF(H410="","",F407-H408)</f>
        <v/>
      </c>
      <c r="G408" s="84" t="str">
        <f t="shared" ref="G408" si="2081">IF(I410="","",F407-I408)</f>
        <v/>
      </c>
      <c r="H408" s="85" t="str">
        <f t="shared" ref="H408:I408" si="2082">IF(OR($A410="集水",$A410="吸水"),0.4,"")</f>
        <v/>
      </c>
      <c r="I408" s="85" t="str">
        <f t="shared" si="2082"/>
        <v/>
      </c>
      <c r="J408" s="86" t="str">
        <f t="shared" ref="J408" si="2083">IF(G408="","",F408-G408)</f>
        <v/>
      </c>
      <c r="K408" s="83" t="str">
        <f t="shared" ref="K408" si="2084">IF(M410="","",K407-M408)</f>
        <v/>
      </c>
      <c r="L408" s="87" t="str">
        <f t="shared" ref="L408" si="2085">IF(N410="","",K407-N408)</f>
        <v/>
      </c>
      <c r="M408" s="85" t="str">
        <f t="shared" ref="M408:N408" si="2086">IF(M410="","",IF(OR($A410="集水",$A410="吸水"),0.4,""))</f>
        <v/>
      </c>
      <c r="N408" s="85" t="str">
        <f t="shared" si="2086"/>
        <v/>
      </c>
      <c r="O408" s="86" t="str">
        <f t="shared" ref="O408" si="2087">IF(L408="","",K408-L408)</f>
        <v/>
      </c>
      <c r="P408" s="83" t="str">
        <f t="shared" ref="P408" si="2088">IF(R410="","",P407-R408)</f>
        <v/>
      </c>
      <c r="Q408" s="84" t="str">
        <f t="shared" ref="Q408" si="2089">IF(S410="","",P407-S408)</f>
        <v/>
      </c>
      <c r="R408" s="85" t="str">
        <f t="shared" ref="R408:S408" si="2090">IF(OR($A410="集水",$A410="吸水"),0.4,"")</f>
        <v/>
      </c>
      <c r="S408" s="85" t="str">
        <f t="shared" si="2090"/>
        <v/>
      </c>
      <c r="T408" s="86" t="str">
        <f t="shared" ref="T408" si="2091">IF(Q408="","",P408-Q408)</f>
        <v/>
      </c>
      <c r="U408" s="88"/>
      <c r="V408" s="89"/>
    </row>
    <row r="409" spans="1:22" ht="9" customHeight="1" x14ac:dyDescent="0.55000000000000004">
      <c r="A409" s="90"/>
      <c r="B409" s="91"/>
      <c r="C409" s="92" t="str">
        <f t="shared" ref="C409" si="2092">IF(B407="","",B409-B407)</f>
        <v/>
      </c>
      <c r="D409" s="91"/>
      <c r="E409" s="93" t="str">
        <f t="shared" ref="E409" si="2093">IF(D407="","",D409-D407)</f>
        <v/>
      </c>
      <c r="F409" s="94"/>
      <c r="G409" s="85"/>
      <c r="H409" s="85"/>
      <c r="I409" s="95"/>
      <c r="J409" s="86"/>
      <c r="K409" s="94"/>
      <c r="L409" s="85"/>
      <c r="M409" s="85"/>
      <c r="N409" s="95"/>
      <c r="O409" s="86"/>
      <c r="P409" s="94"/>
      <c r="Q409" s="85"/>
      <c r="R409" s="85"/>
      <c r="S409" s="95"/>
      <c r="T409" s="86"/>
      <c r="U409" s="96"/>
      <c r="V409" s="97"/>
    </row>
    <row r="410" spans="1:22" ht="9" customHeight="1" x14ac:dyDescent="0.55000000000000004">
      <c r="A410" s="98"/>
      <c r="B410" s="99"/>
      <c r="C410" s="100"/>
      <c r="D410" s="99"/>
      <c r="E410" s="101"/>
      <c r="F410" s="102" t="str">
        <f t="shared" ref="F410" si="2094">IF(H410="","",F407-H410)</f>
        <v/>
      </c>
      <c r="G410" s="103" t="str">
        <f t="shared" ref="G410" si="2095">IF(I410="","",F407-I410)</f>
        <v/>
      </c>
      <c r="H410" s="104"/>
      <c r="I410" s="104"/>
      <c r="J410" s="105"/>
      <c r="K410" s="106" t="str">
        <f t="shared" ref="K410" si="2096">IF(M410="","",K407-M410)</f>
        <v/>
      </c>
      <c r="L410" s="103" t="str">
        <f t="shared" ref="L410" si="2097">IF(N410="","",K407-N410)</f>
        <v/>
      </c>
      <c r="M410" s="104"/>
      <c r="N410" s="107"/>
      <c r="O410" s="105"/>
      <c r="P410" s="102" t="str">
        <f t="shared" ref="P410" si="2098">IF(R410="","",P407-R410)</f>
        <v/>
      </c>
      <c r="Q410" s="103" t="str">
        <f t="shared" ref="Q410" si="2099">IF(S410="","",P407-S410)</f>
        <v/>
      </c>
      <c r="R410" s="104"/>
      <c r="S410" s="104"/>
      <c r="T410" s="105"/>
      <c r="U410" s="108"/>
      <c r="V410" s="109"/>
    </row>
    <row r="411" spans="1:22" ht="9" customHeight="1" x14ac:dyDescent="0.55000000000000004">
      <c r="A411" s="19"/>
      <c r="B411" s="69"/>
      <c r="C411" s="70"/>
      <c r="D411" s="69"/>
      <c r="E411" s="71"/>
      <c r="F411" s="72"/>
      <c r="G411" s="73"/>
      <c r="H411" s="74"/>
      <c r="I411" s="75"/>
      <c r="J411" s="76"/>
      <c r="K411" s="72"/>
      <c r="L411" s="73"/>
      <c r="M411" s="74"/>
      <c r="N411" s="75"/>
      <c r="O411" s="76"/>
      <c r="P411" s="72"/>
      <c r="Q411" s="73"/>
      <c r="R411" s="74"/>
      <c r="S411" s="75"/>
      <c r="T411" s="76"/>
      <c r="U411" s="77" t="str">
        <f t="shared" ref="U411" si="2100">IF(OR(F414="",P414=""),"",B411/(F414-P414))</f>
        <v/>
      </c>
      <c r="V411" s="78"/>
    </row>
    <row r="412" spans="1:22" ht="9" customHeight="1" x14ac:dyDescent="0.55000000000000004">
      <c r="A412" s="79"/>
      <c r="B412" s="80"/>
      <c r="C412" s="81"/>
      <c r="D412" s="80"/>
      <c r="E412" s="82"/>
      <c r="F412" s="83" t="str">
        <f t="shared" ref="F412" si="2101">IF(H414="","",F411-H412)</f>
        <v/>
      </c>
      <c r="G412" s="84" t="str">
        <f t="shared" ref="G412" si="2102">IF(I414="","",F411-I412)</f>
        <v/>
      </c>
      <c r="H412" s="85" t="str">
        <f t="shared" ref="H412:I412" si="2103">IF(OR($A414="集水",$A414="吸水"),0.4,"")</f>
        <v/>
      </c>
      <c r="I412" s="85" t="str">
        <f t="shared" si="2103"/>
        <v/>
      </c>
      <c r="J412" s="86" t="str">
        <f t="shared" ref="J412" si="2104">IF(G412="","",F412-G412)</f>
        <v/>
      </c>
      <c r="K412" s="83" t="str">
        <f t="shared" ref="K412" si="2105">IF(M414="","",K411-M412)</f>
        <v/>
      </c>
      <c r="L412" s="87" t="str">
        <f t="shared" ref="L412" si="2106">IF(N414="","",K411-N412)</f>
        <v/>
      </c>
      <c r="M412" s="85" t="str">
        <f t="shared" ref="M412:N412" si="2107">IF(M414="","",IF(OR($A414="集水",$A414="吸水"),0.4,""))</f>
        <v/>
      </c>
      <c r="N412" s="85" t="str">
        <f t="shared" si="2107"/>
        <v/>
      </c>
      <c r="O412" s="86" t="str">
        <f t="shared" ref="O412" si="2108">IF(L412="","",K412-L412)</f>
        <v/>
      </c>
      <c r="P412" s="83" t="str">
        <f t="shared" ref="P412" si="2109">IF(R414="","",P411-R412)</f>
        <v/>
      </c>
      <c r="Q412" s="84" t="str">
        <f t="shared" ref="Q412" si="2110">IF(S414="","",P411-S412)</f>
        <v/>
      </c>
      <c r="R412" s="85" t="str">
        <f t="shared" ref="R412:S412" si="2111">IF(OR($A414="集水",$A414="吸水"),0.4,"")</f>
        <v/>
      </c>
      <c r="S412" s="85" t="str">
        <f t="shared" si="2111"/>
        <v/>
      </c>
      <c r="T412" s="86" t="str">
        <f t="shared" ref="T412" si="2112">IF(Q412="","",P412-Q412)</f>
        <v/>
      </c>
      <c r="U412" s="88"/>
      <c r="V412" s="89"/>
    </row>
    <row r="413" spans="1:22" ht="9" customHeight="1" x14ac:dyDescent="0.55000000000000004">
      <c r="A413" s="90"/>
      <c r="B413" s="91"/>
      <c r="C413" s="92" t="str">
        <f t="shared" ref="C413" si="2113">IF(B411="","",B413-B411)</f>
        <v/>
      </c>
      <c r="D413" s="91"/>
      <c r="E413" s="93" t="str">
        <f t="shared" ref="E413" si="2114">IF(D411="","",D413-D411)</f>
        <v/>
      </c>
      <c r="F413" s="94"/>
      <c r="G413" s="85"/>
      <c r="H413" s="85"/>
      <c r="I413" s="95"/>
      <c r="J413" s="86"/>
      <c r="K413" s="94"/>
      <c r="L413" s="85"/>
      <c r="M413" s="85"/>
      <c r="N413" s="95"/>
      <c r="O413" s="86"/>
      <c r="P413" s="94"/>
      <c r="Q413" s="85"/>
      <c r="R413" s="85"/>
      <c r="S413" s="95"/>
      <c r="T413" s="86"/>
      <c r="U413" s="96"/>
      <c r="V413" s="97"/>
    </row>
    <row r="414" spans="1:22" ht="9" customHeight="1" x14ac:dyDescent="0.55000000000000004">
      <c r="A414" s="98"/>
      <c r="B414" s="99"/>
      <c r="C414" s="100"/>
      <c r="D414" s="99"/>
      <c r="E414" s="101"/>
      <c r="F414" s="102" t="str">
        <f t="shared" ref="F414" si="2115">IF(H414="","",F411-H414)</f>
        <v/>
      </c>
      <c r="G414" s="103" t="str">
        <f t="shared" ref="G414" si="2116">IF(I414="","",F411-I414)</f>
        <v/>
      </c>
      <c r="H414" s="104"/>
      <c r="I414" s="104"/>
      <c r="J414" s="105"/>
      <c r="K414" s="106" t="str">
        <f t="shared" ref="K414" si="2117">IF(M414="","",K411-M414)</f>
        <v/>
      </c>
      <c r="L414" s="103" t="str">
        <f t="shared" ref="L414" si="2118">IF(N414="","",K411-N414)</f>
        <v/>
      </c>
      <c r="M414" s="104"/>
      <c r="N414" s="107"/>
      <c r="O414" s="105"/>
      <c r="P414" s="102" t="str">
        <f t="shared" ref="P414" si="2119">IF(R414="","",P411-R414)</f>
        <v/>
      </c>
      <c r="Q414" s="103" t="str">
        <f t="shared" ref="Q414" si="2120">IF(S414="","",P411-S414)</f>
        <v/>
      </c>
      <c r="R414" s="104"/>
      <c r="S414" s="104"/>
      <c r="T414" s="105"/>
      <c r="U414" s="108"/>
      <c r="V414" s="109"/>
    </row>
    <row r="415" spans="1:22" ht="9" customHeight="1" x14ac:dyDescent="0.55000000000000004">
      <c r="A415" s="19"/>
      <c r="B415" s="69"/>
      <c r="C415" s="70"/>
      <c r="D415" s="69"/>
      <c r="E415" s="71"/>
      <c r="F415" s="72"/>
      <c r="G415" s="73"/>
      <c r="H415" s="74"/>
      <c r="I415" s="75"/>
      <c r="J415" s="76"/>
      <c r="K415" s="72"/>
      <c r="L415" s="73"/>
      <c r="M415" s="74"/>
      <c r="N415" s="75"/>
      <c r="O415" s="76"/>
      <c r="P415" s="72"/>
      <c r="Q415" s="73"/>
      <c r="R415" s="74"/>
      <c r="S415" s="75"/>
      <c r="T415" s="76"/>
      <c r="U415" s="77" t="str">
        <f t="shared" ref="U415" si="2121">IF(OR(F418="",P418=""),"",B415/(F418-P418))</f>
        <v/>
      </c>
      <c r="V415" s="78"/>
    </row>
    <row r="416" spans="1:22" ht="9" customHeight="1" x14ac:dyDescent="0.55000000000000004">
      <c r="A416" s="79"/>
      <c r="B416" s="80"/>
      <c r="C416" s="81"/>
      <c r="D416" s="80"/>
      <c r="E416" s="82"/>
      <c r="F416" s="83" t="str">
        <f t="shared" ref="F416" si="2122">IF(H418="","",F415-H416)</f>
        <v/>
      </c>
      <c r="G416" s="84" t="str">
        <f t="shared" ref="G416" si="2123">IF(I418="","",F415-I416)</f>
        <v/>
      </c>
      <c r="H416" s="85" t="str">
        <f t="shared" ref="H416:I416" si="2124">IF(OR($A418="集水",$A418="吸水"),0.4,"")</f>
        <v/>
      </c>
      <c r="I416" s="85" t="str">
        <f t="shared" si="2124"/>
        <v/>
      </c>
      <c r="J416" s="86" t="str">
        <f t="shared" ref="J416" si="2125">IF(G416="","",F416-G416)</f>
        <v/>
      </c>
      <c r="K416" s="83" t="str">
        <f t="shared" ref="K416" si="2126">IF(M418="","",K415-M416)</f>
        <v/>
      </c>
      <c r="L416" s="87" t="str">
        <f t="shared" ref="L416" si="2127">IF(N418="","",K415-N416)</f>
        <v/>
      </c>
      <c r="M416" s="85" t="str">
        <f t="shared" ref="M416:N416" si="2128">IF(M418="","",IF(OR($A418="集水",$A418="吸水"),0.4,""))</f>
        <v/>
      </c>
      <c r="N416" s="85" t="str">
        <f t="shared" si="2128"/>
        <v/>
      </c>
      <c r="O416" s="86" t="str">
        <f t="shared" ref="O416" si="2129">IF(L416="","",K416-L416)</f>
        <v/>
      </c>
      <c r="P416" s="83" t="str">
        <f t="shared" ref="P416" si="2130">IF(R418="","",P415-R416)</f>
        <v/>
      </c>
      <c r="Q416" s="84" t="str">
        <f t="shared" ref="Q416" si="2131">IF(S418="","",P415-S416)</f>
        <v/>
      </c>
      <c r="R416" s="85" t="str">
        <f t="shared" ref="R416:S416" si="2132">IF(OR($A418="集水",$A418="吸水"),0.4,"")</f>
        <v/>
      </c>
      <c r="S416" s="85" t="str">
        <f t="shared" si="2132"/>
        <v/>
      </c>
      <c r="T416" s="86" t="str">
        <f t="shared" ref="T416" si="2133">IF(Q416="","",P416-Q416)</f>
        <v/>
      </c>
      <c r="U416" s="88"/>
      <c r="V416" s="89"/>
    </row>
    <row r="417" spans="1:22" ht="9" customHeight="1" x14ac:dyDescent="0.55000000000000004">
      <c r="A417" s="90"/>
      <c r="B417" s="91"/>
      <c r="C417" s="92" t="str">
        <f t="shared" ref="C417" si="2134">IF(B415="","",B417-B415)</f>
        <v/>
      </c>
      <c r="D417" s="91"/>
      <c r="E417" s="93" t="str">
        <f t="shared" ref="E417" si="2135">IF(D415="","",D417-D415)</f>
        <v/>
      </c>
      <c r="F417" s="94"/>
      <c r="G417" s="85"/>
      <c r="H417" s="85"/>
      <c r="I417" s="95"/>
      <c r="J417" s="86"/>
      <c r="K417" s="94"/>
      <c r="L417" s="85"/>
      <c r="M417" s="85"/>
      <c r="N417" s="95"/>
      <c r="O417" s="86"/>
      <c r="P417" s="94"/>
      <c r="Q417" s="85"/>
      <c r="R417" s="85"/>
      <c r="S417" s="95"/>
      <c r="T417" s="86"/>
      <c r="U417" s="96"/>
      <c r="V417" s="97"/>
    </row>
    <row r="418" spans="1:22" ht="9" customHeight="1" x14ac:dyDescent="0.55000000000000004">
      <c r="A418" s="98"/>
      <c r="B418" s="99"/>
      <c r="C418" s="100"/>
      <c r="D418" s="99"/>
      <c r="E418" s="101"/>
      <c r="F418" s="102" t="str">
        <f t="shared" ref="F418" si="2136">IF(H418="","",F415-H418)</f>
        <v/>
      </c>
      <c r="G418" s="103" t="str">
        <f t="shared" ref="G418" si="2137">IF(I418="","",F415-I418)</f>
        <v/>
      </c>
      <c r="H418" s="104"/>
      <c r="I418" s="104"/>
      <c r="J418" s="105"/>
      <c r="K418" s="106" t="str">
        <f t="shared" ref="K418" si="2138">IF(M418="","",K415-M418)</f>
        <v/>
      </c>
      <c r="L418" s="103" t="str">
        <f t="shared" ref="L418" si="2139">IF(N418="","",K415-N418)</f>
        <v/>
      </c>
      <c r="M418" s="104"/>
      <c r="N418" s="107"/>
      <c r="O418" s="105"/>
      <c r="P418" s="102" t="str">
        <f t="shared" ref="P418" si="2140">IF(R418="","",P415-R418)</f>
        <v/>
      </c>
      <c r="Q418" s="103" t="str">
        <f t="shared" ref="Q418" si="2141">IF(S418="","",P415-S418)</f>
        <v/>
      </c>
      <c r="R418" s="104"/>
      <c r="S418" s="104"/>
      <c r="T418" s="105"/>
      <c r="U418" s="108"/>
      <c r="V418" s="109"/>
    </row>
    <row r="419" spans="1:22" ht="9" customHeight="1" x14ac:dyDescent="0.55000000000000004">
      <c r="A419" s="19"/>
      <c r="B419" s="69"/>
      <c r="C419" s="70"/>
      <c r="D419" s="69"/>
      <c r="E419" s="71"/>
      <c r="F419" s="72"/>
      <c r="G419" s="73"/>
      <c r="H419" s="74"/>
      <c r="I419" s="75"/>
      <c r="J419" s="76"/>
      <c r="K419" s="72"/>
      <c r="L419" s="73"/>
      <c r="M419" s="74"/>
      <c r="N419" s="75"/>
      <c r="O419" s="76"/>
      <c r="P419" s="72"/>
      <c r="Q419" s="73"/>
      <c r="R419" s="74"/>
      <c r="S419" s="75"/>
      <c r="T419" s="76"/>
      <c r="U419" s="77" t="str">
        <f t="shared" ref="U419" si="2142">IF(OR(F422="",P422=""),"",B419/(F422-P422))</f>
        <v/>
      </c>
      <c r="V419" s="78"/>
    </row>
    <row r="420" spans="1:22" ht="9" customHeight="1" x14ac:dyDescent="0.55000000000000004">
      <c r="A420" s="79"/>
      <c r="B420" s="80"/>
      <c r="C420" s="81"/>
      <c r="D420" s="80"/>
      <c r="E420" s="82"/>
      <c r="F420" s="83" t="str">
        <f t="shared" ref="F420" si="2143">IF(H422="","",F419-H420)</f>
        <v/>
      </c>
      <c r="G420" s="84" t="str">
        <f t="shared" ref="G420" si="2144">IF(I422="","",F419-I420)</f>
        <v/>
      </c>
      <c r="H420" s="85" t="str">
        <f t="shared" ref="H420:I420" si="2145">IF(OR($A422="集水",$A422="吸水"),0.4,"")</f>
        <v/>
      </c>
      <c r="I420" s="85" t="str">
        <f t="shared" si="2145"/>
        <v/>
      </c>
      <c r="J420" s="86" t="str">
        <f t="shared" ref="J420" si="2146">IF(G420="","",F420-G420)</f>
        <v/>
      </c>
      <c r="K420" s="83" t="str">
        <f t="shared" ref="K420" si="2147">IF(M422="","",K419-M420)</f>
        <v/>
      </c>
      <c r="L420" s="87" t="str">
        <f t="shared" ref="L420" si="2148">IF(N422="","",K419-N420)</f>
        <v/>
      </c>
      <c r="M420" s="85" t="str">
        <f t="shared" ref="M420:N420" si="2149">IF(M422="","",IF(OR($A422="集水",$A422="吸水"),0.4,""))</f>
        <v/>
      </c>
      <c r="N420" s="85" t="str">
        <f t="shared" si="2149"/>
        <v/>
      </c>
      <c r="O420" s="86" t="str">
        <f t="shared" ref="O420" si="2150">IF(L420="","",K420-L420)</f>
        <v/>
      </c>
      <c r="P420" s="83" t="str">
        <f t="shared" ref="P420" si="2151">IF(R422="","",P419-R420)</f>
        <v/>
      </c>
      <c r="Q420" s="84" t="str">
        <f t="shared" ref="Q420" si="2152">IF(S422="","",P419-S420)</f>
        <v/>
      </c>
      <c r="R420" s="85" t="str">
        <f t="shared" ref="R420:S420" si="2153">IF(OR($A422="集水",$A422="吸水"),0.4,"")</f>
        <v/>
      </c>
      <c r="S420" s="85" t="str">
        <f t="shared" si="2153"/>
        <v/>
      </c>
      <c r="T420" s="86" t="str">
        <f t="shared" ref="T420" si="2154">IF(Q420="","",P420-Q420)</f>
        <v/>
      </c>
      <c r="U420" s="88"/>
      <c r="V420" s="89"/>
    </row>
    <row r="421" spans="1:22" ht="9" customHeight="1" x14ac:dyDescent="0.55000000000000004">
      <c r="A421" s="90"/>
      <c r="B421" s="91"/>
      <c r="C421" s="92" t="str">
        <f t="shared" ref="C421" si="2155">IF(B419="","",B421-B419)</f>
        <v/>
      </c>
      <c r="D421" s="91"/>
      <c r="E421" s="93" t="str">
        <f t="shared" ref="E421" si="2156">IF(D419="","",D421-D419)</f>
        <v/>
      </c>
      <c r="F421" s="94"/>
      <c r="G421" s="85"/>
      <c r="H421" s="85"/>
      <c r="I421" s="95"/>
      <c r="J421" s="86"/>
      <c r="K421" s="94"/>
      <c r="L421" s="85"/>
      <c r="M421" s="85"/>
      <c r="N421" s="95"/>
      <c r="O421" s="86"/>
      <c r="P421" s="94"/>
      <c r="Q421" s="85"/>
      <c r="R421" s="85"/>
      <c r="S421" s="95"/>
      <c r="T421" s="86"/>
      <c r="U421" s="96"/>
      <c r="V421" s="97"/>
    </row>
    <row r="422" spans="1:22" ht="9" customHeight="1" x14ac:dyDescent="0.55000000000000004">
      <c r="A422" s="98"/>
      <c r="B422" s="99"/>
      <c r="C422" s="100"/>
      <c r="D422" s="99"/>
      <c r="E422" s="101"/>
      <c r="F422" s="102" t="str">
        <f t="shared" ref="F422" si="2157">IF(H422="","",F419-H422)</f>
        <v/>
      </c>
      <c r="G422" s="103" t="str">
        <f t="shared" ref="G422" si="2158">IF(I422="","",F419-I422)</f>
        <v/>
      </c>
      <c r="H422" s="104"/>
      <c r="I422" s="104"/>
      <c r="J422" s="105"/>
      <c r="K422" s="106" t="str">
        <f t="shared" ref="K422" si="2159">IF(M422="","",K419-M422)</f>
        <v/>
      </c>
      <c r="L422" s="103" t="str">
        <f t="shared" ref="L422" si="2160">IF(N422="","",K419-N422)</f>
        <v/>
      </c>
      <c r="M422" s="104"/>
      <c r="N422" s="107"/>
      <c r="O422" s="105"/>
      <c r="P422" s="102" t="str">
        <f t="shared" ref="P422" si="2161">IF(R422="","",P419-R422)</f>
        <v/>
      </c>
      <c r="Q422" s="103" t="str">
        <f t="shared" ref="Q422" si="2162">IF(S422="","",P419-S422)</f>
        <v/>
      </c>
      <c r="R422" s="104"/>
      <c r="S422" s="104"/>
      <c r="T422" s="105"/>
      <c r="U422" s="108"/>
      <c r="V422" s="109"/>
    </row>
    <row r="423" spans="1:22" ht="9" customHeight="1" x14ac:dyDescent="0.55000000000000004">
      <c r="A423" s="19"/>
      <c r="B423" s="69"/>
      <c r="C423" s="70"/>
      <c r="D423" s="69"/>
      <c r="E423" s="71"/>
      <c r="F423" s="72"/>
      <c r="G423" s="73"/>
      <c r="H423" s="74"/>
      <c r="I423" s="75"/>
      <c r="J423" s="76"/>
      <c r="K423" s="72"/>
      <c r="L423" s="73"/>
      <c r="M423" s="74"/>
      <c r="N423" s="75"/>
      <c r="O423" s="76"/>
      <c r="P423" s="72"/>
      <c r="Q423" s="73"/>
      <c r="R423" s="74"/>
      <c r="S423" s="75"/>
      <c r="T423" s="76"/>
      <c r="U423" s="77" t="str">
        <f t="shared" ref="U423" si="2163">IF(OR(F426="",P426=""),"",B423/(F426-P426))</f>
        <v/>
      </c>
      <c r="V423" s="78"/>
    </row>
    <row r="424" spans="1:22" ht="9" customHeight="1" x14ac:dyDescent="0.55000000000000004">
      <c r="A424" s="79"/>
      <c r="B424" s="80"/>
      <c r="C424" s="81"/>
      <c r="D424" s="80"/>
      <c r="E424" s="82"/>
      <c r="F424" s="83" t="str">
        <f t="shared" ref="F424" si="2164">IF(H426="","",F423-H424)</f>
        <v/>
      </c>
      <c r="G424" s="84" t="str">
        <f t="shared" ref="G424" si="2165">IF(I426="","",F423-I424)</f>
        <v/>
      </c>
      <c r="H424" s="85" t="str">
        <f t="shared" ref="H424:I424" si="2166">IF(OR($A426="集水",$A426="吸水"),0.4,"")</f>
        <v/>
      </c>
      <c r="I424" s="85" t="str">
        <f t="shared" si="2166"/>
        <v/>
      </c>
      <c r="J424" s="86" t="str">
        <f t="shared" ref="J424" si="2167">IF(G424="","",F424-G424)</f>
        <v/>
      </c>
      <c r="K424" s="83" t="str">
        <f t="shared" ref="K424" si="2168">IF(M426="","",K423-M424)</f>
        <v/>
      </c>
      <c r="L424" s="87" t="str">
        <f t="shared" ref="L424" si="2169">IF(N426="","",K423-N424)</f>
        <v/>
      </c>
      <c r="M424" s="85" t="str">
        <f t="shared" ref="M424:N424" si="2170">IF(M426="","",IF(OR($A426="集水",$A426="吸水"),0.4,""))</f>
        <v/>
      </c>
      <c r="N424" s="85" t="str">
        <f t="shared" si="2170"/>
        <v/>
      </c>
      <c r="O424" s="86" t="str">
        <f t="shared" ref="O424" si="2171">IF(L424="","",K424-L424)</f>
        <v/>
      </c>
      <c r="P424" s="83" t="str">
        <f t="shared" ref="P424" si="2172">IF(R426="","",P423-R424)</f>
        <v/>
      </c>
      <c r="Q424" s="84" t="str">
        <f t="shared" ref="Q424" si="2173">IF(S426="","",P423-S424)</f>
        <v/>
      </c>
      <c r="R424" s="85" t="str">
        <f t="shared" ref="R424:S424" si="2174">IF(OR($A426="集水",$A426="吸水"),0.4,"")</f>
        <v/>
      </c>
      <c r="S424" s="85" t="str">
        <f t="shared" si="2174"/>
        <v/>
      </c>
      <c r="T424" s="86" t="str">
        <f t="shared" ref="T424" si="2175">IF(Q424="","",P424-Q424)</f>
        <v/>
      </c>
      <c r="U424" s="88"/>
      <c r="V424" s="89"/>
    </row>
    <row r="425" spans="1:22" ht="9" customHeight="1" x14ac:dyDescent="0.55000000000000004">
      <c r="A425" s="90"/>
      <c r="B425" s="91"/>
      <c r="C425" s="92" t="str">
        <f t="shared" ref="C425" si="2176">IF(B423="","",B425-B423)</f>
        <v/>
      </c>
      <c r="D425" s="91"/>
      <c r="E425" s="93" t="str">
        <f t="shared" ref="E425" si="2177">IF(D423="","",D425-D423)</f>
        <v/>
      </c>
      <c r="F425" s="94"/>
      <c r="G425" s="85"/>
      <c r="H425" s="85"/>
      <c r="I425" s="95"/>
      <c r="J425" s="86"/>
      <c r="K425" s="94"/>
      <c r="L425" s="85"/>
      <c r="M425" s="85"/>
      <c r="N425" s="95"/>
      <c r="O425" s="86"/>
      <c r="P425" s="94"/>
      <c r="Q425" s="85"/>
      <c r="R425" s="85"/>
      <c r="S425" s="95"/>
      <c r="T425" s="86"/>
      <c r="U425" s="96"/>
      <c r="V425" s="97"/>
    </row>
    <row r="426" spans="1:22" ht="9" customHeight="1" x14ac:dyDescent="0.55000000000000004">
      <c r="A426" s="98"/>
      <c r="B426" s="99"/>
      <c r="C426" s="100"/>
      <c r="D426" s="99"/>
      <c r="E426" s="101"/>
      <c r="F426" s="102" t="str">
        <f t="shared" ref="F426" si="2178">IF(H426="","",F423-H426)</f>
        <v/>
      </c>
      <c r="G426" s="103" t="str">
        <f t="shared" ref="G426" si="2179">IF(I426="","",F423-I426)</f>
        <v/>
      </c>
      <c r="H426" s="104"/>
      <c r="I426" s="104"/>
      <c r="J426" s="105"/>
      <c r="K426" s="106" t="str">
        <f t="shared" ref="K426" si="2180">IF(M426="","",K423-M426)</f>
        <v/>
      </c>
      <c r="L426" s="103" t="str">
        <f t="shared" ref="L426" si="2181">IF(N426="","",K423-N426)</f>
        <v/>
      </c>
      <c r="M426" s="104"/>
      <c r="N426" s="107"/>
      <c r="O426" s="105"/>
      <c r="P426" s="102" t="str">
        <f t="shared" ref="P426" si="2182">IF(R426="","",P423-R426)</f>
        <v/>
      </c>
      <c r="Q426" s="103" t="str">
        <f t="shared" ref="Q426" si="2183">IF(S426="","",P423-S426)</f>
        <v/>
      </c>
      <c r="R426" s="104"/>
      <c r="S426" s="104"/>
      <c r="T426" s="105"/>
      <c r="U426" s="108"/>
      <c r="V426" s="109"/>
    </row>
    <row r="427" spans="1:22" ht="9" customHeight="1" x14ac:dyDescent="0.55000000000000004">
      <c r="A427" s="19"/>
      <c r="B427" s="69"/>
      <c r="C427" s="70"/>
      <c r="D427" s="69"/>
      <c r="E427" s="71"/>
      <c r="F427" s="72"/>
      <c r="G427" s="73"/>
      <c r="H427" s="74"/>
      <c r="I427" s="75"/>
      <c r="J427" s="76"/>
      <c r="K427" s="72"/>
      <c r="L427" s="73"/>
      <c r="M427" s="74"/>
      <c r="N427" s="75"/>
      <c r="O427" s="76"/>
      <c r="P427" s="72"/>
      <c r="Q427" s="73"/>
      <c r="R427" s="74"/>
      <c r="S427" s="75"/>
      <c r="T427" s="76"/>
      <c r="U427" s="77" t="str">
        <f t="shared" ref="U427" si="2184">IF(OR(F430="",P430=""),"",B427/(F430-P430))</f>
        <v/>
      </c>
      <c r="V427" s="78"/>
    </row>
    <row r="428" spans="1:22" ht="9" customHeight="1" x14ac:dyDescent="0.55000000000000004">
      <c r="A428" s="79"/>
      <c r="B428" s="80"/>
      <c r="C428" s="81"/>
      <c r="D428" s="80"/>
      <c r="E428" s="82"/>
      <c r="F428" s="83" t="str">
        <f t="shared" ref="F428" si="2185">IF(H430="","",F427-H428)</f>
        <v/>
      </c>
      <c r="G428" s="84" t="str">
        <f t="shared" ref="G428" si="2186">IF(I430="","",F427-I428)</f>
        <v/>
      </c>
      <c r="H428" s="85" t="str">
        <f t="shared" ref="H428:I428" si="2187">IF(OR($A430="集水",$A430="吸水"),0.4,"")</f>
        <v/>
      </c>
      <c r="I428" s="85" t="str">
        <f t="shared" si="2187"/>
        <v/>
      </c>
      <c r="J428" s="86" t="str">
        <f t="shared" ref="J428" si="2188">IF(G428="","",F428-G428)</f>
        <v/>
      </c>
      <c r="K428" s="83" t="str">
        <f t="shared" ref="K428" si="2189">IF(M430="","",K427-M428)</f>
        <v/>
      </c>
      <c r="L428" s="87" t="str">
        <f t="shared" ref="L428" si="2190">IF(N430="","",K427-N428)</f>
        <v/>
      </c>
      <c r="M428" s="85" t="str">
        <f t="shared" ref="M428:N428" si="2191">IF(M430="","",IF(OR($A430="集水",$A430="吸水"),0.4,""))</f>
        <v/>
      </c>
      <c r="N428" s="85" t="str">
        <f t="shared" si="2191"/>
        <v/>
      </c>
      <c r="O428" s="86" t="str">
        <f t="shared" ref="O428" si="2192">IF(L428="","",K428-L428)</f>
        <v/>
      </c>
      <c r="P428" s="83" t="str">
        <f t="shared" ref="P428" si="2193">IF(R430="","",P427-R428)</f>
        <v/>
      </c>
      <c r="Q428" s="84" t="str">
        <f t="shared" ref="Q428" si="2194">IF(S430="","",P427-S428)</f>
        <v/>
      </c>
      <c r="R428" s="85" t="str">
        <f t="shared" ref="R428:S428" si="2195">IF(OR($A430="集水",$A430="吸水"),0.4,"")</f>
        <v/>
      </c>
      <c r="S428" s="85" t="str">
        <f t="shared" si="2195"/>
        <v/>
      </c>
      <c r="T428" s="86" t="str">
        <f t="shared" ref="T428" si="2196">IF(Q428="","",P428-Q428)</f>
        <v/>
      </c>
      <c r="U428" s="88"/>
      <c r="V428" s="89"/>
    </row>
    <row r="429" spans="1:22" ht="9" customHeight="1" x14ac:dyDescent="0.55000000000000004">
      <c r="A429" s="90"/>
      <c r="B429" s="91"/>
      <c r="C429" s="92" t="str">
        <f t="shared" ref="C429" si="2197">IF(B427="","",B429-B427)</f>
        <v/>
      </c>
      <c r="D429" s="91"/>
      <c r="E429" s="93" t="str">
        <f t="shared" ref="E429" si="2198">IF(D427="","",D429-D427)</f>
        <v/>
      </c>
      <c r="F429" s="94"/>
      <c r="G429" s="85"/>
      <c r="H429" s="85"/>
      <c r="I429" s="95"/>
      <c r="J429" s="86"/>
      <c r="K429" s="94"/>
      <c r="L429" s="85"/>
      <c r="M429" s="85"/>
      <c r="N429" s="95"/>
      <c r="O429" s="86"/>
      <c r="P429" s="94"/>
      <c r="Q429" s="85"/>
      <c r="R429" s="85"/>
      <c r="S429" s="95"/>
      <c r="T429" s="86"/>
      <c r="U429" s="96"/>
      <c r="V429" s="97"/>
    </row>
    <row r="430" spans="1:22" ht="9" customHeight="1" x14ac:dyDescent="0.55000000000000004">
      <c r="A430" s="98"/>
      <c r="B430" s="99"/>
      <c r="C430" s="100"/>
      <c r="D430" s="99"/>
      <c r="E430" s="101"/>
      <c r="F430" s="102" t="str">
        <f t="shared" ref="F430" si="2199">IF(H430="","",F427-H430)</f>
        <v/>
      </c>
      <c r="G430" s="103" t="str">
        <f t="shared" ref="G430" si="2200">IF(I430="","",F427-I430)</f>
        <v/>
      </c>
      <c r="H430" s="104"/>
      <c r="I430" s="104"/>
      <c r="J430" s="105"/>
      <c r="K430" s="106" t="str">
        <f t="shared" ref="K430" si="2201">IF(M430="","",K427-M430)</f>
        <v/>
      </c>
      <c r="L430" s="103" t="str">
        <f t="shared" ref="L430" si="2202">IF(N430="","",K427-N430)</f>
        <v/>
      </c>
      <c r="M430" s="104"/>
      <c r="N430" s="107"/>
      <c r="O430" s="105"/>
      <c r="P430" s="102" t="str">
        <f t="shared" ref="P430" si="2203">IF(R430="","",P427-R430)</f>
        <v/>
      </c>
      <c r="Q430" s="103" t="str">
        <f t="shared" ref="Q430" si="2204">IF(S430="","",P427-S430)</f>
        <v/>
      </c>
      <c r="R430" s="104"/>
      <c r="S430" s="104"/>
      <c r="T430" s="105"/>
      <c r="U430" s="108"/>
      <c r="V430" s="109"/>
    </row>
    <row r="431" spans="1:22" ht="9" customHeight="1" x14ac:dyDescent="0.55000000000000004">
      <c r="A431" s="19"/>
      <c r="B431" s="69"/>
      <c r="C431" s="70"/>
      <c r="D431" s="69"/>
      <c r="E431" s="71"/>
      <c r="F431" s="72"/>
      <c r="G431" s="73"/>
      <c r="H431" s="74"/>
      <c r="I431" s="75"/>
      <c r="J431" s="76"/>
      <c r="K431" s="72"/>
      <c r="L431" s="73"/>
      <c r="M431" s="74"/>
      <c r="N431" s="75"/>
      <c r="O431" s="76"/>
      <c r="P431" s="72"/>
      <c r="Q431" s="73"/>
      <c r="R431" s="74"/>
      <c r="S431" s="75"/>
      <c r="T431" s="76"/>
      <c r="U431" s="77" t="str">
        <f t="shared" ref="U431" si="2205">IF(OR(F434="",P434=""),"",B431/(F434-P434))</f>
        <v/>
      </c>
      <c r="V431" s="78"/>
    </row>
    <row r="432" spans="1:22" ht="9" customHeight="1" x14ac:dyDescent="0.55000000000000004">
      <c r="A432" s="79"/>
      <c r="B432" s="80"/>
      <c r="C432" s="81"/>
      <c r="D432" s="80"/>
      <c r="E432" s="82"/>
      <c r="F432" s="83" t="str">
        <f t="shared" ref="F432" si="2206">IF(H434="","",F431-H432)</f>
        <v/>
      </c>
      <c r="G432" s="84" t="str">
        <f t="shared" ref="G432" si="2207">IF(I434="","",F431-I432)</f>
        <v/>
      </c>
      <c r="H432" s="85" t="str">
        <f t="shared" ref="H432:I432" si="2208">IF(OR($A434="集水",$A434="吸水"),0.4,"")</f>
        <v/>
      </c>
      <c r="I432" s="85" t="str">
        <f t="shared" si="2208"/>
        <v/>
      </c>
      <c r="J432" s="86" t="str">
        <f t="shared" ref="J432" si="2209">IF(G432="","",F432-G432)</f>
        <v/>
      </c>
      <c r="K432" s="83" t="str">
        <f t="shared" ref="K432" si="2210">IF(M434="","",K431-M432)</f>
        <v/>
      </c>
      <c r="L432" s="87" t="str">
        <f t="shared" ref="L432" si="2211">IF(N434="","",K431-N432)</f>
        <v/>
      </c>
      <c r="M432" s="85" t="str">
        <f t="shared" ref="M432:N432" si="2212">IF(M434="","",IF(OR($A434="集水",$A434="吸水"),0.4,""))</f>
        <v/>
      </c>
      <c r="N432" s="85" t="str">
        <f t="shared" si="2212"/>
        <v/>
      </c>
      <c r="O432" s="86" t="str">
        <f t="shared" ref="O432" si="2213">IF(L432="","",K432-L432)</f>
        <v/>
      </c>
      <c r="P432" s="83" t="str">
        <f t="shared" ref="P432" si="2214">IF(R434="","",P431-R432)</f>
        <v/>
      </c>
      <c r="Q432" s="84" t="str">
        <f t="shared" ref="Q432" si="2215">IF(S434="","",P431-S432)</f>
        <v/>
      </c>
      <c r="R432" s="85" t="str">
        <f t="shared" ref="R432:S432" si="2216">IF(OR($A434="集水",$A434="吸水"),0.4,"")</f>
        <v/>
      </c>
      <c r="S432" s="85" t="str">
        <f t="shared" si="2216"/>
        <v/>
      </c>
      <c r="T432" s="86" t="str">
        <f t="shared" ref="T432" si="2217">IF(Q432="","",P432-Q432)</f>
        <v/>
      </c>
      <c r="U432" s="88"/>
      <c r="V432" s="89"/>
    </row>
    <row r="433" spans="1:22" ht="9" customHeight="1" x14ac:dyDescent="0.55000000000000004">
      <c r="A433" s="90"/>
      <c r="B433" s="91"/>
      <c r="C433" s="92" t="str">
        <f t="shared" ref="C433" si="2218">IF(B431="","",B433-B431)</f>
        <v/>
      </c>
      <c r="D433" s="91"/>
      <c r="E433" s="93" t="str">
        <f t="shared" ref="E433" si="2219">IF(D431="","",D433-D431)</f>
        <v/>
      </c>
      <c r="F433" s="94"/>
      <c r="G433" s="85"/>
      <c r="H433" s="85"/>
      <c r="I433" s="95"/>
      <c r="J433" s="86"/>
      <c r="K433" s="94"/>
      <c r="L433" s="85"/>
      <c r="M433" s="85"/>
      <c r="N433" s="95"/>
      <c r="O433" s="86"/>
      <c r="P433" s="94"/>
      <c r="Q433" s="85"/>
      <c r="R433" s="85"/>
      <c r="S433" s="95"/>
      <c r="T433" s="86"/>
      <c r="U433" s="96"/>
      <c r="V433" s="97"/>
    </row>
    <row r="434" spans="1:22" ht="9" customHeight="1" x14ac:dyDescent="0.55000000000000004">
      <c r="A434" s="98"/>
      <c r="B434" s="99"/>
      <c r="C434" s="100"/>
      <c r="D434" s="99"/>
      <c r="E434" s="101"/>
      <c r="F434" s="102" t="str">
        <f t="shared" ref="F434" si="2220">IF(H434="","",F431-H434)</f>
        <v/>
      </c>
      <c r="G434" s="103" t="str">
        <f t="shared" ref="G434" si="2221">IF(I434="","",F431-I434)</f>
        <v/>
      </c>
      <c r="H434" s="104"/>
      <c r="I434" s="104"/>
      <c r="J434" s="105"/>
      <c r="K434" s="106" t="str">
        <f t="shared" ref="K434" si="2222">IF(M434="","",K431-M434)</f>
        <v/>
      </c>
      <c r="L434" s="103" t="str">
        <f t="shared" ref="L434" si="2223">IF(N434="","",K431-N434)</f>
        <v/>
      </c>
      <c r="M434" s="104"/>
      <c r="N434" s="107"/>
      <c r="O434" s="105"/>
      <c r="P434" s="102" t="str">
        <f t="shared" ref="P434" si="2224">IF(R434="","",P431-R434)</f>
        <v/>
      </c>
      <c r="Q434" s="103" t="str">
        <f t="shared" ref="Q434" si="2225">IF(S434="","",P431-S434)</f>
        <v/>
      </c>
      <c r="R434" s="104"/>
      <c r="S434" s="104"/>
      <c r="T434" s="105"/>
      <c r="U434" s="108"/>
      <c r="V434" s="109"/>
    </row>
    <row r="435" spans="1:22" ht="9" customHeight="1" x14ac:dyDescent="0.55000000000000004">
      <c r="A435" s="19"/>
      <c r="B435" s="69"/>
      <c r="C435" s="70"/>
      <c r="D435" s="69"/>
      <c r="E435" s="71"/>
      <c r="F435" s="72"/>
      <c r="G435" s="73"/>
      <c r="H435" s="74"/>
      <c r="I435" s="75"/>
      <c r="J435" s="76"/>
      <c r="K435" s="72"/>
      <c r="L435" s="73"/>
      <c r="M435" s="74"/>
      <c r="N435" s="75"/>
      <c r="O435" s="76"/>
      <c r="P435" s="72"/>
      <c r="Q435" s="73"/>
      <c r="R435" s="74"/>
      <c r="S435" s="75"/>
      <c r="T435" s="76"/>
      <c r="U435" s="77" t="str">
        <f t="shared" ref="U435" si="2226">IF(OR(F438="",P438=""),"",B435/(F438-P438))</f>
        <v/>
      </c>
      <c r="V435" s="78"/>
    </row>
    <row r="436" spans="1:22" ht="9" customHeight="1" x14ac:dyDescent="0.55000000000000004">
      <c r="A436" s="79"/>
      <c r="B436" s="80"/>
      <c r="C436" s="81"/>
      <c r="D436" s="80"/>
      <c r="E436" s="82"/>
      <c r="F436" s="83" t="str">
        <f t="shared" ref="F436" si="2227">IF(H438="","",F435-H436)</f>
        <v/>
      </c>
      <c r="G436" s="84" t="str">
        <f t="shared" ref="G436" si="2228">IF(I438="","",F435-I436)</f>
        <v/>
      </c>
      <c r="H436" s="85" t="str">
        <f t="shared" ref="H436:I436" si="2229">IF(OR($A438="集水",$A438="吸水"),0.4,"")</f>
        <v/>
      </c>
      <c r="I436" s="85" t="str">
        <f t="shared" si="2229"/>
        <v/>
      </c>
      <c r="J436" s="86" t="str">
        <f t="shared" ref="J436" si="2230">IF(G436="","",F436-G436)</f>
        <v/>
      </c>
      <c r="K436" s="83" t="str">
        <f t="shared" ref="K436" si="2231">IF(M438="","",K435-M436)</f>
        <v/>
      </c>
      <c r="L436" s="87" t="str">
        <f t="shared" ref="L436" si="2232">IF(N438="","",K435-N436)</f>
        <v/>
      </c>
      <c r="M436" s="85" t="str">
        <f t="shared" ref="M436:N436" si="2233">IF(M438="","",IF(OR($A438="集水",$A438="吸水"),0.4,""))</f>
        <v/>
      </c>
      <c r="N436" s="85" t="str">
        <f t="shared" si="2233"/>
        <v/>
      </c>
      <c r="O436" s="86" t="str">
        <f t="shared" ref="O436" si="2234">IF(L436="","",K436-L436)</f>
        <v/>
      </c>
      <c r="P436" s="83" t="str">
        <f t="shared" ref="P436" si="2235">IF(R438="","",P435-R436)</f>
        <v/>
      </c>
      <c r="Q436" s="84" t="str">
        <f t="shared" ref="Q436" si="2236">IF(S438="","",P435-S436)</f>
        <v/>
      </c>
      <c r="R436" s="85" t="str">
        <f t="shared" ref="R436:S436" si="2237">IF(OR($A438="集水",$A438="吸水"),0.4,"")</f>
        <v/>
      </c>
      <c r="S436" s="85" t="str">
        <f t="shared" si="2237"/>
        <v/>
      </c>
      <c r="T436" s="86" t="str">
        <f t="shared" ref="T436" si="2238">IF(Q436="","",P436-Q436)</f>
        <v/>
      </c>
      <c r="U436" s="88"/>
      <c r="V436" s="89"/>
    </row>
    <row r="437" spans="1:22" ht="9" customHeight="1" x14ac:dyDescent="0.55000000000000004">
      <c r="A437" s="90"/>
      <c r="B437" s="91"/>
      <c r="C437" s="92" t="str">
        <f t="shared" ref="C437" si="2239">IF(B435="","",B437-B435)</f>
        <v/>
      </c>
      <c r="D437" s="91"/>
      <c r="E437" s="93" t="str">
        <f t="shared" ref="E437" si="2240">IF(D435="","",D437-D435)</f>
        <v/>
      </c>
      <c r="F437" s="94"/>
      <c r="G437" s="85"/>
      <c r="H437" s="85"/>
      <c r="I437" s="95"/>
      <c r="J437" s="86"/>
      <c r="K437" s="94"/>
      <c r="L437" s="85"/>
      <c r="M437" s="85"/>
      <c r="N437" s="95"/>
      <c r="O437" s="86"/>
      <c r="P437" s="94"/>
      <c r="Q437" s="85"/>
      <c r="R437" s="85"/>
      <c r="S437" s="95"/>
      <c r="T437" s="86"/>
      <c r="U437" s="96"/>
      <c r="V437" s="97"/>
    </row>
    <row r="438" spans="1:22" ht="9" customHeight="1" x14ac:dyDescent="0.55000000000000004">
      <c r="A438" s="98"/>
      <c r="B438" s="99"/>
      <c r="C438" s="100"/>
      <c r="D438" s="99"/>
      <c r="E438" s="101"/>
      <c r="F438" s="102" t="str">
        <f t="shared" ref="F438" si="2241">IF(H438="","",F435-H438)</f>
        <v/>
      </c>
      <c r="G438" s="103" t="str">
        <f t="shared" ref="G438" si="2242">IF(I438="","",F435-I438)</f>
        <v/>
      </c>
      <c r="H438" s="104"/>
      <c r="I438" s="104"/>
      <c r="J438" s="105"/>
      <c r="K438" s="106" t="str">
        <f t="shared" ref="K438" si="2243">IF(M438="","",K435-M438)</f>
        <v/>
      </c>
      <c r="L438" s="103" t="str">
        <f t="shared" ref="L438" si="2244">IF(N438="","",K435-N438)</f>
        <v/>
      </c>
      <c r="M438" s="104"/>
      <c r="N438" s="107"/>
      <c r="O438" s="105"/>
      <c r="P438" s="102" t="str">
        <f t="shared" ref="P438" si="2245">IF(R438="","",P435-R438)</f>
        <v/>
      </c>
      <c r="Q438" s="103" t="str">
        <f t="shared" ref="Q438" si="2246">IF(S438="","",P435-S438)</f>
        <v/>
      </c>
      <c r="R438" s="104"/>
      <c r="S438" s="104"/>
      <c r="T438" s="105"/>
      <c r="U438" s="108"/>
      <c r="V438" s="109"/>
    </row>
    <row r="439" spans="1:22" ht="9" customHeight="1" x14ac:dyDescent="0.55000000000000004">
      <c r="A439" s="19"/>
      <c r="B439" s="69"/>
      <c r="C439" s="70"/>
      <c r="D439" s="69"/>
      <c r="E439" s="71"/>
      <c r="F439" s="72"/>
      <c r="G439" s="73"/>
      <c r="H439" s="74"/>
      <c r="I439" s="75"/>
      <c r="J439" s="76"/>
      <c r="K439" s="72"/>
      <c r="L439" s="73"/>
      <c r="M439" s="74"/>
      <c r="N439" s="75"/>
      <c r="O439" s="76"/>
      <c r="P439" s="72"/>
      <c r="Q439" s="73"/>
      <c r="R439" s="74"/>
      <c r="S439" s="75"/>
      <c r="T439" s="76"/>
      <c r="U439" s="77" t="str">
        <f t="shared" ref="U439" si="2247">IF(OR(F442="",P442=""),"",B439/(F442-P442))</f>
        <v/>
      </c>
      <c r="V439" s="78"/>
    </row>
    <row r="440" spans="1:22" ht="9" customHeight="1" x14ac:dyDescent="0.55000000000000004">
      <c r="A440" s="79"/>
      <c r="B440" s="80"/>
      <c r="C440" s="81"/>
      <c r="D440" s="80"/>
      <c r="E440" s="82"/>
      <c r="F440" s="83" t="str">
        <f t="shared" ref="F440" si="2248">IF(H442="","",F439-H440)</f>
        <v/>
      </c>
      <c r="G440" s="84" t="str">
        <f t="shared" ref="G440" si="2249">IF(I442="","",F439-I440)</f>
        <v/>
      </c>
      <c r="H440" s="85" t="str">
        <f t="shared" ref="H440:I440" si="2250">IF(OR($A442="集水",$A442="吸水"),0.4,"")</f>
        <v/>
      </c>
      <c r="I440" s="85" t="str">
        <f t="shared" si="2250"/>
        <v/>
      </c>
      <c r="J440" s="86" t="str">
        <f t="shared" ref="J440" si="2251">IF(G440="","",F440-G440)</f>
        <v/>
      </c>
      <c r="K440" s="83" t="str">
        <f t="shared" ref="K440" si="2252">IF(M442="","",K439-M440)</f>
        <v/>
      </c>
      <c r="L440" s="87" t="str">
        <f t="shared" ref="L440" si="2253">IF(N442="","",K439-N440)</f>
        <v/>
      </c>
      <c r="M440" s="85" t="str">
        <f t="shared" ref="M440:N440" si="2254">IF(M442="","",IF(OR($A442="集水",$A442="吸水"),0.4,""))</f>
        <v/>
      </c>
      <c r="N440" s="85" t="str">
        <f t="shared" si="2254"/>
        <v/>
      </c>
      <c r="O440" s="86" t="str">
        <f t="shared" ref="O440" si="2255">IF(L440="","",K440-L440)</f>
        <v/>
      </c>
      <c r="P440" s="83" t="str">
        <f t="shared" ref="P440" si="2256">IF(R442="","",P439-R440)</f>
        <v/>
      </c>
      <c r="Q440" s="84" t="str">
        <f t="shared" ref="Q440" si="2257">IF(S442="","",P439-S440)</f>
        <v/>
      </c>
      <c r="R440" s="85" t="str">
        <f t="shared" ref="R440:S440" si="2258">IF(OR($A442="集水",$A442="吸水"),0.4,"")</f>
        <v/>
      </c>
      <c r="S440" s="85" t="str">
        <f t="shared" si="2258"/>
        <v/>
      </c>
      <c r="T440" s="86" t="str">
        <f t="shared" ref="T440" si="2259">IF(Q440="","",P440-Q440)</f>
        <v/>
      </c>
      <c r="U440" s="88"/>
      <c r="V440" s="89"/>
    </row>
    <row r="441" spans="1:22" ht="9" customHeight="1" x14ac:dyDescent="0.55000000000000004">
      <c r="A441" s="90"/>
      <c r="B441" s="91"/>
      <c r="C441" s="92" t="str">
        <f t="shared" ref="C441" si="2260">IF(B439="","",B441-B439)</f>
        <v/>
      </c>
      <c r="D441" s="91"/>
      <c r="E441" s="93" t="str">
        <f t="shared" ref="E441" si="2261">IF(D439="","",D441-D439)</f>
        <v/>
      </c>
      <c r="F441" s="94"/>
      <c r="G441" s="85"/>
      <c r="H441" s="85"/>
      <c r="I441" s="95"/>
      <c r="J441" s="86"/>
      <c r="K441" s="94"/>
      <c r="L441" s="85"/>
      <c r="M441" s="85"/>
      <c r="N441" s="95"/>
      <c r="O441" s="86"/>
      <c r="P441" s="94"/>
      <c r="Q441" s="85"/>
      <c r="R441" s="85"/>
      <c r="S441" s="95"/>
      <c r="T441" s="86"/>
      <c r="U441" s="96"/>
      <c r="V441" s="97"/>
    </row>
    <row r="442" spans="1:22" ht="9" customHeight="1" x14ac:dyDescent="0.55000000000000004">
      <c r="A442" s="98"/>
      <c r="B442" s="99"/>
      <c r="C442" s="100"/>
      <c r="D442" s="99"/>
      <c r="E442" s="101"/>
      <c r="F442" s="102" t="str">
        <f t="shared" ref="F442" si="2262">IF(H442="","",F439-H442)</f>
        <v/>
      </c>
      <c r="G442" s="103" t="str">
        <f t="shared" ref="G442" si="2263">IF(I442="","",F439-I442)</f>
        <v/>
      </c>
      <c r="H442" s="104"/>
      <c r="I442" s="104"/>
      <c r="J442" s="105"/>
      <c r="K442" s="106" t="str">
        <f t="shared" ref="K442" si="2264">IF(M442="","",K439-M442)</f>
        <v/>
      </c>
      <c r="L442" s="103" t="str">
        <f t="shared" ref="L442" si="2265">IF(N442="","",K439-N442)</f>
        <v/>
      </c>
      <c r="M442" s="104"/>
      <c r="N442" s="107"/>
      <c r="O442" s="105"/>
      <c r="P442" s="102" t="str">
        <f t="shared" ref="P442" si="2266">IF(R442="","",P439-R442)</f>
        <v/>
      </c>
      <c r="Q442" s="103" t="str">
        <f t="shared" ref="Q442" si="2267">IF(S442="","",P439-S442)</f>
        <v/>
      </c>
      <c r="R442" s="104"/>
      <c r="S442" s="104"/>
      <c r="T442" s="105"/>
      <c r="U442" s="108"/>
      <c r="V442" s="109"/>
    </row>
    <row r="443" spans="1:22" ht="9" customHeight="1" x14ac:dyDescent="0.55000000000000004">
      <c r="A443" s="19"/>
      <c r="B443" s="69"/>
      <c r="C443" s="70"/>
      <c r="D443" s="69"/>
      <c r="E443" s="71"/>
      <c r="F443" s="72"/>
      <c r="G443" s="73"/>
      <c r="H443" s="74"/>
      <c r="I443" s="75"/>
      <c r="J443" s="76"/>
      <c r="K443" s="72"/>
      <c r="L443" s="73"/>
      <c r="M443" s="74"/>
      <c r="N443" s="75"/>
      <c r="O443" s="76"/>
      <c r="P443" s="72"/>
      <c r="Q443" s="73"/>
      <c r="R443" s="74"/>
      <c r="S443" s="75"/>
      <c r="T443" s="76"/>
      <c r="U443" s="77" t="str">
        <f t="shared" ref="U443" si="2268">IF(OR(F446="",P446=""),"",B443/(F446-P446))</f>
        <v/>
      </c>
      <c r="V443" s="78"/>
    </row>
    <row r="444" spans="1:22" ht="9" customHeight="1" x14ac:dyDescent="0.55000000000000004">
      <c r="A444" s="79"/>
      <c r="B444" s="80"/>
      <c r="C444" s="81"/>
      <c r="D444" s="80"/>
      <c r="E444" s="82"/>
      <c r="F444" s="83" t="str">
        <f t="shared" ref="F444" si="2269">IF(H446="","",F443-H444)</f>
        <v/>
      </c>
      <c r="G444" s="84" t="str">
        <f t="shared" ref="G444" si="2270">IF(I446="","",F443-I444)</f>
        <v/>
      </c>
      <c r="H444" s="85" t="str">
        <f t="shared" ref="H444:I444" si="2271">IF(OR($A446="集水",$A446="吸水"),0.4,"")</f>
        <v/>
      </c>
      <c r="I444" s="85" t="str">
        <f t="shared" si="2271"/>
        <v/>
      </c>
      <c r="J444" s="86" t="str">
        <f t="shared" ref="J444" si="2272">IF(G444="","",F444-G444)</f>
        <v/>
      </c>
      <c r="K444" s="83" t="str">
        <f t="shared" ref="K444" si="2273">IF(M446="","",K443-M444)</f>
        <v/>
      </c>
      <c r="L444" s="87" t="str">
        <f t="shared" ref="L444" si="2274">IF(N446="","",K443-N444)</f>
        <v/>
      </c>
      <c r="M444" s="85" t="str">
        <f t="shared" ref="M444:N444" si="2275">IF(M446="","",IF(OR($A446="集水",$A446="吸水"),0.4,""))</f>
        <v/>
      </c>
      <c r="N444" s="85" t="str">
        <f t="shared" si="2275"/>
        <v/>
      </c>
      <c r="O444" s="86" t="str">
        <f t="shared" ref="O444" si="2276">IF(L444="","",K444-L444)</f>
        <v/>
      </c>
      <c r="P444" s="83" t="str">
        <f t="shared" ref="P444" si="2277">IF(R446="","",P443-R444)</f>
        <v/>
      </c>
      <c r="Q444" s="84" t="str">
        <f t="shared" ref="Q444" si="2278">IF(S446="","",P443-S444)</f>
        <v/>
      </c>
      <c r="R444" s="85" t="str">
        <f t="shared" ref="R444:S444" si="2279">IF(OR($A446="集水",$A446="吸水"),0.4,"")</f>
        <v/>
      </c>
      <c r="S444" s="85" t="str">
        <f t="shared" si="2279"/>
        <v/>
      </c>
      <c r="T444" s="86" t="str">
        <f t="shared" ref="T444" si="2280">IF(Q444="","",P444-Q444)</f>
        <v/>
      </c>
      <c r="U444" s="88"/>
      <c r="V444" s="89"/>
    </row>
    <row r="445" spans="1:22" ht="9" customHeight="1" x14ac:dyDescent="0.55000000000000004">
      <c r="A445" s="90"/>
      <c r="B445" s="91"/>
      <c r="C445" s="92" t="str">
        <f t="shared" ref="C445" si="2281">IF(B443="","",B445-B443)</f>
        <v/>
      </c>
      <c r="D445" s="91"/>
      <c r="E445" s="93" t="str">
        <f t="shared" ref="E445" si="2282">IF(D443="","",D445-D443)</f>
        <v/>
      </c>
      <c r="F445" s="94"/>
      <c r="G445" s="85"/>
      <c r="H445" s="85"/>
      <c r="I445" s="95"/>
      <c r="J445" s="86"/>
      <c r="K445" s="94"/>
      <c r="L445" s="85"/>
      <c r="M445" s="85"/>
      <c r="N445" s="95"/>
      <c r="O445" s="86"/>
      <c r="P445" s="94"/>
      <c r="Q445" s="85"/>
      <c r="R445" s="85"/>
      <c r="S445" s="95"/>
      <c r="T445" s="86"/>
      <c r="U445" s="96"/>
      <c r="V445" s="97"/>
    </row>
    <row r="446" spans="1:22" ht="9" customHeight="1" x14ac:dyDescent="0.55000000000000004">
      <c r="A446" s="98"/>
      <c r="B446" s="99"/>
      <c r="C446" s="100"/>
      <c r="D446" s="99"/>
      <c r="E446" s="101"/>
      <c r="F446" s="102" t="str">
        <f t="shared" ref="F446" si="2283">IF(H446="","",F443-H446)</f>
        <v/>
      </c>
      <c r="G446" s="103" t="str">
        <f t="shared" ref="G446" si="2284">IF(I446="","",F443-I446)</f>
        <v/>
      </c>
      <c r="H446" s="104"/>
      <c r="I446" s="104"/>
      <c r="J446" s="105"/>
      <c r="K446" s="106" t="str">
        <f t="shared" ref="K446" si="2285">IF(M446="","",K443-M446)</f>
        <v/>
      </c>
      <c r="L446" s="103" t="str">
        <f t="shared" ref="L446" si="2286">IF(N446="","",K443-N446)</f>
        <v/>
      </c>
      <c r="M446" s="104"/>
      <c r="N446" s="107"/>
      <c r="O446" s="105"/>
      <c r="P446" s="102" t="str">
        <f t="shared" ref="P446" si="2287">IF(R446="","",P443-R446)</f>
        <v/>
      </c>
      <c r="Q446" s="103" t="str">
        <f t="shared" ref="Q446" si="2288">IF(S446="","",P443-S446)</f>
        <v/>
      </c>
      <c r="R446" s="104"/>
      <c r="S446" s="104"/>
      <c r="T446" s="105"/>
      <c r="U446" s="108"/>
      <c r="V446" s="109"/>
    </row>
    <row r="447" spans="1:22" ht="9" customHeight="1" x14ac:dyDescent="0.55000000000000004">
      <c r="A447" s="19"/>
      <c r="B447" s="69"/>
      <c r="C447" s="70"/>
      <c r="D447" s="69"/>
      <c r="E447" s="71"/>
      <c r="F447" s="72"/>
      <c r="G447" s="73"/>
      <c r="H447" s="74"/>
      <c r="I447" s="75"/>
      <c r="J447" s="76"/>
      <c r="K447" s="72"/>
      <c r="L447" s="73"/>
      <c r="M447" s="74"/>
      <c r="N447" s="75"/>
      <c r="O447" s="76"/>
      <c r="P447" s="72"/>
      <c r="Q447" s="73"/>
      <c r="R447" s="74"/>
      <c r="S447" s="75"/>
      <c r="T447" s="76"/>
      <c r="U447" s="77" t="str">
        <f t="shared" ref="U447" si="2289">IF(OR(F450="",P450=""),"",B447/(F450-P450))</f>
        <v/>
      </c>
      <c r="V447" s="78"/>
    </row>
    <row r="448" spans="1:22" ht="9" customHeight="1" x14ac:dyDescent="0.55000000000000004">
      <c r="A448" s="79"/>
      <c r="B448" s="80"/>
      <c r="C448" s="81"/>
      <c r="D448" s="80"/>
      <c r="E448" s="82"/>
      <c r="F448" s="83" t="str">
        <f t="shared" ref="F448" si="2290">IF(H450="","",F447-H448)</f>
        <v/>
      </c>
      <c r="G448" s="84" t="str">
        <f t="shared" ref="G448" si="2291">IF(I450="","",F447-I448)</f>
        <v/>
      </c>
      <c r="H448" s="85" t="str">
        <f t="shared" ref="H448:I448" si="2292">IF(OR($A450="集水",$A450="吸水"),0.4,"")</f>
        <v/>
      </c>
      <c r="I448" s="85" t="str">
        <f t="shared" si="2292"/>
        <v/>
      </c>
      <c r="J448" s="86" t="str">
        <f t="shared" ref="J448" si="2293">IF(G448="","",F448-G448)</f>
        <v/>
      </c>
      <c r="K448" s="83" t="str">
        <f t="shared" ref="K448" si="2294">IF(M450="","",K447-M448)</f>
        <v/>
      </c>
      <c r="L448" s="87" t="str">
        <f t="shared" ref="L448" si="2295">IF(N450="","",K447-N448)</f>
        <v/>
      </c>
      <c r="M448" s="85" t="str">
        <f t="shared" ref="M448:N448" si="2296">IF(M450="","",IF(OR($A450="集水",$A450="吸水"),0.4,""))</f>
        <v/>
      </c>
      <c r="N448" s="85" t="str">
        <f t="shared" si="2296"/>
        <v/>
      </c>
      <c r="O448" s="86" t="str">
        <f t="shared" ref="O448" si="2297">IF(L448="","",K448-L448)</f>
        <v/>
      </c>
      <c r="P448" s="83" t="str">
        <f t="shared" ref="P448" si="2298">IF(R450="","",P447-R448)</f>
        <v/>
      </c>
      <c r="Q448" s="84" t="str">
        <f t="shared" ref="Q448" si="2299">IF(S450="","",P447-S448)</f>
        <v/>
      </c>
      <c r="R448" s="85" t="str">
        <f t="shared" ref="R448:S448" si="2300">IF(OR($A450="集水",$A450="吸水"),0.4,"")</f>
        <v/>
      </c>
      <c r="S448" s="85" t="str">
        <f t="shared" si="2300"/>
        <v/>
      </c>
      <c r="T448" s="86" t="str">
        <f t="shared" ref="T448" si="2301">IF(Q448="","",P448-Q448)</f>
        <v/>
      </c>
      <c r="U448" s="88"/>
      <c r="V448" s="89"/>
    </row>
    <row r="449" spans="1:22" ht="9" customHeight="1" x14ac:dyDescent="0.55000000000000004">
      <c r="A449" s="90"/>
      <c r="B449" s="91"/>
      <c r="C449" s="92" t="str">
        <f t="shared" ref="C449" si="2302">IF(B447="","",B449-B447)</f>
        <v/>
      </c>
      <c r="D449" s="91"/>
      <c r="E449" s="93" t="str">
        <f t="shared" ref="E449" si="2303">IF(D447="","",D449-D447)</f>
        <v/>
      </c>
      <c r="F449" s="94"/>
      <c r="G449" s="85"/>
      <c r="H449" s="85"/>
      <c r="I449" s="95"/>
      <c r="J449" s="86"/>
      <c r="K449" s="94"/>
      <c r="L449" s="85"/>
      <c r="M449" s="85"/>
      <c r="N449" s="95"/>
      <c r="O449" s="86"/>
      <c r="P449" s="94"/>
      <c r="Q449" s="85"/>
      <c r="R449" s="85"/>
      <c r="S449" s="95"/>
      <c r="T449" s="86"/>
      <c r="U449" s="96"/>
      <c r="V449" s="97"/>
    </row>
    <row r="450" spans="1:22" ht="9" customHeight="1" x14ac:dyDescent="0.55000000000000004">
      <c r="A450" s="98"/>
      <c r="B450" s="99"/>
      <c r="C450" s="100"/>
      <c r="D450" s="99"/>
      <c r="E450" s="101"/>
      <c r="F450" s="102" t="str">
        <f t="shared" ref="F450" si="2304">IF(H450="","",F447-H450)</f>
        <v/>
      </c>
      <c r="G450" s="103" t="str">
        <f t="shared" ref="G450" si="2305">IF(I450="","",F447-I450)</f>
        <v/>
      </c>
      <c r="H450" s="104"/>
      <c r="I450" s="104"/>
      <c r="J450" s="105"/>
      <c r="K450" s="106" t="str">
        <f t="shared" ref="K450" si="2306">IF(M450="","",K447-M450)</f>
        <v/>
      </c>
      <c r="L450" s="103" t="str">
        <f t="shared" ref="L450" si="2307">IF(N450="","",K447-N450)</f>
        <v/>
      </c>
      <c r="M450" s="104"/>
      <c r="N450" s="107"/>
      <c r="O450" s="105"/>
      <c r="P450" s="102" t="str">
        <f t="shared" ref="P450" si="2308">IF(R450="","",P447-R450)</f>
        <v/>
      </c>
      <c r="Q450" s="103" t="str">
        <f t="shared" ref="Q450" si="2309">IF(S450="","",P447-S450)</f>
        <v/>
      </c>
      <c r="R450" s="104"/>
      <c r="S450" s="104"/>
      <c r="T450" s="105"/>
      <c r="U450" s="108"/>
      <c r="V450" s="109"/>
    </row>
    <row r="451" spans="1:22" ht="9" customHeight="1" x14ac:dyDescent="0.55000000000000004">
      <c r="A451" s="19"/>
      <c r="B451" s="69"/>
      <c r="C451" s="70"/>
      <c r="D451" s="69"/>
      <c r="E451" s="71"/>
      <c r="F451" s="72"/>
      <c r="G451" s="73"/>
      <c r="H451" s="74"/>
      <c r="I451" s="75"/>
      <c r="J451" s="76"/>
      <c r="K451" s="72"/>
      <c r="L451" s="73"/>
      <c r="M451" s="74"/>
      <c r="N451" s="75"/>
      <c r="O451" s="76"/>
      <c r="P451" s="72"/>
      <c r="Q451" s="73"/>
      <c r="R451" s="74"/>
      <c r="S451" s="75"/>
      <c r="T451" s="76"/>
      <c r="U451" s="77" t="str">
        <f>IF(OR(F454="",P454=""),"",B451/(F454-P454))</f>
        <v/>
      </c>
      <c r="V451" s="78"/>
    </row>
    <row r="452" spans="1:22" ht="9" customHeight="1" x14ac:dyDescent="0.55000000000000004">
      <c r="A452" s="79"/>
      <c r="B452" s="80"/>
      <c r="C452" s="81"/>
      <c r="D452" s="80"/>
      <c r="E452" s="82"/>
      <c r="F452" s="83" t="str">
        <f>IF(H454="","",F451-H452)</f>
        <v/>
      </c>
      <c r="G452" s="84" t="str">
        <f>IF(I454="","",F451-I452)</f>
        <v/>
      </c>
      <c r="H452" s="85" t="str">
        <f>IF(OR($A454="集水",$A454="吸水"),0.4,"")</f>
        <v/>
      </c>
      <c r="I452" s="85" t="str">
        <f>IF(OR($A454="集水",$A454="吸水"),0.4,"")</f>
        <v/>
      </c>
      <c r="J452" s="86" t="str">
        <f>IF(G452="","",F452-G452)</f>
        <v/>
      </c>
      <c r="K452" s="83" t="str">
        <f>IF(M454="","",K451-M452)</f>
        <v/>
      </c>
      <c r="L452" s="87" t="str">
        <f>IF(N454="","",K451-N452)</f>
        <v/>
      </c>
      <c r="M452" s="85" t="str">
        <f>IF(M454="","",IF(OR($A454="集水",$A454="吸水"),0.4,""))</f>
        <v/>
      </c>
      <c r="N452" s="85" t="str">
        <f>IF(N454="","",IF(OR($A454="集水",$A454="吸水"),0.4,""))</f>
        <v/>
      </c>
      <c r="O452" s="86" t="str">
        <f>IF(L452="","",K452-L452)</f>
        <v/>
      </c>
      <c r="P452" s="83" t="str">
        <f>IF(R454="","",P451-R452)</f>
        <v/>
      </c>
      <c r="Q452" s="84" t="str">
        <f>IF(S454="","",P451-S452)</f>
        <v/>
      </c>
      <c r="R452" s="85" t="str">
        <f>IF(OR($A454="集水",$A454="吸水"),0.4,"")</f>
        <v/>
      </c>
      <c r="S452" s="85" t="str">
        <f>IF(OR($A454="集水",$A454="吸水"),0.4,"")</f>
        <v/>
      </c>
      <c r="T452" s="86" t="str">
        <f>IF(Q452="","",P452-Q452)</f>
        <v/>
      </c>
      <c r="U452" s="88"/>
      <c r="V452" s="89"/>
    </row>
    <row r="453" spans="1:22" ht="9" customHeight="1" x14ac:dyDescent="0.55000000000000004">
      <c r="A453" s="90"/>
      <c r="B453" s="91"/>
      <c r="C453" s="92" t="str">
        <f>IF(B451="","",B453-B451)</f>
        <v/>
      </c>
      <c r="D453" s="91"/>
      <c r="E453" s="93" t="str">
        <f>IF(D451="","",D453-D451)</f>
        <v/>
      </c>
      <c r="F453" s="94"/>
      <c r="G453" s="85"/>
      <c r="H453" s="85"/>
      <c r="I453" s="95"/>
      <c r="J453" s="86"/>
      <c r="K453" s="94"/>
      <c r="L453" s="85"/>
      <c r="M453" s="85"/>
      <c r="N453" s="95"/>
      <c r="O453" s="86"/>
      <c r="P453" s="94"/>
      <c r="Q453" s="85"/>
      <c r="R453" s="85"/>
      <c r="S453" s="95"/>
      <c r="T453" s="86"/>
      <c r="U453" s="96"/>
      <c r="V453" s="97"/>
    </row>
    <row r="454" spans="1:22" ht="9" customHeight="1" x14ac:dyDescent="0.55000000000000004">
      <c r="A454" s="98"/>
      <c r="B454" s="99"/>
      <c r="C454" s="100"/>
      <c r="D454" s="99"/>
      <c r="E454" s="101"/>
      <c r="F454" s="102" t="str">
        <f>IF(H454="","",F451-H454)</f>
        <v/>
      </c>
      <c r="G454" s="103" t="str">
        <f>IF(I454="","",F451-I454)</f>
        <v/>
      </c>
      <c r="H454" s="104"/>
      <c r="I454" s="104"/>
      <c r="J454" s="105"/>
      <c r="K454" s="106" t="str">
        <f>IF(M454="","",K451-M454)</f>
        <v/>
      </c>
      <c r="L454" s="103" t="str">
        <f>IF(N454="","",K451-N454)</f>
        <v/>
      </c>
      <c r="M454" s="104"/>
      <c r="N454" s="107"/>
      <c r="O454" s="105"/>
      <c r="P454" s="102" t="str">
        <f>IF(R454="","",P451-R454)</f>
        <v/>
      </c>
      <c r="Q454" s="103" t="str">
        <f>IF(S454="","",P451-S454)</f>
        <v/>
      </c>
      <c r="R454" s="104"/>
      <c r="S454" s="104"/>
      <c r="T454" s="105"/>
      <c r="U454" s="108"/>
      <c r="V454" s="109"/>
    </row>
    <row r="455" spans="1:22" ht="9" customHeight="1" x14ac:dyDescent="0.55000000000000004">
      <c r="A455" s="19"/>
      <c r="B455" s="69"/>
      <c r="C455" s="70"/>
      <c r="D455" s="69"/>
      <c r="E455" s="71"/>
      <c r="F455" s="72"/>
      <c r="G455" s="73"/>
      <c r="H455" s="74"/>
      <c r="I455" s="75"/>
      <c r="J455" s="76"/>
      <c r="K455" s="72"/>
      <c r="L455" s="73"/>
      <c r="M455" s="74"/>
      <c r="N455" s="75"/>
      <c r="O455" s="76"/>
      <c r="P455" s="72"/>
      <c r="Q455" s="73"/>
      <c r="R455" s="74"/>
      <c r="S455" s="75"/>
      <c r="T455" s="76"/>
      <c r="U455" s="77" t="str">
        <f>IF(OR(F458="",P458=""),"",B455/(F458-P458))</f>
        <v/>
      </c>
      <c r="V455" s="78"/>
    </row>
    <row r="456" spans="1:22" ht="9" customHeight="1" x14ac:dyDescent="0.55000000000000004">
      <c r="A456" s="79"/>
      <c r="B456" s="80"/>
      <c r="C456" s="81"/>
      <c r="D456" s="80"/>
      <c r="E456" s="82"/>
      <c r="F456" s="83" t="str">
        <f>IF(H458="","",F455-H456)</f>
        <v/>
      </c>
      <c r="G456" s="84" t="str">
        <f>IF(I458="","",F455-I456)</f>
        <v/>
      </c>
      <c r="H456" s="85" t="str">
        <f>IF(OR($A458="集水",$A458="吸水"),0.4,"")</f>
        <v/>
      </c>
      <c r="I456" s="85" t="str">
        <f>IF(OR($A458="集水",$A458="吸水"),0.4,"")</f>
        <v/>
      </c>
      <c r="J456" s="86" t="str">
        <f>IF(G456="","",F456-G456)</f>
        <v/>
      </c>
      <c r="K456" s="83" t="str">
        <f>IF(M458="","",K455-M456)</f>
        <v/>
      </c>
      <c r="L456" s="87" t="str">
        <f>IF(N458="","",K455-N456)</f>
        <v/>
      </c>
      <c r="M456" s="85" t="str">
        <f>IF(M458="","",IF(OR($A458="集水",$A458="吸水"),0.4,""))</f>
        <v/>
      </c>
      <c r="N456" s="85" t="str">
        <f>IF(N458="","",IF(OR($A458="集水",$A458="吸水"),0.4,""))</f>
        <v/>
      </c>
      <c r="O456" s="86" t="str">
        <f>IF(L456="","",K456-L456)</f>
        <v/>
      </c>
      <c r="P456" s="83" t="str">
        <f>IF(R458="","",P455-R456)</f>
        <v/>
      </c>
      <c r="Q456" s="84" t="str">
        <f>IF(S458="","",P455-S456)</f>
        <v/>
      </c>
      <c r="R456" s="85" t="str">
        <f>IF(OR($A458="集水",$A458="吸水"),0.4,"")</f>
        <v/>
      </c>
      <c r="S456" s="85" t="str">
        <f>IF(OR($A458="集水",$A458="吸水"),0.4,"")</f>
        <v/>
      </c>
      <c r="T456" s="86" t="str">
        <f>IF(Q456="","",P456-Q456)</f>
        <v/>
      </c>
      <c r="U456" s="88"/>
      <c r="V456" s="89"/>
    </row>
    <row r="457" spans="1:22" ht="9" customHeight="1" x14ac:dyDescent="0.55000000000000004">
      <c r="A457" s="90"/>
      <c r="B457" s="91"/>
      <c r="C457" s="92" t="str">
        <f>IF(B455="","",B457-B455)</f>
        <v/>
      </c>
      <c r="D457" s="91"/>
      <c r="E457" s="93" t="str">
        <f>IF(D455="","",D457-D455)</f>
        <v/>
      </c>
      <c r="F457" s="94"/>
      <c r="G457" s="85"/>
      <c r="H457" s="85"/>
      <c r="I457" s="95"/>
      <c r="J457" s="86"/>
      <c r="K457" s="94"/>
      <c r="L457" s="85"/>
      <c r="M457" s="85"/>
      <c r="N457" s="95"/>
      <c r="O457" s="86"/>
      <c r="P457" s="94"/>
      <c r="Q457" s="85"/>
      <c r="R457" s="85"/>
      <c r="S457" s="95"/>
      <c r="T457" s="86"/>
      <c r="U457" s="96"/>
      <c r="V457" s="97"/>
    </row>
    <row r="458" spans="1:22" ht="9" customHeight="1" x14ac:dyDescent="0.55000000000000004">
      <c r="A458" s="98"/>
      <c r="B458" s="99"/>
      <c r="C458" s="100"/>
      <c r="D458" s="99"/>
      <c r="E458" s="101"/>
      <c r="F458" s="102" t="str">
        <f>IF(H458="","",F455-H458)</f>
        <v/>
      </c>
      <c r="G458" s="103" t="str">
        <f>IF(I458="","",F455-I458)</f>
        <v/>
      </c>
      <c r="H458" s="104"/>
      <c r="I458" s="104"/>
      <c r="J458" s="105"/>
      <c r="K458" s="106" t="str">
        <f>IF(M458="","",K455-M458)</f>
        <v/>
      </c>
      <c r="L458" s="103" t="str">
        <f>IF(N458="","",K455-N458)</f>
        <v/>
      </c>
      <c r="M458" s="104"/>
      <c r="N458" s="107"/>
      <c r="O458" s="105"/>
      <c r="P458" s="102" t="str">
        <f>IF(R458="","",P455-R458)</f>
        <v/>
      </c>
      <c r="Q458" s="103" t="str">
        <f>IF(S458="","",P455-S458)</f>
        <v/>
      </c>
      <c r="R458" s="104"/>
      <c r="S458" s="104"/>
      <c r="T458" s="105"/>
      <c r="U458" s="108"/>
      <c r="V458" s="109"/>
    </row>
    <row r="459" spans="1:22" ht="9" customHeight="1" x14ac:dyDescent="0.55000000000000004">
      <c r="A459" s="19"/>
      <c r="B459" s="69"/>
      <c r="C459" s="70"/>
      <c r="D459" s="69"/>
      <c r="E459" s="71"/>
      <c r="F459" s="72"/>
      <c r="G459" s="73"/>
      <c r="H459" s="74"/>
      <c r="I459" s="75"/>
      <c r="J459" s="76"/>
      <c r="K459" s="72"/>
      <c r="L459" s="73"/>
      <c r="M459" s="74"/>
      <c r="N459" s="75"/>
      <c r="O459" s="76"/>
      <c r="P459" s="72"/>
      <c r="Q459" s="73"/>
      <c r="R459" s="74"/>
      <c r="S459" s="75"/>
      <c r="T459" s="76"/>
      <c r="U459" s="77" t="str">
        <f>IF(OR(F462="",P462=""),"",B459/(F462-P462))</f>
        <v/>
      </c>
      <c r="V459" s="78"/>
    </row>
    <row r="460" spans="1:22" ht="9" customHeight="1" x14ac:dyDescent="0.55000000000000004">
      <c r="A460" s="79"/>
      <c r="B460" s="80"/>
      <c r="C460" s="81"/>
      <c r="D460" s="80"/>
      <c r="E460" s="82"/>
      <c r="F460" s="83" t="str">
        <f>IF(H462="","",F459-H460)</f>
        <v/>
      </c>
      <c r="G460" s="84" t="str">
        <f>IF(I462="","",F459-I460)</f>
        <v/>
      </c>
      <c r="H460" s="85" t="str">
        <f>IF(OR($A462="集水",$A462="吸水"),0.4,"")</f>
        <v/>
      </c>
      <c r="I460" s="85" t="str">
        <f>IF(OR($A462="集水",$A462="吸水"),0.4,"")</f>
        <v/>
      </c>
      <c r="J460" s="86" t="str">
        <f>IF(G460="","",F460-G460)</f>
        <v/>
      </c>
      <c r="K460" s="83" t="str">
        <f>IF(M462="","",K459-M460)</f>
        <v/>
      </c>
      <c r="L460" s="87" t="str">
        <f>IF(N462="","",K459-N460)</f>
        <v/>
      </c>
      <c r="M460" s="85" t="str">
        <f>IF(M462="","",IF(OR($A462="集水",$A462="吸水"),0.4,""))</f>
        <v/>
      </c>
      <c r="N460" s="85" t="str">
        <f>IF(N462="","",IF(OR($A462="集水",$A462="吸水"),0.4,""))</f>
        <v/>
      </c>
      <c r="O460" s="86" t="str">
        <f>IF(L460="","",K460-L460)</f>
        <v/>
      </c>
      <c r="P460" s="83" t="str">
        <f>IF(R462="","",P459-R460)</f>
        <v/>
      </c>
      <c r="Q460" s="84" t="str">
        <f>IF(S462="","",P459-S460)</f>
        <v/>
      </c>
      <c r="R460" s="85" t="str">
        <f>IF(OR($A462="集水",$A462="吸水"),0.4,"")</f>
        <v/>
      </c>
      <c r="S460" s="85" t="str">
        <f>IF(OR($A462="集水",$A462="吸水"),0.4,"")</f>
        <v/>
      </c>
      <c r="T460" s="86" t="str">
        <f>IF(Q460="","",P460-Q460)</f>
        <v/>
      </c>
      <c r="U460" s="88"/>
      <c r="V460" s="89"/>
    </row>
    <row r="461" spans="1:22" ht="9" customHeight="1" x14ac:dyDescent="0.55000000000000004">
      <c r="A461" s="90"/>
      <c r="B461" s="91"/>
      <c r="C461" s="92" t="str">
        <f>IF(B459="","",B461-B459)</f>
        <v/>
      </c>
      <c r="D461" s="91"/>
      <c r="E461" s="93" t="str">
        <f>IF(D459="","",D461-D459)</f>
        <v/>
      </c>
      <c r="F461" s="94"/>
      <c r="G461" s="85"/>
      <c r="H461" s="85"/>
      <c r="I461" s="95"/>
      <c r="J461" s="86"/>
      <c r="K461" s="94"/>
      <c r="L461" s="85"/>
      <c r="M461" s="85"/>
      <c r="N461" s="95"/>
      <c r="O461" s="86"/>
      <c r="P461" s="94"/>
      <c r="Q461" s="85"/>
      <c r="R461" s="85"/>
      <c r="S461" s="95"/>
      <c r="T461" s="86"/>
      <c r="U461" s="96"/>
      <c r="V461" s="97"/>
    </row>
    <row r="462" spans="1:22" ht="9" customHeight="1" x14ac:dyDescent="0.55000000000000004">
      <c r="A462" s="98"/>
      <c r="B462" s="99"/>
      <c r="C462" s="100"/>
      <c r="D462" s="99"/>
      <c r="E462" s="101"/>
      <c r="F462" s="102" t="str">
        <f>IF(H462="","",F459-H462)</f>
        <v/>
      </c>
      <c r="G462" s="103" t="str">
        <f>IF(I462="","",F459-I462)</f>
        <v/>
      </c>
      <c r="H462" s="104"/>
      <c r="I462" s="104"/>
      <c r="J462" s="105"/>
      <c r="K462" s="106" t="str">
        <f>IF(M462="","",K459-M462)</f>
        <v/>
      </c>
      <c r="L462" s="103" t="str">
        <f>IF(N462="","",K459-N462)</f>
        <v/>
      </c>
      <c r="M462" s="104"/>
      <c r="N462" s="107"/>
      <c r="O462" s="105"/>
      <c r="P462" s="102" t="str">
        <f>IF(R462="","",P459-R462)</f>
        <v/>
      </c>
      <c r="Q462" s="103" t="str">
        <f>IF(S462="","",P459-S462)</f>
        <v/>
      </c>
      <c r="R462" s="104"/>
      <c r="S462" s="104"/>
      <c r="T462" s="105"/>
      <c r="U462" s="108"/>
      <c r="V462" s="109"/>
    </row>
    <row r="463" spans="1:22" ht="9" customHeight="1" x14ac:dyDescent="0.55000000000000004">
      <c r="A463" s="19"/>
      <c r="B463" s="69"/>
      <c r="C463" s="70"/>
      <c r="D463" s="69"/>
      <c r="E463" s="71"/>
      <c r="F463" s="72"/>
      <c r="G463" s="73"/>
      <c r="H463" s="74"/>
      <c r="I463" s="75"/>
      <c r="J463" s="76"/>
      <c r="K463" s="72"/>
      <c r="L463" s="73"/>
      <c r="M463" s="74"/>
      <c r="N463" s="75"/>
      <c r="O463" s="76"/>
      <c r="P463" s="72"/>
      <c r="Q463" s="73"/>
      <c r="R463" s="74"/>
      <c r="S463" s="75"/>
      <c r="T463" s="76"/>
      <c r="U463" s="77" t="str">
        <f>IF(OR(F466="",P466=""),"",B463/(F466-P466))</f>
        <v/>
      </c>
      <c r="V463" s="78"/>
    </row>
    <row r="464" spans="1:22" ht="9" customHeight="1" x14ac:dyDescent="0.55000000000000004">
      <c r="A464" s="79"/>
      <c r="B464" s="80"/>
      <c r="C464" s="81"/>
      <c r="D464" s="80"/>
      <c r="E464" s="82"/>
      <c r="F464" s="83" t="str">
        <f>IF(H466="","",F463-H464)</f>
        <v/>
      </c>
      <c r="G464" s="84" t="str">
        <f>IF(I466="","",F463-I464)</f>
        <v/>
      </c>
      <c r="H464" s="85" t="str">
        <f>IF(OR($A466="集水",$A466="吸水"),0.4,"")</f>
        <v/>
      </c>
      <c r="I464" s="85" t="str">
        <f>IF(OR($A466="集水",$A466="吸水"),0.4,"")</f>
        <v/>
      </c>
      <c r="J464" s="86" t="str">
        <f>IF(G464="","",F464-G464)</f>
        <v/>
      </c>
      <c r="K464" s="83" t="str">
        <f>IF(M466="","",K463-M464)</f>
        <v/>
      </c>
      <c r="L464" s="87" t="str">
        <f>IF(N466="","",K463-N464)</f>
        <v/>
      </c>
      <c r="M464" s="85" t="str">
        <f>IF(M466="","",IF(OR($A466="集水",$A466="吸水"),0.4,""))</f>
        <v/>
      </c>
      <c r="N464" s="85" t="str">
        <f>IF(N466="","",IF(OR($A466="集水",$A466="吸水"),0.4,""))</f>
        <v/>
      </c>
      <c r="O464" s="86" t="str">
        <f>IF(L464="","",K464-L464)</f>
        <v/>
      </c>
      <c r="P464" s="83" t="str">
        <f>IF(R466="","",P463-R464)</f>
        <v/>
      </c>
      <c r="Q464" s="84" t="str">
        <f>IF(S466="","",P463-S464)</f>
        <v/>
      </c>
      <c r="R464" s="85" t="str">
        <f>IF(OR($A466="集水",$A466="吸水"),0.4,"")</f>
        <v/>
      </c>
      <c r="S464" s="85" t="str">
        <f>IF(OR($A466="集水",$A466="吸水"),0.4,"")</f>
        <v/>
      </c>
      <c r="T464" s="86" t="str">
        <f>IF(Q464="","",P464-Q464)</f>
        <v/>
      </c>
      <c r="U464" s="88"/>
      <c r="V464" s="89"/>
    </row>
    <row r="465" spans="1:22" ht="9" customHeight="1" x14ac:dyDescent="0.55000000000000004">
      <c r="A465" s="90"/>
      <c r="B465" s="91"/>
      <c r="C465" s="92" t="str">
        <f>IF(B463="","",B465-B463)</f>
        <v/>
      </c>
      <c r="D465" s="91"/>
      <c r="E465" s="93" t="str">
        <f>IF(D463="","",D465-D463)</f>
        <v/>
      </c>
      <c r="F465" s="94"/>
      <c r="G465" s="85"/>
      <c r="H465" s="85"/>
      <c r="I465" s="95"/>
      <c r="J465" s="86"/>
      <c r="K465" s="94"/>
      <c r="L465" s="85"/>
      <c r="M465" s="85"/>
      <c r="N465" s="95"/>
      <c r="O465" s="86"/>
      <c r="P465" s="94"/>
      <c r="Q465" s="85"/>
      <c r="R465" s="85"/>
      <c r="S465" s="95"/>
      <c r="T465" s="86"/>
      <c r="U465" s="96"/>
      <c r="V465" s="97"/>
    </row>
    <row r="466" spans="1:22" ht="9" customHeight="1" x14ac:dyDescent="0.55000000000000004">
      <c r="A466" s="98"/>
      <c r="B466" s="99"/>
      <c r="C466" s="100"/>
      <c r="D466" s="99"/>
      <c r="E466" s="101"/>
      <c r="F466" s="102" t="str">
        <f>IF(H466="","",F463-H466)</f>
        <v/>
      </c>
      <c r="G466" s="103" t="str">
        <f>IF(I466="","",F463-I466)</f>
        <v/>
      </c>
      <c r="H466" s="104"/>
      <c r="I466" s="104"/>
      <c r="J466" s="105"/>
      <c r="K466" s="106" t="str">
        <f>IF(M466="","",K463-M466)</f>
        <v/>
      </c>
      <c r="L466" s="103" t="str">
        <f>IF(N466="","",K463-N466)</f>
        <v/>
      </c>
      <c r="M466" s="104"/>
      <c r="N466" s="107"/>
      <c r="O466" s="105"/>
      <c r="P466" s="102" t="str">
        <f>IF(R466="","",P463-R466)</f>
        <v/>
      </c>
      <c r="Q466" s="103" t="str">
        <f>IF(S466="","",P463-S466)</f>
        <v/>
      </c>
      <c r="R466" s="104"/>
      <c r="S466" s="104"/>
      <c r="T466" s="105"/>
      <c r="U466" s="108"/>
      <c r="V466" s="109"/>
    </row>
    <row r="467" spans="1:22" ht="9" customHeight="1" x14ac:dyDescent="0.55000000000000004">
      <c r="A467" s="19"/>
      <c r="B467" s="69"/>
      <c r="C467" s="70"/>
      <c r="D467" s="69"/>
      <c r="E467" s="71"/>
      <c r="F467" s="72"/>
      <c r="G467" s="73"/>
      <c r="H467" s="74"/>
      <c r="I467" s="75"/>
      <c r="J467" s="76"/>
      <c r="K467" s="72"/>
      <c r="L467" s="73"/>
      <c r="M467" s="74"/>
      <c r="N467" s="75"/>
      <c r="O467" s="76"/>
      <c r="P467" s="72"/>
      <c r="Q467" s="73"/>
      <c r="R467" s="74"/>
      <c r="S467" s="75"/>
      <c r="T467" s="76"/>
      <c r="U467" s="77" t="str">
        <f>IF(OR(F470="",P470=""),"",B467/(F470-P470))</f>
        <v/>
      </c>
      <c r="V467" s="78"/>
    </row>
    <row r="468" spans="1:22" ht="9" customHeight="1" x14ac:dyDescent="0.55000000000000004">
      <c r="A468" s="79"/>
      <c r="B468" s="80"/>
      <c r="C468" s="81"/>
      <c r="D468" s="80"/>
      <c r="E468" s="82"/>
      <c r="F468" s="83" t="str">
        <f>IF(H470="","",F467-H468)</f>
        <v/>
      </c>
      <c r="G468" s="84" t="str">
        <f>IF(I470="","",F467-I468)</f>
        <v/>
      </c>
      <c r="H468" s="85" t="str">
        <f>IF(OR($A470="集水",$A470="吸水"),0.4,"")</f>
        <v/>
      </c>
      <c r="I468" s="85" t="str">
        <f>IF(OR($A470="集水",$A470="吸水"),0.4,"")</f>
        <v/>
      </c>
      <c r="J468" s="86" t="str">
        <f>IF(G468="","",F468-G468)</f>
        <v/>
      </c>
      <c r="K468" s="83" t="str">
        <f>IF(M470="","",K467-M468)</f>
        <v/>
      </c>
      <c r="L468" s="87" t="str">
        <f>IF(N470="","",K467-N468)</f>
        <v/>
      </c>
      <c r="M468" s="85" t="str">
        <f>IF(M470="","",IF(OR($A470="集水",$A470="吸水"),0.4,""))</f>
        <v/>
      </c>
      <c r="N468" s="85" t="str">
        <f>IF(N470="","",IF(OR($A470="集水",$A470="吸水"),0.4,""))</f>
        <v/>
      </c>
      <c r="O468" s="86" t="str">
        <f>IF(L468="","",K468-L468)</f>
        <v/>
      </c>
      <c r="P468" s="83" t="str">
        <f>IF(R470="","",P467-R468)</f>
        <v/>
      </c>
      <c r="Q468" s="84" t="str">
        <f>IF(S470="","",P467-S468)</f>
        <v/>
      </c>
      <c r="R468" s="85" t="str">
        <f>IF(OR($A470="集水",$A470="吸水"),0.4,"")</f>
        <v/>
      </c>
      <c r="S468" s="85" t="str">
        <f>IF(OR($A470="集水",$A470="吸水"),0.4,"")</f>
        <v/>
      </c>
      <c r="T468" s="86" t="str">
        <f>IF(Q468="","",P468-Q468)</f>
        <v/>
      </c>
      <c r="U468" s="88"/>
      <c r="V468" s="89"/>
    </row>
    <row r="469" spans="1:22" ht="9" customHeight="1" x14ac:dyDescent="0.55000000000000004">
      <c r="A469" s="90"/>
      <c r="B469" s="91"/>
      <c r="C469" s="92" t="str">
        <f>IF(B467="","",B469-B467)</f>
        <v/>
      </c>
      <c r="D469" s="91"/>
      <c r="E469" s="93" t="str">
        <f>IF(D467="","",D469-D467)</f>
        <v/>
      </c>
      <c r="F469" s="94"/>
      <c r="G469" s="85"/>
      <c r="H469" s="85"/>
      <c r="I469" s="95"/>
      <c r="J469" s="86"/>
      <c r="K469" s="94"/>
      <c r="L469" s="85"/>
      <c r="M469" s="85"/>
      <c r="N469" s="95"/>
      <c r="O469" s="86"/>
      <c r="P469" s="94"/>
      <c r="Q469" s="85"/>
      <c r="R469" s="85"/>
      <c r="S469" s="95"/>
      <c r="T469" s="86"/>
      <c r="U469" s="96"/>
      <c r="V469" s="97"/>
    </row>
    <row r="470" spans="1:22" ht="9" customHeight="1" x14ac:dyDescent="0.55000000000000004">
      <c r="A470" s="98"/>
      <c r="B470" s="99"/>
      <c r="C470" s="100"/>
      <c r="D470" s="99"/>
      <c r="E470" s="101"/>
      <c r="F470" s="102" t="str">
        <f>IF(H470="","",F467-H470)</f>
        <v/>
      </c>
      <c r="G470" s="103" t="str">
        <f>IF(I470="","",F467-I470)</f>
        <v/>
      </c>
      <c r="H470" s="104"/>
      <c r="I470" s="104"/>
      <c r="J470" s="105"/>
      <c r="K470" s="106" t="str">
        <f>IF(M470="","",K467-M470)</f>
        <v/>
      </c>
      <c r="L470" s="103" t="str">
        <f>IF(N470="","",K467-N470)</f>
        <v/>
      </c>
      <c r="M470" s="104"/>
      <c r="N470" s="107"/>
      <c r="O470" s="105"/>
      <c r="P470" s="102" t="str">
        <f>IF(R470="","",P467-R470)</f>
        <v/>
      </c>
      <c r="Q470" s="103" t="str">
        <f>IF(S470="","",P467-S470)</f>
        <v/>
      </c>
      <c r="R470" s="104"/>
      <c r="S470" s="104"/>
      <c r="T470" s="105"/>
      <c r="U470" s="108"/>
      <c r="V470" s="109"/>
    </row>
    <row r="471" spans="1:22" ht="9" customHeight="1" x14ac:dyDescent="0.55000000000000004">
      <c r="A471" s="19"/>
      <c r="B471" s="69"/>
      <c r="C471" s="70"/>
      <c r="D471" s="69"/>
      <c r="E471" s="71"/>
      <c r="F471" s="72"/>
      <c r="G471" s="73"/>
      <c r="H471" s="74"/>
      <c r="I471" s="75"/>
      <c r="J471" s="76"/>
      <c r="K471" s="72"/>
      <c r="L471" s="73"/>
      <c r="M471" s="74"/>
      <c r="N471" s="75"/>
      <c r="O471" s="76"/>
      <c r="P471" s="72"/>
      <c r="Q471" s="73"/>
      <c r="R471" s="74"/>
      <c r="S471" s="75"/>
      <c r="T471" s="76"/>
      <c r="U471" s="77" t="str">
        <f>IF(OR(F474="",P474=""),"",B471/(F474-P474))</f>
        <v/>
      </c>
      <c r="V471" s="78"/>
    </row>
    <row r="472" spans="1:22" ht="9" customHeight="1" x14ac:dyDescent="0.55000000000000004">
      <c r="A472" s="79"/>
      <c r="B472" s="80"/>
      <c r="C472" s="81"/>
      <c r="D472" s="80"/>
      <c r="E472" s="82"/>
      <c r="F472" s="83" t="str">
        <f>IF(H474="","",F471-H472)</f>
        <v/>
      </c>
      <c r="G472" s="84" t="str">
        <f>IF(I474="","",F471-I472)</f>
        <v/>
      </c>
      <c r="H472" s="85" t="str">
        <f>IF(OR($A474="集水",$A474="吸水"),0.4,"")</f>
        <v/>
      </c>
      <c r="I472" s="85" t="str">
        <f>IF(OR($A474="集水",$A474="吸水"),0.4,"")</f>
        <v/>
      </c>
      <c r="J472" s="86" t="str">
        <f>IF(G472="","",F472-G472)</f>
        <v/>
      </c>
      <c r="K472" s="83" t="str">
        <f>IF(M474="","",K471-M472)</f>
        <v/>
      </c>
      <c r="L472" s="87" t="str">
        <f>IF(N474="","",K471-N472)</f>
        <v/>
      </c>
      <c r="M472" s="85" t="str">
        <f>IF(M474="","",IF(OR($A474="集水",$A474="吸水"),0.4,""))</f>
        <v/>
      </c>
      <c r="N472" s="85" t="str">
        <f>IF(N474="","",IF(OR($A474="集水",$A474="吸水"),0.4,""))</f>
        <v/>
      </c>
      <c r="O472" s="86" t="str">
        <f>IF(L472="","",K472-L472)</f>
        <v/>
      </c>
      <c r="P472" s="83" t="str">
        <f>IF(R474="","",P471-R472)</f>
        <v/>
      </c>
      <c r="Q472" s="84" t="str">
        <f>IF(S474="","",P471-S472)</f>
        <v/>
      </c>
      <c r="R472" s="85" t="str">
        <f>IF(OR($A474="集水",$A474="吸水"),0.4,"")</f>
        <v/>
      </c>
      <c r="S472" s="85" t="str">
        <f>IF(OR($A474="集水",$A474="吸水"),0.4,"")</f>
        <v/>
      </c>
      <c r="T472" s="86" t="str">
        <f>IF(Q472="","",P472-Q472)</f>
        <v/>
      </c>
      <c r="U472" s="88"/>
      <c r="V472" s="89"/>
    </row>
    <row r="473" spans="1:22" ht="9" customHeight="1" x14ac:dyDescent="0.55000000000000004">
      <c r="A473" s="90"/>
      <c r="B473" s="91"/>
      <c r="C473" s="92" t="str">
        <f>IF(B471="","",B473-B471)</f>
        <v/>
      </c>
      <c r="D473" s="91"/>
      <c r="E473" s="93" t="str">
        <f>IF(D471="","",D473-D471)</f>
        <v/>
      </c>
      <c r="F473" s="94"/>
      <c r="G473" s="85"/>
      <c r="H473" s="85"/>
      <c r="I473" s="95"/>
      <c r="J473" s="86"/>
      <c r="K473" s="94"/>
      <c r="L473" s="85"/>
      <c r="M473" s="85"/>
      <c r="N473" s="95"/>
      <c r="O473" s="86"/>
      <c r="P473" s="94"/>
      <c r="Q473" s="85"/>
      <c r="R473" s="85"/>
      <c r="S473" s="95"/>
      <c r="T473" s="86"/>
      <c r="U473" s="96"/>
      <c r="V473" s="97"/>
    </row>
    <row r="474" spans="1:22" ht="9" customHeight="1" x14ac:dyDescent="0.55000000000000004">
      <c r="A474" s="98"/>
      <c r="B474" s="99"/>
      <c r="C474" s="100"/>
      <c r="D474" s="99"/>
      <c r="E474" s="101"/>
      <c r="F474" s="102" t="str">
        <f>IF(H474="","",F471-H474)</f>
        <v/>
      </c>
      <c r="G474" s="103" t="str">
        <f>IF(I474="","",F471-I474)</f>
        <v/>
      </c>
      <c r="H474" s="104"/>
      <c r="I474" s="104"/>
      <c r="J474" s="105"/>
      <c r="K474" s="106" t="str">
        <f>IF(M474="","",K471-M474)</f>
        <v/>
      </c>
      <c r="L474" s="103" t="str">
        <f>IF(N474="","",K471-N474)</f>
        <v/>
      </c>
      <c r="M474" s="104"/>
      <c r="N474" s="107"/>
      <c r="O474" s="105"/>
      <c r="P474" s="102" t="str">
        <f>IF(R474="","",P471-R474)</f>
        <v/>
      </c>
      <c r="Q474" s="103" t="str">
        <f>IF(S474="","",P471-S474)</f>
        <v/>
      </c>
      <c r="R474" s="104"/>
      <c r="S474" s="104"/>
      <c r="T474" s="105"/>
      <c r="U474" s="108"/>
      <c r="V474" s="109"/>
    </row>
    <row r="475" spans="1:22" ht="9" customHeight="1" x14ac:dyDescent="0.55000000000000004">
      <c r="A475" s="19"/>
      <c r="B475" s="69"/>
      <c r="C475" s="70"/>
      <c r="D475" s="69"/>
      <c r="E475" s="71"/>
      <c r="F475" s="72"/>
      <c r="G475" s="73"/>
      <c r="H475" s="74"/>
      <c r="I475" s="75"/>
      <c r="J475" s="76"/>
      <c r="K475" s="72"/>
      <c r="L475" s="73"/>
      <c r="M475" s="74"/>
      <c r="N475" s="75"/>
      <c r="O475" s="76"/>
      <c r="P475" s="72"/>
      <c r="Q475" s="73"/>
      <c r="R475" s="74"/>
      <c r="S475" s="75"/>
      <c r="T475" s="76"/>
      <c r="U475" s="77" t="str">
        <f>IF(OR(F478="",P478=""),"",B475/(F478-P478))</f>
        <v/>
      </c>
      <c r="V475" s="78"/>
    </row>
    <row r="476" spans="1:22" ht="9" customHeight="1" x14ac:dyDescent="0.55000000000000004">
      <c r="A476" s="79"/>
      <c r="B476" s="80"/>
      <c r="C476" s="81"/>
      <c r="D476" s="80"/>
      <c r="E476" s="82"/>
      <c r="F476" s="83" t="str">
        <f>IF(H478="","",F475-H476)</f>
        <v/>
      </c>
      <c r="G476" s="84" t="str">
        <f>IF(I478="","",F475-I476)</f>
        <v/>
      </c>
      <c r="H476" s="85" t="str">
        <f>IF(OR($A478="集水",$A478="吸水"),0.4,"")</f>
        <v/>
      </c>
      <c r="I476" s="85" t="str">
        <f>IF(OR($A478="集水",$A478="吸水"),0.4,"")</f>
        <v/>
      </c>
      <c r="J476" s="86" t="str">
        <f>IF(G476="","",F476-G476)</f>
        <v/>
      </c>
      <c r="K476" s="83" t="str">
        <f>IF(M478="","",K475-M476)</f>
        <v/>
      </c>
      <c r="L476" s="87" t="str">
        <f>IF(N478="","",K475-N476)</f>
        <v/>
      </c>
      <c r="M476" s="85" t="str">
        <f>IF(M478="","",IF(OR($A478="集水",$A478="吸水"),0.4,""))</f>
        <v/>
      </c>
      <c r="N476" s="85" t="str">
        <f>IF(N478="","",IF(OR($A478="集水",$A478="吸水"),0.4,""))</f>
        <v/>
      </c>
      <c r="O476" s="86" t="str">
        <f>IF(L476="","",K476-L476)</f>
        <v/>
      </c>
      <c r="P476" s="83" t="str">
        <f>IF(R478="","",P475-R476)</f>
        <v/>
      </c>
      <c r="Q476" s="84" t="str">
        <f>IF(S478="","",P475-S476)</f>
        <v/>
      </c>
      <c r="R476" s="85" t="str">
        <f>IF(OR($A478="集水",$A478="吸水"),0.4,"")</f>
        <v/>
      </c>
      <c r="S476" s="85" t="str">
        <f>IF(OR($A478="集水",$A478="吸水"),0.4,"")</f>
        <v/>
      </c>
      <c r="T476" s="86" t="str">
        <f>IF(Q476="","",P476-Q476)</f>
        <v/>
      </c>
      <c r="U476" s="88"/>
      <c r="V476" s="89"/>
    </row>
    <row r="477" spans="1:22" ht="9" customHeight="1" x14ac:dyDescent="0.55000000000000004">
      <c r="A477" s="90"/>
      <c r="B477" s="91"/>
      <c r="C477" s="92" t="str">
        <f>IF(B475="","",B477-B475)</f>
        <v/>
      </c>
      <c r="D477" s="91"/>
      <c r="E477" s="93" t="str">
        <f>IF(D475="","",D477-D475)</f>
        <v/>
      </c>
      <c r="F477" s="94"/>
      <c r="G477" s="85"/>
      <c r="H477" s="85"/>
      <c r="I477" s="95"/>
      <c r="J477" s="86"/>
      <c r="K477" s="94"/>
      <c r="L477" s="85"/>
      <c r="M477" s="85"/>
      <c r="N477" s="95"/>
      <c r="O477" s="86"/>
      <c r="P477" s="94"/>
      <c r="Q477" s="85"/>
      <c r="R477" s="85"/>
      <c r="S477" s="95"/>
      <c r="T477" s="86"/>
      <c r="U477" s="96"/>
      <c r="V477" s="97"/>
    </row>
    <row r="478" spans="1:22" ht="9" customHeight="1" x14ac:dyDescent="0.55000000000000004">
      <c r="A478" s="98"/>
      <c r="B478" s="99"/>
      <c r="C478" s="100"/>
      <c r="D478" s="99"/>
      <c r="E478" s="101"/>
      <c r="F478" s="102" t="str">
        <f>IF(H478="","",F475-H478)</f>
        <v/>
      </c>
      <c r="G478" s="103" t="str">
        <f>IF(I478="","",F475-I478)</f>
        <v/>
      </c>
      <c r="H478" s="104"/>
      <c r="I478" s="104"/>
      <c r="J478" s="105"/>
      <c r="K478" s="106" t="str">
        <f>IF(M478="","",K475-M478)</f>
        <v/>
      </c>
      <c r="L478" s="103" t="str">
        <f>IF(N478="","",K475-N478)</f>
        <v/>
      </c>
      <c r="M478" s="104"/>
      <c r="N478" s="107"/>
      <c r="O478" s="105"/>
      <c r="P478" s="102" t="str">
        <f>IF(R478="","",P475-R478)</f>
        <v/>
      </c>
      <c r="Q478" s="103" t="str">
        <f>IF(S478="","",P475-S478)</f>
        <v/>
      </c>
      <c r="R478" s="104"/>
      <c r="S478" s="104"/>
      <c r="T478" s="105"/>
      <c r="U478" s="108"/>
      <c r="V478" s="109"/>
    </row>
    <row r="479" spans="1:22" ht="9" customHeight="1" x14ac:dyDescent="0.55000000000000004">
      <c r="A479" s="19"/>
      <c r="B479" s="69"/>
      <c r="C479" s="70"/>
      <c r="D479" s="69"/>
      <c r="E479" s="71"/>
      <c r="F479" s="72"/>
      <c r="G479" s="73"/>
      <c r="H479" s="74"/>
      <c r="I479" s="75"/>
      <c r="J479" s="76"/>
      <c r="K479" s="72"/>
      <c r="L479" s="73"/>
      <c r="M479" s="74"/>
      <c r="N479" s="75"/>
      <c r="O479" s="76"/>
      <c r="P479" s="72"/>
      <c r="Q479" s="73"/>
      <c r="R479" s="74"/>
      <c r="S479" s="75"/>
      <c r="T479" s="76"/>
      <c r="U479" s="77" t="str">
        <f>IF(OR(F482="",P482=""),"",B479/(F482-P482))</f>
        <v/>
      </c>
      <c r="V479" s="78"/>
    </row>
    <row r="480" spans="1:22" ht="9" customHeight="1" x14ac:dyDescent="0.55000000000000004">
      <c r="A480" s="79"/>
      <c r="B480" s="80"/>
      <c r="C480" s="81"/>
      <c r="D480" s="80"/>
      <c r="E480" s="82"/>
      <c r="F480" s="83" t="str">
        <f>IF(H482="","",F479-H480)</f>
        <v/>
      </c>
      <c r="G480" s="84" t="str">
        <f>IF(I482="","",F479-I480)</f>
        <v/>
      </c>
      <c r="H480" s="85" t="str">
        <f>IF(OR($A482="集水",$A482="吸水"),0.4,"")</f>
        <v/>
      </c>
      <c r="I480" s="85" t="str">
        <f>IF(OR($A482="集水",$A482="吸水"),0.4,"")</f>
        <v/>
      </c>
      <c r="J480" s="86" t="str">
        <f>IF(G480="","",F480-G480)</f>
        <v/>
      </c>
      <c r="K480" s="83" t="str">
        <f>IF(M482="","",K479-M480)</f>
        <v/>
      </c>
      <c r="L480" s="87" t="str">
        <f>IF(N482="","",K479-N480)</f>
        <v/>
      </c>
      <c r="M480" s="85" t="str">
        <f>IF(M482="","",IF(OR($A482="集水",$A482="吸水"),0.4,""))</f>
        <v/>
      </c>
      <c r="N480" s="85" t="str">
        <f>IF(N482="","",IF(OR($A482="集水",$A482="吸水"),0.4,""))</f>
        <v/>
      </c>
      <c r="O480" s="86" t="str">
        <f>IF(L480="","",K480-L480)</f>
        <v/>
      </c>
      <c r="P480" s="83" t="str">
        <f>IF(R482="","",P479-R480)</f>
        <v/>
      </c>
      <c r="Q480" s="84" t="str">
        <f>IF(S482="","",P479-S480)</f>
        <v/>
      </c>
      <c r="R480" s="85" t="str">
        <f>IF(OR($A482="集水",$A482="吸水"),0.4,"")</f>
        <v/>
      </c>
      <c r="S480" s="85" t="str">
        <f>IF(OR($A482="集水",$A482="吸水"),0.4,"")</f>
        <v/>
      </c>
      <c r="T480" s="86" t="str">
        <f>IF(Q480="","",P480-Q480)</f>
        <v/>
      </c>
      <c r="U480" s="88"/>
      <c r="V480" s="89"/>
    </row>
    <row r="481" spans="1:22" ht="9" customHeight="1" x14ac:dyDescent="0.55000000000000004">
      <c r="A481" s="90"/>
      <c r="B481" s="91"/>
      <c r="C481" s="92" t="str">
        <f>IF(B479="","",B481-B479)</f>
        <v/>
      </c>
      <c r="D481" s="91"/>
      <c r="E481" s="93" t="str">
        <f>IF(D479="","",D481-D479)</f>
        <v/>
      </c>
      <c r="F481" s="94"/>
      <c r="G481" s="85"/>
      <c r="H481" s="85"/>
      <c r="I481" s="95"/>
      <c r="J481" s="86"/>
      <c r="K481" s="94"/>
      <c r="L481" s="85"/>
      <c r="M481" s="85"/>
      <c r="N481" s="95"/>
      <c r="O481" s="86"/>
      <c r="P481" s="94"/>
      <c r="Q481" s="85"/>
      <c r="R481" s="85"/>
      <c r="S481" s="95"/>
      <c r="T481" s="86"/>
      <c r="U481" s="96"/>
      <c r="V481" s="97"/>
    </row>
    <row r="482" spans="1:22" ht="9" customHeight="1" x14ac:dyDescent="0.55000000000000004">
      <c r="A482" s="98"/>
      <c r="B482" s="99"/>
      <c r="C482" s="100"/>
      <c r="D482" s="99"/>
      <c r="E482" s="101"/>
      <c r="F482" s="102" t="str">
        <f>IF(H482="","",F479-H482)</f>
        <v/>
      </c>
      <c r="G482" s="103" t="str">
        <f>IF(I482="","",F479-I482)</f>
        <v/>
      </c>
      <c r="H482" s="104"/>
      <c r="I482" s="104"/>
      <c r="J482" s="105"/>
      <c r="K482" s="106" t="str">
        <f>IF(M482="","",K479-M482)</f>
        <v/>
      </c>
      <c r="L482" s="103" t="str">
        <f>IF(N482="","",K479-N482)</f>
        <v/>
      </c>
      <c r="M482" s="104"/>
      <c r="N482" s="107"/>
      <c r="O482" s="105"/>
      <c r="P482" s="102" t="str">
        <f>IF(R482="","",P479-R482)</f>
        <v/>
      </c>
      <c r="Q482" s="103" t="str">
        <f>IF(S482="","",P479-S482)</f>
        <v/>
      </c>
      <c r="R482" s="104"/>
      <c r="S482" s="104"/>
      <c r="T482" s="105"/>
      <c r="U482" s="108"/>
      <c r="V482" s="109"/>
    </row>
    <row r="483" spans="1:22" ht="9" customHeight="1" x14ac:dyDescent="0.55000000000000004">
      <c r="A483" s="19"/>
      <c r="B483" s="69"/>
      <c r="C483" s="70"/>
      <c r="D483" s="69"/>
      <c r="E483" s="71"/>
      <c r="F483" s="72"/>
      <c r="G483" s="73"/>
      <c r="H483" s="74"/>
      <c r="I483" s="75"/>
      <c r="J483" s="76"/>
      <c r="K483" s="72"/>
      <c r="L483" s="73"/>
      <c r="M483" s="74"/>
      <c r="N483" s="75"/>
      <c r="O483" s="76"/>
      <c r="P483" s="72"/>
      <c r="Q483" s="73"/>
      <c r="R483" s="74"/>
      <c r="S483" s="75"/>
      <c r="T483" s="76"/>
      <c r="U483" s="77" t="str">
        <f>IF(OR(F486="",P486=""),"",B483/(F486-P486))</f>
        <v/>
      </c>
      <c r="V483" s="78"/>
    </row>
    <row r="484" spans="1:22" ht="9" customHeight="1" x14ac:dyDescent="0.55000000000000004">
      <c r="A484" s="79"/>
      <c r="B484" s="80"/>
      <c r="C484" s="81"/>
      <c r="D484" s="80"/>
      <c r="E484" s="82"/>
      <c r="F484" s="83" t="str">
        <f>IF(H486="","",F483-H484)</f>
        <v/>
      </c>
      <c r="G484" s="84" t="str">
        <f>IF(I486="","",F483-I484)</f>
        <v/>
      </c>
      <c r="H484" s="85" t="str">
        <f>IF(OR($A486="集水",$A486="吸水"),0.4,"")</f>
        <v/>
      </c>
      <c r="I484" s="85" t="str">
        <f>IF(OR($A486="集水",$A486="吸水"),0.4,"")</f>
        <v/>
      </c>
      <c r="J484" s="86" t="str">
        <f>IF(G484="","",F484-G484)</f>
        <v/>
      </c>
      <c r="K484" s="83" t="str">
        <f>IF(M486="","",K483-M484)</f>
        <v/>
      </c>
      <c r="L484" s="87" t="str">
        <f>IF(N486="","",K483-N484)</f>
        <v/>
      </c>
      <c r="M484" s="85" t="str">
        <f>IF(M486="","",IF(OR($A486="集水",$A486="吸水"),0.4,""))</f>
        <v/>
      </c>
      <c r="N484" s="85" t="str">
        <f>IF(N486="","",IF(OR($A486="集水",$A486="吸水"),0.4,""))</f>
        <v/>
      </c>
      <c r="O484" s="86" t="str">
        <f>IF(L484="","",K484-L484)</f>
        <v/>
      </c>
      <c r="P484" s="83" t="str">
        <f>IF(R486="","",P483-R484)</f>
        <v/>
      </c>
      <c r="Q484" s="84" t="str">
        <f>IF(S486="","",P483-S484)</f>
        <v/>
      </c>
      <c r="R484" s="85" t="str">
        <f>IF(OR($A486="集水",$A486="吸水"),0.4,"")</f>
        <v/>
      </c>
      <c r="S484" s="85" t="str">
        <f>IF(OR($A486="集水",$A486="吸水"),0.4,"")</f>
        <v/>
      </c>
      <c r="T484" s="86" t="str">
        <f>IF(Q484="","",P484-Q484)</f>
        <v/>
      </c>
      <c r="U484" s="88"/>
      <c r="V484" s="89"/>
    </row>
    <row r="485" spans="1:22" ht="9" customHeight="1" x14ac:dyDescent="0.55000000000000004">
      <c r="A485" s="90"/>
      <c r="B485" s="91"/>
      <c r="C485" s="92" t="str">
        <f>IF(B483="","",B485-B483)</f>
        <v/>
      </c>
      <c r="D485" s="91"/>
      <c r="E485" s="93" t="str">
        <f>IF(D483="","",D485-D483)</f>
        <v/>
      </c>
      <c r="F485" s="94"/>
      <c r="G485" s="85"/>
      <c r="H485" s="85"/>
      <c r="I485" s="95"/>
      <c r="J485" s="86"/>
      <c r="K485" s="94"/>
      <c r="L485" s="85"/>
      <c r="M485" s="85"/>
      <c r="N485" s="95"/>
      <c r="O485" s="86"/>
      <c r="P485" s="94"/>
      <c r="Q485" s="85"/>
      <c r="R485" s="85"/>
      <c r="S485" s="95"/>
      <c r="T485" s="86"/>
      <c r="U485" s="96"/>
      <c r="V485" s="97"/>
    </row>
    <row r="486" spans="1:22" ht="9" customHeight="1" x14ac:dyDescent="0.55000000000000004">
      <c r="A486" s="98"/>
      <c r="B486" s="99"/>
      <c r="C486" s="100"/>
      <c r="D486" s="99"/>
      <c r="E486" s="101"/>
      <c r="F486" s="102" t="str">
        <f>IF(H486="","",F483-H486)</f>
        <v/>
      </c>
      <c r="G486" s="103" t="str">
        <f>IF(I486="","",F483-I486)</f>
        <v/>
      </c>
      <c r="H486" s="104"/>
      <c r="I486" s="104"/>
      <c r="J486" s="105"/>
      <c r="K486" s="106" t="str">
        <f>IF(M486="","",K483-M486)</f>
        <v/>
      </c>
      <c r="L486" s="103" t="str">
        <f>IF(N486="","",K483-N486)</f>
        <v/>
      </c>
      <c r="M486" s="104"/>
      <c r="N486" s="107"/>
      <c r="O486" s="105"/>
      <c r="P486" s="102" t="str">
        <f>IF(R486="","",P483-R486)</f>
        <v/>
      </c>
      <c r="Q486" s="103" t="str">
        <f>IF(S486="","",P483-S486)</f>
        <v/>
      </c>
      <c r="R486" s="104"/>
      <c r="S486" s="104"/>
      <c r="T486" s="105"/>
      <c r="U486" s="108"/>
      <c r="V486" s="109"/>
    </row>
    <row r="487" spans="1:22" ht="9" customHeight="1" x14ac:dyDescent="0.55000000000000004">
      <c r="A487" s="19"/>
      <c r="B487" s="69"/>
      <c r="C487" s="70"/>
      <c r="D487" s="69"/>
      <c r="E487" s="71"/>
      <c r="F487" s="72"/>
      <c r="G487" s="73"/>
      <c r="H487" s="74"/>
      <c r="I487" s="75"/>
      <c r="J487" s="76"/>
      <c r="K487" s="72"/>
      <c r="L487" s="73"/>
      <c r="M487" s="74"/>
      <c r="N487" s="75"/>
      <c r="O487" s="76"/>
      <c r="P487" s="72"/>
      <c r="Q487" s="73"/>
      <c r="R487" s="74"/>
      <c r="S487" s="75"/>
      <c r="T487" s="76"/>
      <c r="U487" s="77" t="str">
        <f>IF(OR(F490="",P490=""),"",B487/(F490-P490))</f>
        <v/>
      </c>
      <c r="V487" s="78"/>
    </row>
    <row r="488" spans="1:22" ht="9" customHeight="1" x14ac:dyDescent="0.55000000000000004">
      <c r="A488" s="79"/>
      <c r="B488" s="80"/>
      <c r="C488" s="81"/>
      <c r="D488" s="80"/>
      <c r="E488" s="82"/>
      <c r="F488" s="83" t="str">
        <f>IF(H490="","",F487-H488)</f>
        <v/>
      </c>
      <c r="G488" s="84" t="str">
        <f>IF(I490="","",F487-I488)</f>
        <v/>
      </c>
      <c r="H488" s="85" t="str">
        <f>IF(OR($A490="集水",$A490="吸水"),0.4,"")</f>
        <v/>
      </c>
      <c r="I488" s="85" t="str">
        <f>IF(OR($A490="集水",$A490="吸水"),0.4,"")</f>
        <v/>
      </c>
      <c r="J488" s="86" t="str">
        <f>IF(G488="","",F488-G488)</f>
        <v/>
      </c>
      <c r="K488" s="83" t="str">
        <f>IF(M490="","",K487-M488)</f>
        <v/>
      </c>
      <c r="L488" s="87" t="str">
        <f>IF(N490="","",K487-N488)</f>
        <v/>
      </c>
      <c r="M488" s="85" t="str">
        <f>IF(M490="","",IF(OR($A490="集水",$A490="吸水"),0.4,""))</f>
        <v/>
      </c>
      <c r="N488" s="85" t="str">
        <f>IF(N490="","",IF(OR($A490="集水",$A490="吸水"),0.4,""))</f>
        <v/>
      </c>
      <c r="O488" s="86" t="str">
        <f>IF(L488="","",K488-L488)</f>
        <v/>
      </c>
      <c r="P488" s="83" t="str">
        <f>IF(R490="","",P487-R488)</f>
        <v/>
      </c>
      <c r="Q488" s="84" t="str">
        <f>IF(S490="","",P487-S488)</f>
        <v/>
      </c>
      <c r="R488" s="85" t="str">
        <f>IF(OR($A490="集水",$A490="吸水"),0.4,"")</f>
        <v/>
      </c>
      <c r="S488" s="85" t="str">
        <f>IF(OR($A490="集水",$A490="吸水"),0.4,"")</f>
        <v/>
      </c>
      <c r="T488" s="86" t="str">
        <f>IF(Q488="","",P488-Q488)</f>
        <v/>
      </c>
      <c r="U488" s="88"/>
      <c r="V488" s="89"/>
    </row>
    <row r="489" spans="1:22" ht="9" customHeight="1" x14ac:dyDescent="0.55000000000000004">
      <c r="A489" s="90"/>
      <c r="B489" s="91"/>
      <c r="C489" s="92" t="str">
        <f>IF(B487="","",B489-B487)</f>
        <v/>
      </c>
      <c r="D489" s="91"/>
      <c r="E489" s="93" t="str">
        <f>IF(D487="","",D489-D487)</f>
        <v/>
      </c>
      <c r="F489" s="94"/>
      <c r="G489" s="85"/>
      <c r="H489" s="85"/>
      <c r="I489" s="95"/>
      <c r="J489" s="86"/>
      <c r="K489" s="94"/>
      <c r="L489" s="85"/>
      <c r="M489" s="85"/>
      <c r="N489" s="95"/>
      <c r="O489" s="86"/>
      <c r="P489" s="94"/>
      <c r="Q489" s="85"/>
      <c r="R489" s="85"/>
      <c r="S489" s="95"/>
      <c r="T489" s="86"/>
      <c r="U489" s="96"/>
      <c r="V489" s="97"/>
    </row>
    <row r="490" spans="1:22" ht="9" customHeight="1" x14ac:dyDescent="0.55000000000000004">
      <c r="A490" s="98"/>
      <c r="B490" s="99"/>
      <c r="C490" s="100"/>
      <c r="D490" s="99"/>
      <c r="E490" s="101"/>
      <c r="F490" s="102" t="str">
        <f>IF(H490="","",F487-H490)</f>
        <v/>
      </c>
      <c r="G490" s="103" t="str">
        <f>IF(I490="","",F487-I490)</f>
        <v/>
      </c>
      <c r="H490" s="104"/>
      <c r="I490" s="104"/>
      <c r="J490" s="105"/>
      <c r="K490" s="106" t="str">
        <f>IF(M490="","",K487-M490)</f>
        <v/>
      </c>
      <c r="L490" s="103" t="str">
        <f>IF(N490="","",K487-N490)</f>
        <v/>
      </c>
      <c r="M490" s="104"/>
      <c r="N490" s="107"/>
      <c r="O490" s="105"/>
      <c r="P490" s="102" t="str">
        <f>IF(R490="","",P487-R490)</f>
        <v/>
      </c>
      <c r="Q490" s="103" t="str">
        <f>IF(S490="","",P487-S490)</f>
        <v/>
      </c>
      <c r="R490" s="104"/>
      <c r="S490" s="104"/>
      <c r="T490" s="105"/>
      <c r="U490" s="108"/>
      <c r="V490" s="109"/>
    </row>
    <row r="491" spans="1:22" ht="9" customHeight="1" x14ac:dyDescent="0.55000000000000004">
      <c r="A491" s="19"/>
      <c r="B491" s="69"/>
      <c r="C491" s="70"/>
      <c r="D491" s="69"/>
      <c r="E491" s="71"/>
      <c r="F491" s="72"/>
      <c r="G491" s="73"/>
      <c r="H491" s="74"/>
      <c r="I491" s="75"/>
      <c r="J491" s="76"/>
      <c r="K491" s="72"/>
      <c r="L491" s="73"/>
      <c r="M491" s="74"/>
      <c r="N491" s="75"/>
      <c r="O491" s="76"/>
      <c r="P491" s="72"/>
      <c r="Q491" s="73"/>
      <c r="R491" s="74"/>
      <c r="S491" s="75"/>
      <c r="T491" s="76"/>
      <c r="U491" s="77" t="str">
        <f>IF(OR(F494="",P494=""),"",B491/(F494-P494))</f>
        <v/>
      </c>
      <c r="V491" s="78"/>
    </row>
    <row r="492" spans="1:22" ht="9" customHeight="1" x14ac:dyDescent="0.55000000000000004">
      <c r="A492" s="79"/>
      <c r="B492" s="80"/>
      <c r="C492" s="81"/>
      <c r="D492" s="80"/>
      <c r="E492" s="82"/>
      <c r="F492" s="83" t="str">
        <f>IF(H494="","",F491-H492)</f>
        <v/>
      </c>
      <c r="G492" s="84" t="str">
        <f>IF(I494="","",F491-I492)</f>
        <v/>
      </c>
      <c r="H492" s="85" t="str">
        <f>IF(OR($A494="集水",$A494="吸水"),0.4,"")</f>
        <v/>
      </c>
      <c r="I492" s="85" t="str">
        <f>IF(OR($A494="集水",$A494="吸水"),0.4,"")</f>
        <v/>
      </c>
      <c r="J492" s="86" t="str">
        <f>IF(G492="","",F492-G492)</f>
        <v/>
      </c>
      <c r="K492" s="83" t="str">
        <f>IF(M494="","",K491-M492)</f>
        <v/>
      </c>
      <c r="L492" s="87" t="str">
        <f>IF(N494="","",K491-N492)</f>
        <v/>
      </c>
      <c r="M492" s="85" t="str">
        <f>IF(M494="","",IF(OR($A494="集水",$A494="吸水"),0.4,""))</f>
        <v/>
      </c>
      <c r="N492" s="85" t="str">
        <f>IF(N494="","",IF(OR($A494="集水",$A494="吸水"),0.4,""))</f>
        <v/>
      </c>
      <c r="O492" s="86" t="str">
        <f>IF(L492="","",K492-L492)</f>
        <v/>
      </c>
      <c r="P492" s="83" t="str">
        <f>IF(R494="","",P491-R492)</f>
        <v/>
      </c>
      <c r="Q492" s="84" t="str">
        <f>IF(S494="","",P491-S492)</f>
        <v/>
      </c>
      <c r="R492" s="85" t="str">
        <f>IF(OR($A494="集水",$A494="吸水"),0.4,"")</f>
        <v/>
      </c>
      <c r="S492" s="85" t="str">
        <f>IF(OR($A494="集水",$A494="吸水"),0.4,"")</f>
        <v/>
      </c>
      <c r="T492" s="86" t="str">
        <f>IF(Q492="","",P492-Q492)</f>
        <v/>
      </c>
      <c r="U492" s="88"/>
      <c r="V492" s="89"/>
    </row>
    <row r="493" spans="1:22" ht="9" customHeight="1" x14ac:dyDescent="0.55000000000000004">
      <c r="A493" s="90"/>
      <c r="B493" s="91"/>
      <c r="C493" s="92" t="str">
        <f>IF(B491="","",B493-B491)</f>
        <v/>
      </c>
      <c r="D493" s="91"/>
      <c r="E493" s="93" t="str">
        <f>IF(D491="","",D493-D491)</f>
        <v/>
      </c>
      <c r="F493" s="94"/>
      <c r="G493" s="85"/>
      <c r="H493" s="85"/>
      <c r="I493" s="95"/>
      <c r="J493" s="86"/>
      <c r="K493" s="94"/>
      <c r="L493" s="85"/>
      <c r="M493" s="85"/>
      <c r="N493" s="95"/>
      <c r="O493" s="86"/>
      <c r="P493" s="94"/>
      <c r="Q493" s="85"/>
      <c r="R493" s="85"/>
      <c r="S493" s="95"/>
      <c r="T493" s="86"/>
      <c r="U493" s="96"/>
      <c r="V493" s="97"/>
    </row>
    <row r="494" spans="1:22" ht="9" customHeight="1" x14ac:dyDescent="0.55000000000000004">
      <c r="A494" s="98"/>
      <c r="B494" s="99"/>
      <c r="C494" s="100"/>
      <c r="D494" s="99"/>
      <c r="E494" s="101"/>
      <c r="F494" s="102" t="str">
        <f>IF(H494="","",F491-H494)</f>
        <v/>
      </c>
      <c r="G494" s="103" t="str">
        <f>IF(I494="","",F491-I494)</f>
        <v/>
      </c>
      <c r="H494" s="104"/>
      <c r="I494" s="104"/>
      <c r="J494" s="105"/>
      <c r="K494" s="106" t="str">
        <f>IF(M494="","",K491-M494)</f>
        <v/>
      </c>
      <c r="L494" s="103" t="str">
        <f>IF(N494="","",K491-N494)</f>
        <v/>
      </c>
      <c r="M494" s="104"/>
      <c r="N494" s="107"/>
      <c r="O494" s="105"/>
      <c r="P494" s="102" t="str">
        <f>IF(R494="","",P491-R494)</f>
        <v/>
      </c>
      <c r="Q494" s="103" t="str">
        <f>IF(S494="","",P491-S494)</f>
        <v/>
      </c>
      <c r="R494" s="104"/>
      <c r="S494" s="104"/>
      <c r="T494" s="105"/>
      <c r="U494" s="108"/>
      <c r="V494" s="109"/>
    </row>
    <row r="495" spans="1:22" ht="9" customHeight="1" x14ac:dyDescent="0.55000000000000004">
      <c r="A495" s="19"/>
      <c r="B495" s="69"/>
      <c r="C495" s="70"/>
      <c r="D495" s="69"/>
      <c r="E495" s="71"/>
      <c r="F495" s="72"/>
      <c r="G495" s="73"/>
      <c r="H495" s="74"/>
      <c r="I495" s="75"/>
      <c r="J495" s="76"/>
      <c r="K495" s="72"/>
      <c r="L495" s="73"/>
      <c r="M495" s="74"/>
      <c r="N495" s="75"/>
      <c r="O495" s="76"/>
      <c r="P495" s="72"/>
      <c r="Q495" s="73"/>
      <c r="R495" s="74"/>
      <c r="S495" s="75"/>
      <c r="T495" s="76"/>
      <c r="U495" s="77" t="str">
        <f>IF(OR(F498="",P498=""),"",B495/(F498-P498))</f>
        <v/>
      </c>
      <c r="V495" s="78"/>
    </row>
    <row r="496" spans="1:22" ht="9" customHeight="1" x14ac:dyDescent="0.55000000000000004">
      <c r="A496" s="79"/>
      <c r="B496" s="80"/>
      <c r="C496" s="81"/>
      <c r="D496" s="80"/>
      <c r="E496" s="82"/>
      <c r="F496" s="83" t="str">
        <f>IF(H498="","",F495-H496)</f>
        <v/>
      </c>
      <c r="G496" s="84" t="str">
        <f>IF(I498="","",F495-I496)</f>
        <v/>
      </c>
      <c r="H496" s="85" t="str">
        <f>IF(OR($A498="集水",$A498="吸水"),0.4,"")</f>
        <v/>
      </c>
      <c r="I496" s="85" t="str">
        <f>IF(OR($A498="集水",$A498="吸水"),0.4,"")</f>
        <v/>
      </c>
      <c r="J496" s="86" t="str">
        <f>IF(G496="","",F496-G496)</f>
        <v/>
      </c>
      <c r="K496" s="83" t="str">
        <f>IF(M498="","",K495-M496)</f>
        <v/>
      </c>
      <c r="L496" s="87" t="str">
        <f>IF(N498="","",K495-N496)</f>
        <v/>
      </c>
      <c r="M496" s="85" t="str">
        <f>IF(M498="","",IF(OR($A498="集水",$A498="吸水"),0.4,""))</f>
        <v/>
      </c>
      <c r="N496" s="85" t="str">
        <f>IF(N498="","",IF(OR($A498="集水",$A498="吸水"),0.4,""))</f>
        <v/>
      </c>
      <c r="O496" s="86" t="str">
        <f>IF(L496="","",K496-L496)</f>
        <v/>
      </c>
      <c r="P496" s="83" t="str">
        <f>IF(R498="","",P495-R496)</f>
        <v/>
      </c>
      <c r="Q496" s="84" t="str">
        <f>IF(S498="","",P495-S496)</f>
        <v/>
      </c>
      <c r="R496" s="85" t="str">
        <f>IF(OR($A498="集水",$A498="吸水"),0.4,"")</f>
        <v/>
      </c>
      <c r="S496" s="85" t="str">
        <f>IF(OR($A498="集水",$A498="吸水"),0.4,"")</f>
        <v/>
      </c>
      <c r="T496" s="86" t="str">
        <f>IF(Q496="","",P496-Q496)</f>
        <v/>
      </c>
      <c r="U496" s="88"/>
      <c r="V496" s="89"/>
    </row>
    <row r="497" spans="1:22" ht="9" customHeight="1" x14ac:dyDescent="0.55000000000000004">
      <c r="A497" s="90"/>
      <c r="B497" s="91"/>
      <c r="C497" s="92" t="str">
        <f>IF(B495="","",B497-B495)</f>
        <v/>
      </c>
      <c r="D497" s="91"/>
      <c r="E497" s="93" t="str">
        <f>IF(D495="","",D497-D495)</f>
        <v/>
      </c>
      <c r="F497" s="94"/>
      <c r="G497" s="85"/>
      <c r="H497" s="85"/>
      <c r="I497" s="95"/>
      <c r="J497" s="86"/>
      <c r="K497" s="94"/>
      <c r="L497" s="85"/>
      <c r="M497" s="85"/>
      <c r="N497" s="95"/>
      <c r="O497" s="86"/>
      <c r="P497" s="94"/>
      <c r="Q497" s="85"/>
      <c r="R497" s="85"/>
      <c r="S497" s="95"/>
      <c r="T497" s="86"/>
      <c r="U497" s="96"/>
      <c r="V497" s="97"/>
    </row>
    <row r="498" spans="1:22" ht="9" customHeight="1" x14ac:dyDescent="0.55000000000000004">
      <c r="A498" s="98"/>
      <c r="B498" s="99"/>
      <c r="C498" s="100"/>
      <c r="D498" s="99"/>
      <c r="E498" s="101"/>
      <c r="F498" s="102" t="str">
        <f>IF(H498="","",F495-H498)</f>
        <v/>
      </c>
      <c r="G498" s="103" t="str">
        <f>IF(I498="","",F495-I498)</f>
        <v/>
      </c>
      <c r="H498" s="104"/>
      <c r="I498" s="104"/>
      <c r="J498" s="105"/>
      <c r="K498" s="106" t="str">
        <f>IF(M498="","",K495-M498)</f>
        <v/>
      </c>
      <c r="L498" s="103" t="str">
        <f>IF(N498="","",K495-N498)</f>
        <v/>
      </c>
      <c r="M498" s="104"/>
      <c r="N498" s="107"/>
      <c r="O498" s="105"/>
      <c r="P498" s="102" t="str">
        <f>IF(R498="","",P495-R498)</f>
        <v/>
      </c>
      <c r="Q498" s="103" t="str">
        <f>IF(S498="","",P495-S498)</f>
        <v/>
      </c>
      <c r="R498" s="104"/>
      <c r="S498" s="104"/>
      <c r="T498" s="105"/>
      <c r="U498" s="108"/>
      <c r="V498" s="109"/>
    </row>
    <row r="499" spans="1:22" ht="9" customHeight="1" x14ac:dyDescent="0.55000000000000004">
      <c r="A499" s="19"/>
      <c r="B499" s="69"/>
      <c r="C499" s="70"/>
      <c r="D499" s="69"/>
      <c r="E499" s="71"/>
      <c r="F499" s="72"/>
      <c r="G499" s="73"/>
      <c r="H499" s="74"/>
      <c r="I499" s="75"/>
      <c r="J499" s="76"/>
      <c r="K499" s="72"/>
      <c r="L499" s="73"/>
      <c r="M499" s="74"/>
      <c r="N499" s="75"/>
      <c r="O499" s="76"/>
      <c r="P499" s="72"/>
      <c r="Q499" s="73"/>
      <c r="R499" s="74"/>
      <c r="S499" s="75"/>
      <c r="T499" s="76"/>
      <c r="U499" s="77" t="str">
        <f>IF(OR(F502="",P502=""),"",B499/(F502-P502))</f>
        <v/>
      </c>
      <c r="V499" s="78"/>
    </row>
    <row r="500" spans="1:22" ht="9" customHeight="1" x14ac:dyDescent="0.55000000000000004">
      <c r="A500" s="79"/>
      <c r="B500" s="80"/>
      <c r="C500" s="81"/>
      <c r="D500" s="80"/>
      <c r="E500" s="82"/>
      <c r="F500" s="83" t="str">
        <f>IF(H502="","",F499-H500)</f>
        <v/>
      </c>
      <c r="G500" s="84" t="str">
        <f>IF(I502="","",F499-I500)</f>
        <v/>
      </c>
      <c r="H500" s="85" t="str">
        <f>IF(OR($A502="集水",$A502="吸水"),0.4,"")</f>
        <v/>
      </c>
      <c r="I500" s="85" t="str">
        <f>IF(OR($A502="集水",$A502="吸水"),0.4,"")</f>
        <v/>
      </c>
      <c r="J500" s="86" t="str">
        <f>IF(G500="","",F500-G500)</f>
        <v/>
      </c>
      <c r="K500" s="83" t="str">
        <f>IF(M502="","",K499-M500)</f>
        <v/>
      </c>
      <c r="L500" s="87" t="str">
        <f>IF(N502="","",K499-N500)</f>
        <v/>
      </c>
      <c r="M500" s="85" t="str">
        <f>IF(M502="","",IF(OR($A502="集水",$A502="吸水"),0.4,""))</f>
        <v/>
      </c>
      <c r="N500" s="85" t="str">
        <f>IF(N502="","",IF(OR($A502="集水",$A502="吸水"),0.4,""))</f>
        <v/>
      </c>
      <c r="O500" s="86" t="str">
        <f>IF(L500="","",K500-L500)</f>
        <v/>
      </c>
      <c r="P500" s="83" t="str">
        <f>IF(R502="","",P499-R500)</f>
        <v/>
      </c>
      <c r="Q500" s="84" t="str">
        <f>IF(S502="","",P499-S500)</f>
        <v/>
      </c>
      <c r="R500" s="85" t="str">
        <f>IF(OR($A502="集水",$A502="吸水"),0.4,"")</f>
        <v/>
      </c>
      <c r="S500" s="85" t="str">
        <f>IF(OR($A502="集水",$A502="吸水"),0.4,"")</f>
        <v/>
      </c>
      <c r="T500" s="86" t="str">
        <f>IF(Q500="","",P500-Q500)</f>
        <v/>
      </c>
      <c r="U500" s="88"/>
      <c r="V500" s="89"/>
    </row>
    <row r="501" spans="1:22" ht="9" customHeight="1" x14ac:dyDescent="0.55000000000000004">
      <c r="A501" s="90"/>
      <c r="B501" s="91"/>
      <c r="C501" s="92" t="str">
        <f>IF(B499="","",B501-B499)</f>
        <v/>
      </c>
      <c r="D501" s="91"/>
      <c r="E501" s="93" t="str">
        <f>IF(D499="","",D501-D499)</f>
        <v/>
      </c>
      <c r="F501" s="94"/>
      <c r="G501" s="85"/>
      <c r="H501" s="85"/>
      <c r="I501" s="95"/>
      <c r="J501" s="86"/>
      <c r="K501" s="94"/>
      <c r="L501" s="85"/>
      <c r="M501" s="85"/>
      <c r="N501" s="95"/>
      <c r="O501" s="86"/>
      <c r="P501" s="94"/>
      <c r="Q501" s="85"/>
      <c r="R501" s="85"/>
      <c r="S501" s="95"/>
      <c r="T501" s="86"/>
      <c r="U501" s="96"/>
      <c r="V501" s="97"/>
    </row>
    <row r="502" spans="1:22" ht="9" customHeight="1" x14ac:dyDescent="0.55000000000000004">
      <c r="A502" s="98"/>
      <c r="B502" s="99"/>
      <c r="C502" s="100"/>
      <c r="D502" s="99"/>
      <c r="E502" s="101"/>
      <c r="F502" s="102" t="str">
        <f>IF(H502="","",F499-H502)</f>
        <v/>
      </c>
      <c r="G502" s="103" t="str">
        <f>IF(I502="","",F499-I502)</f>
        <v/>
      </c>
      <c r="H502" s="104"/>
      <c r="I502" s="104"/>
      <c r="J502" s="105"/>
      <c r="K502" s="106" t="str">
        <f>IF(M502="","",K499-M502)</f>
        <v/>
      </c>
      <c r="L502" s="103" t="str">
        <f>IF(N502="","",K499-N502)</f>
        <v/>
      </c>
      <c r="M502" s="104"/>
      <c r="N502" s="107"/>
      <c r="O502" s="105"/>
      <c r="P502" s="102" t="str">
        <f>IF(R502="","",P499-R502)</f>
        <v/>
      </c>
      <c r="Q502" s="103" t="str">
        <f>IF(S502="","",P499-S502)</f>
        <v/>
      </c>
      <c r="R502" s="104"/>
      <c r="S502" s="104"/>
      <c r="T502" s="105"/>
      <c r="U502" s="108"/>
      <c r="V502" s="109"/>
    </row>
    <row r="503" spans="1:22" ht="9" customHeight="1" x14ac:dyDescent="0.55000000000000004">
      <c r="A503" s="19"/>
      <c r="B503" s="69"/>
      <c r="C503" s="70"/>
      <c r="D503" s="69"/>
      <c r="E503" s="71"/>
      <c r="F503" s="72"/>
      <c r="G503" s="73"/>
      <c r="H503" s="74"/>
      <c r="I503" s="75"/>
      <c r="J503" s="76"/>
      <c r="K503" s="72"/>
      <c r="L503" s="73"/>
      <c r="M503" s="74"/>
      <c r="N503" s="75"/>
      <c r="O503" s="76"/>
      <c r="P503" s="72"/>
      <c r="Q503" s="73"/>
      <c r="R503" s="74"/>
      <c r="S503" s="75"/>
      <c r="T503" s="76"/>
      <c r="U503" s="77" t="str">
        <f>IF(OR(F506="",P506=""),"",B503/(F506-P506))</f>
        <v/>
      </c>
      <c r="V503" s="78"/>
    </row>
    <row r="504" spans="1:22" ht="9" customHeight="1" x14ac:dyDescent="0.55000000000000004">
      <c r="A504" s="79"/>
      <c r="B504" s="80"/>
      <c r="C504" s="81"/>
      <c r="D504" s="80"/>
      <c r="E504" s="82"/>
      <c r="F504" s="83" t="str">
        <f>IF(H506="","",F503-H504)</f>
        <v/>
      </c>
      <c r="G504" s="84" t="str">
        <f>IF(I506="","",F503-I504)</f>
        <v/>
      </c>
      <c r="H504" s="85" t="str">
        <f>IF(OR($A506="集水",$A506="吸水"),0.4,"")</f>
        <v/>
      </c>
      <c r="I504" s="85" t="str">
        <f>IF(OR($A506="集水",$A506="吸水"),0.4,"")</f>
        <v/>
      </c>
      <c r="J504" s="86" t="str">
        <f>IF(G504="","",F504-G504)</f>
        <v/>
      </c>
      <c r="K504" s="83" t="str">
        <f>IF(M506="","",K503-M504)</f>
        <v/>
      </c>
      <c r="L504" s="87" t="str">
        <f>IF(N506="","",K503-N504)</f>
        <v/>
      </c>
      <c r="M504" s="85" t="str">
        <f>IF(M506="","",IF(OR($A506="集水",$A506="吸水"),0.4,""))</f>
        <v/>
      </c>
      <c r="N504" s="85" t="str">
        <f>IF(N506="","",IF(OR($A506="集水",$A506="吸水"),0.4,""))</f>
        <v/>
      </c>
      <c r="O504" s="86" t="str">
        <f>IF(L504="","",K504-L504)</f>
        <v/>
      </c>
      <c r="P504" s="83" t="str">
        <f>IF(R506="","",P503-R504)</f>
        <v/>
      </c>
      <c r="Q504" s="84" t="str">
        <f>IF(S506="","",P503-S504)</f>
        <v/>
      </c>
      <c r="R504" s="85" t="str">
        <f>IF(OR($A506="集水",$A506="吸水"),0.4,"")</f>
        <v/>
      </c>
      <c r="S504" s="85" t="str">
        <f>IF(OR($A506="集水",$A506="吸水"),0.4,"")</f>
        <v/>
      </c>
      <c r="T504" s="86" t="str">
        <f>IF(Q504="","",P504-Q504)</f>
        <v/>
      </c>
      <c r="U504" s="88"/>
      <c r="V504" s="89"/>
    </row>
    <row r="505" spans="1:22" ht="9" customHeight="1" x14ac:dyDescent="0.55000000000000004">
      <c r="A505" s="90"/>
      <c r="B505" s="91"/>
      <c r="C505" s="92" t="str">
        <f>IF(B503="","",B505-B503)</f>
        <v/>
      </c>
      <c r="D505" s="91"/>
      <c r="E505" s="93" t="str">
        <f>IF(D503="","",D505-D503)</f>
        <v/>
      </c>
      <c r="F505" s="94"/>
      <c r="G505" s="85"/>
      <c r="H505" s="85"/>
      <c r="I505" s="95"/>
      <c r="J505" s="86"/>
      <c r="K505" s="94"/>
      <c r="L505" s="85"/>
      <c r="M505" s="85"/>
      <c r="N505" s="95"/>
      <c r="O505" s="86"/>
      <c r="P505" s="94"/>
      <c r="Q505" s="85"/>
      <c r="R505" s="85"/>
      <c r="S505" s="95"/>
      <c r="T505" s="86"/>
      <c r="U505" s="96"/>
      <c r="V505" s="97"/>
    </row>
    <row r="506" spans="1:22" ht="9" customHeight="1" x14ac:dyDescent="0.55000000000000004">
      <c r="A506" s="98"/>
      <c r="B506" s="99"/>
      <c r="C506" s="100"/>
      <c r="D506" s="99"/>
      <c r="E506" s="101"/>
      <c r="F506" s="102" t="str">
        <f>IF(H506="","",F503-H506)</f>
        <v/>
      </c>
      <c r="G506" s="103" t="str">
        <f>IF(I506="","",F503-I506)</f>
        <v/>
      </c>
      <c r="H506" s="104"/>
      <c r="I506" s="104"/>
      <c r="J506" s="105"/>
      <c r="K506" s="106" t="str">
        <f>IF(M506="","",K503-M506)</f>
        <v/>
      </c>
      <c r="L506" s="103" t="str">
        <f>IF(N506="","",K503-N506)</f>
        <v/>
      </c>
      <c r="M506" s="104"/>
      <c r="N506" s="107"/>
      <c r="O506" s="105"/>
      <c r="P506" s="102" t="str">
        <f>IF(R506="","",P503-R506)</f>
        <v/>
      </c>
      <c r="Q506" s="103" t="str">
        <f>IF(S506="","",P503-S506)</f>
        <v/>
      </c>
      <c r="R506" s="104"/>
      <c r="S506" s="104"/>
      <c r="T506" s="105"/>
      <c r="U506" s="108"/>
      <c r="V506" s="109"/>
    </row>
    <row r="507" spans="1:22" ht="9" customHeight="1" x14ac:dyDescent="0.55000000000000004">
      <c r="A507" s="19"/>
      <c r="B507" s="69"/>
      <c r="C507" s="70"/>
      <c r="D507" s="69"/>
      <c r="E507" s="71"/>
      <c r="F507" s="72"/>
      <c r="G507" s="73"/>
      <c r="H507" s="74"/>
      <c r="I507" s="75"/>
      <c r="J507" s="76"/>
      <c r="K507" s="72"/>
      <c r="L507" s="73"/>
      <c r="M507" s="74"/>
      <c r="N507" s="75"/>
      <c r="O507" s="76"/>
      <c r="P507" s="72"/>
      <c r="Q507" s="73"/>
      <c r="R507" s="74"/>
      <c r="S507" s="75"/>
      <c r="T507" s="76"/>
      <c r="U507" s="77" t="str">
        <f>IF(OR(F510="",P510=""),"",B507/(F510-P510))</f>
        <v/>
      </c>
      <c r="V507" s="78"/>
    </row>
    <row r="508" spans="1:22" ht="9" customHeight="1" x14ac:dyDescent="0.55000000000000004">
      <c r="A508" s="79"/>
      <c r="B508" s="80"/>
      <c r="C508" s="81"/>
      <c r="D508" s="80"/>
      <c r="E508" s="82"/>
      <c r="F508" s="83" t="str">
        <f>IF(H510="","",F507-H508)</f>
        <v/>
      </c>
      <c r="G508" s="84" t="str">
        <f>IF(I510="","",F507-I508)</f>
        <v/>
      </c>
      <c r="H508" s="85" t="str">
        <f>IF(OR($A510="集水",$A510="吸水"),0.4,"")</f>
        <v/>
      </c>
      <c r="I508" s="85" t="str">
        <f>IF(OR($A510="集水",$A510="吸水"),0.4,"")</f>
        <v/>
      </c>
      <c r="J508" s="86" t="str">
        <f>IF(G508="","",F508-G508)</f>
        <v/>
      </c>
      <c r="K508" s="83" t="str">
        <f>IF(M510="","",K507-M508)</f>
        <v/>
      </c>
      <c r="L508" s="87" t="str">
        <f>IF(N510="","",K507-N508)</f>
        <v/>
      </c>
      <c r="M508" s="85" t="str">
        <f>IF(M510="","",IF(OR($A510="集水",$A510="吸水"),0.4,""))</f>
        <v/>
      </c>
      <c r="N508" s="85" t="str">
        <f>IF(N510="","",IF(OR($A510="集水",$A510="吸水"),0.4,""))</f>
        <v/>
      </c>
      <c r="O508" s="86" t="str">
        <f>IF(L508="","",K508-L508)</f>
        <v/>
      </c>
      <c r="P508" s="83" t="str">
        <f>IF(R510="","",P507-R508)</f>
        <v/>
      </c>
      <c r="Q508" s="84" t="str">
        <f>IF(S510="","",P507-S508)</f>
        <v/>
      </c>
      <c r="R508" s="85" t="str">
        <f>IF(OR($A510="集水",$A510="吸水"),0.4,"")</f>
        <v/>
      </c>
      <c r="S508" s="85" t="str">
        <f>IF(OR($A510="集水",$A510="吸水"),0.4,"")</f>
        <v/>
      </c>
      <c r="T508" s="86" t="str">
        <f>IF(Q508="","",P508-Q508)</f>
        <v/>
      </c>
      <c r="U508" s="88"/>
      <c r="V508" s="89"/>
    </row>
    <row r="509" spans="1:22" ht="9" customHeight="1" x14ac:dyDescent="0.55000000000000004">
      <c r="A509" s="90"/>
      <c r="B509" s="91"/>
      <c r="C509" s="92" t="str">
        <f>IF(B507="","",B509-B507)</f>
        <v/>
      </c>
      <c r="D509" s="91"/>
      <c r="E509" s="93" t="str">
        <f>IF(D507="","",D509-D507)</f>
        <v/>
      </c>
      <c r="F509" s="94"/>
      <c r="G509" s="85"/>
      <c r="H509" s="85"/>
      <c r="I509" s="95"/>
      <c r="J509" s="86"/>
      <c r="K509" s="94"/>
      <c r="L509" s="85"/>
      <c r="M509" s="85"/>
      <c r="N509" s="95"/>
      <c r="O509" s="86"/>
      <c r="P509" s="94"/>
      <c r="Q509" s="85"/>
      <c r="R509" s="85"/>
      <c r="S509" s="95"/>
      <c r="T509" s="86"/>
      <c r="U509" s="96"/>
      <c r="V509" s="97"/>
    </row>
    <row r="510" spans="1:22" ht="9" customHeight="1" x14ac:dyDescent="0.55000000000000004">
      <c r="A510" s="98"/>
      <c r="B510" s="99"/>
      <c r="C510" s="100"/>
      <c r="D510" s="99"/>
      <c r="E510" s="101"/>
      <c r="F510" s="102" t="str">
        <f>IF(H510="","",F507-H510)</f>
        <v/>
      </c>
      <c r="G510" s="103" t="str">
        <f>IF(I510="","",F507-I510)</f>
        <v/>
      </c>
      <c r="H510" s="104"/>
      <c r="I510" s="104"/>
      <c r="J510" s="105"/>
      <c r="K510" s="106" t="str">
        <f>IF(M510="","",K507-M510)</f>
        <v/>
      </c>
      <c r="L510" s="103" t="str">
        <f>IF(N510="","",K507-N510)</f>
        <v/>
      </c>
      <c r="M510" s="104"/>
      <c r="N510" s="107"/>
      <c r="O510" s="105"/>
      <c r="P510" s="102" t="str">
        <f>IF(R510="","",P507-R510)</f>
        <v/>
      </c>
      <c r="Q510" s="103" t="str">
        <f>IF(S510="","",P507-S510)</f>
        <v/>
      </c>
      <c r="R510" s="104"/>
      <c r="S510" s="104"/>
      <c r="T510" s="105"/>
      <c r="U510" s="108"/>
      <c r="V510" s="109"/>
    </row>
    <row r="511" spans="1:22" ht="9" customHeight="1" x14ac:dyDescent="0.55000000000000004">
      <c r="A511" s="19"/>
      <c r="B511" s="69"/>
      <c r="C511" s="70"/>
      <c r="D511" s="69"/>
      <c r="E511" s="71"/>
      <c r="F511" s="72"/>
      <c r="G511" s="73"/>
      <c r="H511" s="74"/>
      <c r="I511" s="75"/>
      <c r="J511" s="76"/>
      <c r="K511" s="72"/>
      <c r="L511" s="73"/>
      <c r="M511" s="74"/>
      <c r="N511" s="75"/>
      <c r="O511" s="76"/>
      <c r="P511" s="72"/>
      <c r="Q511" s="73"/>
      <c r="R511" s="74"/>
      <c r="S511" s="75"/>
      <c r="T511" s="76"/>
      <c r="U511" s="77" t="str">
        <f>IF(OR(F514="",P514=""),"",B511/(F514-P514))</f>
        <v/>
      </c>
      <c r="V511" s="78"/>
    </row>
    <row r="512" spans="1:22" ht="9" customHeight="1" x14ac:dyDescent="0.55000000000000004">
      <c r="A512" s="79"/>
      <c r="B512" s="80"/>
      <c r="C512" s="81"/>
      <c r="D512" s="80"/>
      <c r="E512" s="82"/>
      <c r="F512" s="83" t="str">
        <f>IF(H514="","",F511-H512)</f>
        <v/>
      </c>
      <c r="G512" s="84" t="str">
        <f>IF(I514="","",F511-I512)</f>
        <v/>
      </c>
      <c r="H512" s="85" t="str">
        <f>IF(OR($A514="集水",$A514="吸水"),0.4,"")</f>
        <v/>
      </c>
      <c r="I512" s="85" t="str">
        <f>IF(OR($A514="集水",$A514="吸水"),0.4,"")</f>
        <v/>
      </c>
      <c r="J512" s="86" t="str">
        <f>IF(G512="","",F512-G512)</f>
        <v/>
      </c>
      <c r="K512" s="83" t="str">
        <f>IF(M514="","",K511-M512)</f>
        <v/>
      </c>
      <c r="L512" s="87" t="str">
        <f>IF(N514="","",K511-N512)</f>
        <v/>
      </c>
      <c r="M512" s="85" t="str">
        <f>IF(M514="","",IF(OR($A514="集水",$A514="吸水"),0.4,""))</f>
        <v/>
      </c>
      <c r="N512" s="85" t="str">
        <f>IF(N514="","",IF(OR($A514="集水",$A514="吸水"),0.4,""))</f>
        <v/>
      </c>
      <c r="O512" s="86" t="str">
        <f>IF(L512="","",K512-L512)</f>
        <v/>
      </c>
      <c r="P512" s="83" t="str">
        <f>IF(R514="","",P511-R512)</f>
        <v/>
      </c>
      <c r="Q512" s="84" t="str">
        <f>IF(S514="","",P511-S512)</f>
        <v/>
      </c>
      <c r="R512" s="85" t="str">
        <f>IF(OR($A514="集水",$A514="吸水"),0.4,"")</f>
        <v/>
      </c>
      <c r="S512" s="85" t="str">
        <f>IF(OR($A514="集水",$A514="吸水"),0.4,"")</f>
        <v/>
      </c>
      <c r="T512" s="86" t="str">
        <f>IF(Q512="","",P512-Q512)</f>
        <v/>
      </c>
      <c r="U512" s="88"/>
      <c r="V512" s="89"/>
    </row>
    <row r="513" spans="1:22" ht="9" customHeight="1" x14ac:dyDescent="0.55000000000000004">
      <c r="A513" s="90"/>
      <c r="B513" s="91"/>
      <c r="C513" s="92" t="str">
        <f>IF(B511="","",B513-B511)</f>
        <v/>
      </c>
      <c r="D513" s="91"/>
      <c r="E513" s="93" t="str">
        <f>IF(D511="","",D513-D511)</f>
        <v/>
      </c>
      <c r="F513" s="94"/>
      <c r="G513" s="85"/>
      <c r="H513" s="85"/>
      <c r="I513" s="95"/>
      <c r="J513" s="86"/>
      <c r="K513" s="94"/>
      <c r="L513" s="85"/>
      <c r="M513" s="85"/>
      <c r="N513" s="95"/>
      <c r="O513" s="86"/>
      <c r="P513" s="94"/>
      <c r="Q513" s="85"/>
      <c r="R513" s="85"/>
      <c r="S513" s="95"/>
      <c r="T513" s="86"/>
      <c r="U513" s="96"/>
      <c r="V513" s="97"/>
    </row>
    <row r="514" spans="1:22" ht="9" customHeight="1" x14ac:dyDescent="0.55000000000000004">
      <c r="A514" s="98"/>
      <c r="B514" s="99"/>
      <c r="C514" s="100"/>
      <c r="D514" s="99"/>
      <c r="E514" s="101"/>
      <c r="F514" s="102" t="str">
        <f>IF(H514="","",F511-H514)</f>
        <v/>
      </c>
      <c r="G514" s="103" t="str">
        <f>IF(I514="","",F511-I514)</f>
        <v/>
      </c>
      <c r="H514" s="104"/>
      <c r="I514" s="104"/>
      <c r="J514" s="105"/>
      <c r="K514" s="106" t="str">
        <f>IF(M514="","",K511-M514)</f>
        <v/>
      </c>
      <c r="L514" s="103" t="str">
        <f>IF(N514="","",K511-N514)</f>
        <v/>
      </c>
      <c r="M514" s="104"/>
      <c r="N514" s="107"/>
      <c r="O514" s="105"/>
      <c r="P514" s="102" t="str">
        <f>IF(R514="","",P511-R514)</f>
        <v/>
      </c>
      <c r="Q514" s="103" t="str">
        <f>IF(S514="","",P511-S514)</f>
        <v/>
      </c>
      <c r="R514" s="104"/>
      <c r="S514" s="104"/>
      <c r="T514" s="105"/>
      <c r="U514" s="108"/>
      <c r="V514" s="109"/>
    </row>
    <row r="515" spans="1:22" ht="9" customHeight="1" x14ac:dyDescent="0.55000000000000004">
      <c r="A515" s="19"/>
      <c r="B515" s="69"/>
      <c r="C515" s="70"/>
      <c r="D515" s="69"/>
      <c r="E515" s="71"/>
      <c r="F515" s="72"/>
      <c r="G515" s="73"/>
      <c r="H515" s="74"/>
      <c r="I515" s="75"/>
      <c r="J515" s="76"/>
      <c r="K515" s="72"/>
      <c r="L515" s="73"/>
      <c r="M515" s="74"/>
      <c r="N515" s="75"/>
      <c r="O515" s="76"/>
      <c r="P515" s="72"/>
      <c r="Q515" s="73"/>
      <c r="R515" s="74"/>
      <c r="S515" s="75"/>
      <c r="T515" s="76"/>
      <c r="U515" s="77" t="str">
        <f>IF(OR(F518="",P518=""),"",B515/(F518-P518))</f>
        <v/>
      </c>
      <c r="V515" s="78"/>
    </row>
    <row r="516" spans="1:22" ht="9" customHeight="1" x14ac:dyDescent="0.55000000000000004">
      <c r="A516" s="79"/>
      <c r="B516" s="80"/>
      <c r="C516" s="81"/>
      <c r="D516" s="80"/>
      <c r="E516" s="82"/>
      <c r="F516" s="83" t="str">
        <f>IF(H518="","",F515-H516)</f>
        <v/>
      </c>
      <c r="G516" s="84" t="str">
        <f>IF(I518="","",F515-I516)</f>
        <v/>
      </c>
      <c r="H516" s="85" t="str">
        <f>IF(OR($A518="集水",$A518="吸水"),0.4,"")</f>
        <v/>
      </c>
      <c r="I516" s="85" t="str">
        <f>IF(OR($A518="集水",$A518="吸水"),0.4,"")</f>
        <v/>
      </c>
      <c r="J516" s="86" t="str">
        <f>IF(G516="","",F516-G516)</f>
        <v/>
      </c>
      <c r="K516" s="83" t="str">
        <f>IF(M518="","",K515-M516)</f>
        <v/>
      </c>
      <c r="L516" s="87" t="str">
        <f>IF(N518="","",K515-N516)</f>
        <v/>
      </c>
      <c r="M516" s="85" t="str">
        <f>IF(M518="","",IF(OR($A518="集水",$A518="吸水"),0.4,""))</f>
        <v/>
      </c>
      <c r="N516" s="85" t="str">
        <f>IF(N518="","",IF(OR($A518="集水",$A518="吸水"),0.4,""))</f>
        <v/>
      </c>
      <c r="O516" s="86" t="str">
        <f>IF(L516="","",K516-L516)</f>
        <v/>
      </c>
      <c r="P516" s="83" t="str">
        <f>IF(R518="","",P515-R516)</f>
        <v/>
      </c>
      <c r="Q516" s="84" t="str">
        <f>IF(S518="","",P515-S516)</f>
        <v/>
      </c>
      <c r="R516" s="85" t="str">
        <f>IF(OR($A518="集水",$A518="吸水"),0.4,"")</f>
        <v/>
      </c>
      <c r="S516" s="85" t="str">
        <f>IF(OR($A518="集水",$A518="吸水"),0.4,"")</f>
        <v/>
      </c>
      <c r="T516" s="86" t="str">
        <f>IF(Q516="","",P516-Q516)</f>
        <v/>
      </c>
      <c r="U516" s="88"/>
      <c r="V516" s="89"/>
    </row>
    <row r="517" spans="1:22" ht="9" customHeight="1" x14ac:dyDescent="0.55000000000000004">
      <c r="A517" s="90"/>
      <c r="B517" s="91"/>
      <c r="C517" s="92" t="str">
        <f>IF(B515="","",B517-B515)</f>
        <v/>
      </c>
      <c r="D517" s="91"/>
      <c r="E517" s="93" t="str">
        <f>IF(D515="","",D517-D515)</f>
        <v/>
      </c>
      <c r="F517" s="94"/>
      <c r="G517" s="85"/>
      <c r="H517" s="85"/>
      <c r="I517" s="95"/>
      <c r="J517" s="86"/>
      <c r="K517" s="94"/>
      <c r="L517" s="85"/>
      <c r="M517" s="85"/>
      <c r="N517" s="95"/>
      <c r="O517" s="86"/>
      <c r="P517" s="94"/>
      <c r="Q517" s="85"/>
      <c r="R517" s="85"/>
      <c r="S517" s="95"/>
      <c r="T517" s="86"/>
      <c r="U517" s="96"/>
      <c r="V517" s="97"/>
    </row>
    <row r="518" spans="1:22" ht="9" customHeight="1" x14ac:dyDescent="0.55000000000000004">
      <c r="A518" s="98"/>
      <c r="B518" s="99"/>
      <c r="C518" s="100"/>
      <c r="D518" s="99"/>
      <c r="E518" s="101"/>
      <c r="F518" s="102" t="str">
        <f>IF(H518="","",F515-H518)</f>
        <v/>
      </c>
      <c r="G518" s="103" t="str">
        <f>IF(I518="","",F515-I518)</f>
        <v/>
      </c>
      <c r="H518" s="104"/>
      <c r="I518" s="104"/>
      <c r="J518" s="105"/>
      <c r="K518" s="106" t="str">
        <f>IF(M518="","",K515-M518)</f>
        <v/>
      </c>
      <c r="L518" s="103" t="str">
        <f>IF(N518="","",K515-N518)</f>
        <v/>
      </c>
      <c r="M518" s="104"/>
      <c r="N518" s="107"/>
      <c r="O518" s="105"/>
      <c r="P518" s="102" t="str">
        <f>IF(R518="","",P515-R518)</f>
        <v/>
      </c>
      <c r="Q518" s="103" t="str">
        <f>IF(S518="","",P515-S518)</f>
        <v/>
      </c>
      <c r="R518" s="104"/>
      <c r="S518" s="104"/>
      <c r="T518" s="105"/>
      <c r="U518" s="108"/>
      <c r="V518" s="109"/>
    </row>
    <row r="519" spans="1:22" ht="9" customHeight="1" x14ac:dyDescent="0.55000000000000004">
      <c r="A519" s="19"/>
      <c r="B519" s="69"/>
      <c r="C519" s="70"/>
      <c r="D519" s="69"/>
      <c r="E519" s="71"/>
      <c r="F519" s="72"/>
      <c r="G519" s="73"/>
      <c r="H519" s="74"/>
      <c r="I519" s="75"/>
      <c r="J519" s="76"/>
      <c r="K519" s="72"/>
      <c r="L519" s="73"/>
      <c r="M519" s="74"/>
      <c r="N519" s="75"/>
      <c r="O519" s="76"/>
      <c r="P519" s="72"/>
      <c r="Q519" s="73"/>
      <c r="R519" s="74"/>
      <c r="S519" s="75"/>
      <c r="T519" s="76"/>
      <c r="U519" s="77" t="str">
        <f>IF(OR(F522="",P522=""),"",B519/(F522-P522))</f>
        <v/>
      </c>
      <c r="V519" s="78"/>
    </row>
    <row r="520" spans="1:22" ht="9" customHeight="1" x14ac:dyDescent="0.55000000000000004">
      <c r="A520" s="79"/>
      <c r="B520" s="80"/>
      <c r="C520" s="81"/>
      <c r="D520" s="80"/>
      <c r="E520" s="82"/>
      <c r="F520" s="83" t="str">
        <f>IF(H522="","",F519-H520)</f>
        <v/>
      </c>
      <c r="G520" s="84" t="str">
        <f>IF(I522="","",F519-I520)</f>
        <v/>
      </c>
      <c r="H520" s="85" t="str">
        <f>IF(OR($A522="集水",$A522="吸水"),0.4,"")</f>
        <v/>
      </c>
      <c r="I520" s="85" t="str">
        <f>IF(OR($A522="集水",$A522="吸水"),0.4,"")</f>
        <v/>
      </c>
      <c r="J520" s="86" t="str">
        <f>IF(G520="","",F520-G520)</f>
        <v/>
      </c>
      <c r="K520" s="83" t="str">
        <f>IF(M522="","",K519-M520)</f>
        <v/>
      </c>
      <c r="L520" s="87" t="str">
        <f>IF(N522="","",K519-N520)</f>
        <v/>
      </c>
      <c r="M520" s="85" t="str">
        <f>IF(M522="","",IF(OR($A522="集水",$A522="吸水"),0.4,""))</f>
        <v/>
      </c>
      <c r="N520" s="85" t="str">
        <f>IF(N522="","",IF(OR($A522="集水",$A522="吸水"),0.4,""))</f>
        <v/>
      </c>
      <c r="O520" s="86" t="str">
        <f>IF(L520="","",K520-L520)</f>
        <v/>
      </c>
      <c r="P520" s="83" t="str">
        <f>IF(R522="","",P519-R520)</f>
        <v/>
      </c>
      <c r="Q520" s="84" t="str">
        <f>IF(S522="","",P519-S520)</f>
        <v/>
      </c>
      <c r="R520" s="85" t="str">
        <f>IF(OR($A522="集水",$A522="吸水"),0.4,"")</f>
        <v/>
      </c>
      <c r="S520" s="85" t="str">
        <f>IF(OR($A522="集水",$A522="吸水"),0.4,"")</f>
        <v/>
      </c>
      <c r="T520" s="86" t="str">
        <f>IF(Q520="","",P520-Q520)</f>
        <v/>
      </c>
      <c r="U520" s="88"/>
      <c r="V520" s="89"/>
    </row>
    <row r="521" spans="1:22" ht="9" customHeight="1" x14ac:dyDescent="0.55000000000000004">
      <c r="A521" s="90"/>
      <c r="B521" s="91"/>
      <c r="C521" s="92" t="str">
        <f>IF(B519="","",B521-B519)</f>
        <v/>
      </c>
      <c r="D521" s="91"/>
      <c r="E521" s="93" t="str">
        <f>IF(D519="","",D521-D519)</f>
        <v/>
      </c>
      <c r="F521" s="94"/>
      <c r="G521" s="85"/>
      <c r="H521" s="85"/>
      <c r="I521" s="95"/>
      <c r="J521" s="86"/>
      <c r="K521" s="94"/>
      <c r="L521" s="85"/>
      <c r="M521" s="85"/>
      <c r="N521" s="95"/>
      <c r="O521" s="86"/>
      <c r="P521" s="94"/>
      <c r="Q521" s="85"/>
      <c r="R521" s="85"/>
      <c r="S521" s="95"/>
      <c r="T521" s="86"/>
      <c r="U521" s="96"/>
      <c r="V521" s="97"/>
    </row>
    <row r="522" spans="1:22" ht="9" customHeight="1" x14ac:dyDescent="0.55000000000000004">
      <c r="A522" s="98"/>
      <c r="B522" s="99"/>
      <c r="C522" s="100"/>
      <c r="D522" s="99"/>
      <c r="E522" s="101"/>
      <c r="F522" s="102" t="str">
        <f>IF(H522="","",F519-H522)</f>
        <v/>
      </c>
      <c r="G522" s="103" t="str">
        <f>IF(I522="","",F519-I522)</f>
        <v/>
      </c>
      <c r="H522" s="104"/>
      <c r="I522" s="104"/>
      <c r="J522" s="105"/>
      <c r="K522" s="106" t="str">
        <f>IF(M522="","",K519-M522)</f>
        <v/>
      </c>
      <c r="L522" s="103" t="str">
        <f>IF(N522="","",K519-N522)</f>
        <v/>
      </c>
      <c r="M522" s="104"/>
      <c r="N522" s="107"/>
      <c r="O522" s="105"/>
      <c r="P522" s="102" t="str">
        <f>IF(R522="","",P519-R522)</f>
        <v/>
      </c>
      <c r="Q522" s="103" t="str">
        <f>IF(S522="","",P519-S522)</f>
        <v/>
      </c>
      <c r="R522" s="104"/>
      <c r="S522" s="104"/>
      <c r="T522" s="105"/>
      <c r="U522" s="108"/>
      <c r="V522" s="109"/>
    </row>
    <row r="523" spans="1:22" ht="9" customHeight="1" x14ac:dyDescent="0.55000000000000004">
      <c r="A523" s="19"/>
      <c r="B523" s="69"/>
      <c r="C523" s="70"/>
      <c r="D523" s="69"/>
      <c r="E523" s="71"/>
      <c r="F523" s="72"/>
      <c r="G523" s="73"/>
      <c r="H523" s="74"/>
      <c r="I523" s="75"/>
      <c r="J523" s="76"/>
      <c r="K523" s="72"/>
      <c r="L523" s="73"/>
      <c r="M523" s="74"/>
      <c r="N523" s="75"/>
      <c r="O523" s="76"/>
      <c r="P523" s="72"/>
      <c r="Q523" s="73"/>
      <c r="R523" s="74"/>
      <c r="S523" s="75"/>
      <c r="T523" s="76"/>
      <c r="U523" s="77" t="str">
        <f>IF(OR(F526="",P526=""),"",B523/(F526-P526))</f>
        <v/>
      </c>
      <c r="V523" s="78"/>
    </row>
    <row r="524" spans="1:22" ht="9" customHeight="1" x14ac:dyDescent="0.55000000000000004">
      <c r="A524" s="79"/>
      <c r="B524" s="80"/>
      <c r="C524" s="81"/>
      <c r="D524" s="80"/>
      <c r="E524" s="82"/>
      <c r="F524" s="83" t="str">
        <f>IF(H526="","",F523-H524)</f>
        <v/>
      </c>
      <c r="G524" s="84" t="str">
        <f>IF(I526="","",F523-I524)</f>
        <v/>
      </c>
      <c r="H524" s="85" t="str">
        <f>IF(OR($A526="集水",$A526="吸水"),0.4,"")</f>
        <v/>
      </c>
      <c r="I524" s="85" t="str">
        <f>IF(OR($A526="集水",$A526="吸水"),0.4,"")</f>
        <v/>
      </c>
      <c r="J524" s="86" t="str">
        <f>IF(G524="","",F524-G524)</f>
        <v/>
      </c>
      <c r="K524" s="83" t="str">
        <f>IF(M526="","",K523-M524)</f>
        <v/>
      </c>
      <c r="L524" s="87" t="str">
        <f>IF(N526="","",K523-N524)</f>
        <v/>
      </c>
      <c r="M524" s="85" t="str">
        <f>IF(M526="","",IF(OR($A526="集水",$A526="吸水"),0.4,""))</f>
        <v/>
      </c>
      <c r="N524" s="85" t="str">
        <f>IF(N526="","",IF(OR($A526="集水",$A526="吸水"),0.4,""))</f>
        <v/>
      </c>
      <c r="O524" s="86" t="str">
        <f>IF(L524="","",K524-L524)</f>
        <v/>
      </c>
      <c r="P524" s="83" t="str">
        <f>IF(R526="","",P523-R524)</f>
        <v/>
      </c>
      <c r="Q524" s="84" t="str">
        <f>IF(S526="","",P523-S524)</f>
        <v/>
      </c>
      <c r="R524" s="85" t="str">
        <f>IF(OR($A526="集水",$A526="吸水"),0.4,"")</f>
        <v/>
      </c>
      <c r="S524" s="85" t="str">
        <f>IF(OR($A526="集水",$A526="吸水"),0.4,"")</f>
        <v/>
      </c>
      <c r="T524" s="86" t="str">
        <f>IF(Q524="","",P524-Q524)</f>
        <v/>
      </c>
      <c r="U524" s="88"/>
      <c r="V524" s="89"/>
    </row>
    <row r="525" spans="1:22" ht="9" customHeight="1" x14ac:dyDescent="0.55000000000000004">
      <c r="A525" s="90"/>
      <c r="B525" s="91"/>
      <c r="C525" s="92" t="str">
        <f>IF(B523="","",B525-B523)</f>
        <v/>
      </c>
      <c r="D525" s="91"/>
      <c r="E525" s="93" t="str">
        <f>IF(D523="","",D525-D523)</f>
        <v/>
      </c>
      <c r="F525" s="94"/>
      <c r="G525" s="85"/>
      <c r="H525" s="85"/>
      <c r="I525" s="95"/>
      <c r="J525" s="86"/>
      <c r="K525" s="94"/>
      <c r="L525" s="85"/>
      <c r="M525" s="85"/>
      <c r="N525" s="95"/>
      <c r="O525" s="86"/>
      <c r="P525" s="94"/>
      <c r="Q525" s="85"/>
      <c r="R525" s="85"/>
      <c r="S525" s="95"/>
      <c r="T525" s="86"/>
      <c r="U525" s="96"/>
      <c r="V525" s="97"/>
    </row>
    <row r="526" spans="1:22" ht="9" customHeight="1" x14ac:dyDescent="0.55000000000000004">
      <c r="A526" s="98"/>
      <c r="B526" s="99"/>
      <c r="C526" s="100"/>
      <c r="D526" s="99"/>
      <c r="E526" s="101"/>
      <c r="F526" s="102" t="str">
        <f>IF(H526="","",F523-H526)</f>
        <v/>
      </c>
      <c r="G526" s="103" t="str">
        <f>IF(I526="","",F523-I526)</f>
        <v/>
      </c>
      <c r="H526" s="104"/>
      <c r="I526" s="104"/>
      <c r="J526" s="105"/>
      <c r="K526" s="106" t="str">
        <f>IF(M526="","",K523-M526)</f>
        <v/>
      </c>
      <c r="L526" s="103" t="str">
        <f>IF(N526="","",K523-N526)</f>
        <v/>
      </c>
      <c r="M526" s="104"/>
      <c r="N526" s="107"/>
      <c r="O526" s="105"/>
      <c r="P526" s="102" t="str">
        <f>IF(R526="","",P523-R526)</f>
        <v/>
      </c>
      <c r="Q526" s="103" t="str">
        <f>IF(S526="","",P523-S526)</f>
        <v/>
      </c>
      <c r="R526" s="104"/>
      <c r="S526" s="104"/>
      <c r="T526" s="105"/>
      <c r="U526" s="108"/>
      <c r="V526" s="109"/>
    </row>
    <row r="527" spans="1:22" ht="9" customHeight="1" x14ac:dyDescent="0.55000000000000004">
      <c r="A527" s="19"/>
      <c r="B527" s="69"/>
      <c r="C527" s="70"/>
      <c r="D527" s="69"/>
      <c r="E527" s="71"/>
      <c r="F527" s="72"/>
      <c r="G527" s="73"/>
      <c r="H527" s="74"/>
      <c r="I527" s="75"/>
      <c r="J527" s="76"/>
      <c r="K527" s="72"/>
      <c r="L527" s="73"/>
      <c r="M527" s="74"/>
      <c r="N527" s="75"/>
      <c r="O527" s="76"/>
      <c r="P527" s="72"/>
      <c r="Q527" s="73"/>
      <c r="R527" s="74"/>
      <c r="S527" s="75"/>
      <c r="T527" s="76"/>
      <c r="U527" s="77" t="str">
        <f>IF(OR(F530="",P530=""),"",B527/(F530-P530))</f>
        <v/>
      </c>
      <c r="V527" s="78"/>
    </row>
    <row r="528" spans="1:22" ht="9" customHeight="1" x14ac:dyDescent="0.55000000000000004">
      <c r="A528" s="79"/>
      <c r="B528" s="80"/>
      <c r="C528" s="81"/>
      <c r="D528" s="80"/>
      <c r="E528" s="82"/>
      <c r="F528" s="83" t="str">
        <f>IF(H530="","",F527-H528)</f>
        <v/>
      </c>
      <c r="G528" s="84" t="str">
        <f>IF(I530="","",F527-I528)</f>
        <v/>
      </c>
      <c r="H528" s="85" t="str">
        <f>IF(OR($A530="集水",$A530="吸水"),0.4,"")</f>
        <v/>
      </c>
      <c r="I528" s="85" t="str">
        <f>IF(OR($A530="集水",$A530="吸水"),0.4,"")</f>
        <v/>
      </c>
      <c r="J528" s="86" t="str">
        <f>IF(G528="","",F528-G528)</f>
        <v/>
      </c>
      <c r="K528" s="83" t="str">
        <f>IF(M530="","",K527-M528)</f>
        <v/>
      </c>
      <c r="L528" s="87" t="str">
        <f>IF(N530="","",K527-N528)</f>
        <v/>
      </c>
      <c r="M528" s="85" t="str">
        <f>IF(M530="","",IF(OR($A530="集水",$A530="吸水"),0.4,""))</f>
        <v/>
      </c>
      <c r="N528" s="85" t="str">
        <f>IF(N530="","",IF(OR($A530="集水",$A530="吸水"),0.4,""))</f>
        <v/>
      </c>
      <c r="O528" s="86" t="str">
        <f>IF(L528="","",K528-L528)</f>
        <v/>
      </c>
      <c r="P528" s="83" t="str">
        <f>IF(R530="","",P527-R528)</f>
        <v/>
      </c>
      <c r="Q528" s="84" t="str">
        <f>IF(S530="","",P527-S528)</f>
        <v/>
      </c>
      <c r="R528" s="85" t="str">
        <f>IF(OR($A530="集水",$A530="吸水"),0.4,"")</f>
        <v/>
      </c>
      <c r="S528" s="85" t="str">
        <f>IF(OR($A530="集水",$A530="吸水"),0.4,"")</f>
        <v/>
      </c>
      <c r="T528" s="86" t="str">
        <f>IF(Q528="","",P528-Q528)</f>
        <v/>
      </c>
      <c r="U528" s="88"/>
      <c r="V528" s="89"/>
    </row>
    <row r="529" spans="1:22" ht="9" customHeight="1" x14ac:dyDescent="0.55000000000000004">
      <c r="A529" s="90"/>
      <c r="B529" s="91"/>
      <c r="C529" s="92" t="str">
        <f>IF(B527="","",B529-B527)</f>
        <v/>
      </c>
      <c r="D529" s="91"/>
      <c r="E529" s="93" t="str">
        <f>IF(D527="","",D529-D527)</f>
        <v/>
      </c>
      <c r="F529" s="94"/>
      <c r="G529" s="85"/>
      <c r="H529" s="85"/>
      <c r="I529" s="95"/>
      <c r="J529" s="86"/>
      <c r="K529" s="94"/>
      <c r="L529" s="85"/>
      <c r="M529" s="85"/>
      <c r="N529" s="95"/>
      <c r="O529" s="86"/>
      <c r="P529" s="94"/>
      <c r="Q529" s="85"/>
      <c r="R529" s="85"/>
      <c r="S529" s="95"/>
      <c r="T529" s="86"/>
      <c r="U529" s="96"/>
      <c r="V529" s="97"/>
    </row>
    <row r="530" spans="1:22" ht="9" customHeight="1" x14ac:dyDescent="0.55000000000000004">
      <c r="A530" s="98"/>
      <c r="B530" s="99"/>
      <c r="C530" s="100"/>
      <c r="D530" s="99"/>
      <c r="E530" s="101"/>
      <c r="F530" s="102" t="str">
        <f>IF(H530="","",F527-H530)</f>
        <v/>
      </c>
      <c r="G530" s="103" t="str">
        <f>IF(I530="","",F527-I530)</f>
        <v/>
      </c>
      <c r="H530" s="104"/>
      <c r="I530" s="104"/>
      <c r="J530" s="105"/>
      <c r="K530" s="106" t="str">
        <f>IF(M530="","",K527-M530)</f>
        <v/>
      </c>
      <c r="L530" s="103" t="str">
        <f>IF(N530="","",K527-N530)</f>
        <v/>
      </c>
      <c r="M530" s="104"/>
      <c r="N530" s="107"/>
      <c r="O530" s="105"/>
      <c r="P530" s="102" t="str">
        <f>IF(R530="","",P527-R530)</f>
        <v/>
      </c>
      <c r="Q530" s="103" t="str">
        <f>IF(S530="","",P527-S530)</f>
        <v/>
      </c>
      <c r="R530" s="104"/>
      <c r="S530" s="104"/>
      <c r="T530" s="105"/>
      <c r="U530" s="108"/>
      <c r="V530" s="109"/>
    </row>
    <row r="531" spans="1:22" ht="9" customHeight="1" x14ac:dyDescent="0.55000000000000004">
      <c r="A531" s="19"/>
      <c r="B531" s="69"/>
      <c r="C531" s="70"/>
      <c r="D531" s="69"/>
      <c r="E531" s="71"/>
      <c r="F531" s="72"/>
      <c r="G531" s="73"/>
      <c r="H531" s="74"/>
      <c r="I531" s="75"/>
      <c r="J531" s="76"/>
      <c r="K531" s="72"/>
      <c r="L531" s="73"/>
      <c r="M531" s="74"/>
      <c r="N531" s="75"/>
      <c r="O531" s="76"/>
      <c r="P531" s="72"/>
      <c r="Q531" s="73"/>
      <c r="R531" s="74"/>
      <c r="S531" s="75"/>
      <c r="T531" s="76"/>
      <c r="U531" s="77" t="str">
        <f>IF(OR(F534="",P534=""),"",B531/(F534-P534))</f>
        <v/>
      </c>
      <c r="V531" s="78"/>
    </row>
    <row r="532" spans="1:22" ht="9" customHeight="1" x14ac:dyDescent="0.55000000000000004">
      <c r="A532" s="79"/>
      <c r="B532" s="80"/>
      <c r="C532" s="81"/>
      <c r="D532" s="80"/>
      <c r="E532" s="82"/>
      <c r="F532" s="83" t="str">
        <f>IF(H534="","",F531-H532)</f>
        <v/>
      </c>
      <c r="G532" s="84" t="str">
        <f>IF(I534="","",F531-I532)</f>
        <v/>
      </c>
      <c r="H532" s="85" t="str">
        <f>IF(OR($A534="集水",$A534="吸水"),0.4,"")</f>
        <v/>
      </c>
      <c r="I532" s="85" t="str">
        <f>IF(OR($A534="集水",$A534="吸水"),0.4,"")</f>
        <v/>
      </c>
      <c r="J532" s="86" t="str">
        <f>IF(G532="","",F532-G532)</f>
        <v/>
      </c>
      <c r="K532" s="83" t="str">
        <f>IF(M534="","",K531-M532)</f>
        <v/>
      </c>
      <c r="L532" s="87" t="str">
        <f>IF(N534="","",K531-N532)</f>
        <v/>
      </c>
      <c r="M532" s="85" t="str">
        <f>IF(M534="","",IF(OR($A534="集水",$A534="吸水"),0.4,""))</f>
        <v/>
      </c>
      <c r="N532" s="85" t="str">
        <f>IF(N534="","",IF(OR($A534="集水",$A534="吸水"),0.4,""))</f>
        <v/>
      </c>
      <c r="O532" s="86" t="str">
        <f>IF(L532="","",K532-L532)</f>
        <v/>
      </c>
      <c r="P532" s="83" t="str">
        <f>IF(R534="","",P531-R532)</f>
        <v/>
      </c>
      <c r="Q532" s="84" t="str">
        <f>IF(S534="","",P531-S532)</f>
        <v/>
      </c>
      <c r="R532" s="85" t="str">
        <f>IF(OR($A534="集水",$A534="吸水"),0.4,"")</f>
        <v/>
      </c>
      <c r="S532" s="85" t="str">
        <f>IF(OR($A534="集水",$A534="吸水"),0.4,"")</f>
        <v/>
      </c>
      <c r="T532" s="86" t="str">
        <f>IF(Q532="","",P532-Q532)</f>
        <v/>
      </c>
      <c r="U532" s="88"/>
      <c r="V532" s="89"/>
    </row>
    <row r="533" spans="1:22" ht="9" customHeight="1" x14ac:dyDescent="0.55000000000000004">
      <c r="A533" s="90"/>
      <c r="B533" s="91"/>
      <c r="C533" s="92" t="str">
        <f>IF(B531="","",B533-B531)</f>
        <v/>
      </c>
      <c r="D533" s="91"/>
      <c r="E533" s="93" t="str">
        <f>IF(D531="","",D533-D531)</f>
        <v/>
      </c>
      <c r="F533" s="94"/>
      <c r="G533" s="85"/>
      <c r="H533" s="85"/>
      <c r="I533" s="95"/>
      <c r="J533" s="86"/>
      <c r="K533" s="94"/>
      <c r="L533" s="85"/>
      <c r="M533" s="85"/>
      <c r="N533" s="95"/>
      <c r="O533" s="86"/>
      <c r="P533" s="94"/>
      <c r="Q533" s="85"/>
      <c r="R533" s="85"/>
      <c r="S533" s="95"/>
      <c r="T533" s="86"/>
      <c r="U533" s="96"/>
      <c r="V533" s="97"/>
    </row>
    <row r="534" spans="1:22" ht="9" customHeight="1" x14ac:dyDescent="0.55000000000000004">
      <c r="A534" s="98"/>
      <c r="B534" s="99"/>
      <c r="C534" s="100"/>
      <c r="D534" s="99"/>
      <c r="E534" s="101"/>
      <c r="F534" s="102" t="str">
        <f>IF(H534="","",F531-H534)</f>
        <v/>
      </c>
      <c r="G534" s="103" t="str">
        <f>IF(I534="","",F531-I534)</f>
        <v/>
      </c>
      <c r="H534" s="104"/>
      <c r="I534" s="104"/>
      <c r="J534" s="105"/>
      <c r="K534" s="106" t="str">
        <f>IF(M534="","",K531-M534)</f>
        <v/>
      </c>
      <c r="L534" s="103" t="str">
        <f>IF(N534="","",K531-N534)</f>
        <v/>
      </c>
      <c r="M534" s="104"/>
      <c r="N534" s="107"/>
      <c r="O534" s="105"/>
      <c r="P534" s="102" t="str">
        <f>IF(R534="","",P531-R534)</f>
        <v/>
      </c>
      <c r="Q534" s="103" t="str">
        <f>IF(S534="","",P531-S534)</f>
        <v/>
      </c>
      <c r="R534" s="104"/>
      <c r="S534" s="104"/>
      <c r="T534" s="105"/>
      <c r="U534" s="108"/>
      <c r="V534" s="109"/>
    </row>
    <row r="535" spans="1:22" ht="9" customHeight="1" x14ac:dyDescent="0.55000000000000004">
      <c r="A535" s="19"/>
      <c r="B535" s="69"/>
      <c r="C535" s="70"/>
      <c r="D535" s="69"/>
      <c r="E535" s="71"/>
      <c r="F535" s="72"/>
      <c r="G535" s="73"/>
      <c r="H535" s="74"/>
      <c r="I535" s="75"/>
      <c r="J535" s="76"/>
      <c r="K535" s="72"/>
      <c r="L535" s="73"/>
      <c r="M535" s="74"/>
      <c r="N535" s="75"/>
      <c r="O535" s="76"/>
      <c r="P535" s="72"/>
      <c r="Q535" s="73"/>
      <c r="R535" s="74"/>
      <c r="S535" s="75"/>
      <c r="T535" s="76"/>
      <c r="U535" s="77" t="str">
        <f>IF(OR(F538="",P538=""),"",B535/(F538-P538))</f>
        <v/>
      </c>
      <c r="V535" s="78"/>
    </row>
    <row r="536" spans="1:22" ht="9" customHeight="1" x14ac:dyDescent="0.55000000000000004">
      <c r="A536" s="79"/>
      <c r="B536" s="80"/>
      <c r="C536" s="81"/>
      <c r="D536" s="80"/>
      <c r="E536" s="82"/>
      <c r="F536" s="83" t="str">
        <f>IF(H538="","",F535-H536)</f>
        <v/>
      </c>
      <c r="G536" s="84" t="str">
        <f>IF(I538="","",F535-I536)</f>
        <v/>
      </c>
      <c r="H536" s="85" t="str">
        <f>IF(OR($A538="集水",$A538="吸水"),0.4,"")</f>
        <v/>
      </c>
      <c r="I536" s="85" t="str">
        <f>IF(OR($A538="集水",$A538="吸水"),0.4,"")</f>
        <v/>
      </c>
      <c r="J536" s="86" t="str">
        <f>IF(G536="","",F536-G536)</f>
        <v/>
      </c>
      <c r="K536" s="83" t="str">
        <f>IF(M538="","",K535-M536)</f>
        <v/>
      </c>
      <c r="L536" s="87" t="str">
        <f>IF(N538="","",K535-N536)</f>
        <v/>
      </c>
      <c r="M536" s="85" t="str">
        <f>IF(M538="","",IF(OR($A538="集水",$A538="吸水"),0.4,""))</f>
        <v/>
      </c>
      <c r="N536" s="85" t="str">
        <f>IF(N538="","",IF(OR($A538="集水",$A538="吸水"),0.4,""))</f>
        <v/>
      </c>
      <c r="O536" s="86" t="str">
        <f>IF(L536="","",K536-L536)</f>
        <v/>
      </c>
      <c r="P536" s="83" t="str">
        <f>IF(R538="","",P535-R536)</f>
        <v/>
      </c>
      <c r="Q536" s="84" t="str">
        <f>IF(S538="","",P535-S536)</f>
        <v/>
      </c>
      <c r="R536" s="85" t="str">
        <f>IF(OR($A538="集水",$A538="吸水"),0.4,"")</f>
        <v/>
      </c>
      <c r="S536" s="85" t="str">
        <f>IF(OR($A538="集水",$A538="吸水"),0.4,"")</f>
        <v/>
      </c>
      <c r="T536" s="86" t="str">
        <f>IF(Q536="","",P536-Q536)</f>
        <v/>
      </c>
      <c r="U536" s="88"/>
      <c r="V536" s="89"/>
    </row>
    <row r="537" spans="1:22" ht="9" customHeight="1" x14ac:dyDescent="0.55000000000000004">
      <c r="A537" s="90"/>
      <c r="B537" s="91"/>
      <c r="C537" s="92" t="str">
        <f>IF(B535="","",B537-B535)</f>
        <v/>
      </c>
      <c r="D537" s="91"/>
      <c r="E537" s="93" t="str">
        <f>IF(D535="","",D537-D535)</f>
        <v/>
      </c>
      <c r="F537" s="94"/>
      <c r="G537" s="85"/>
      <c r="H537" s="85"/>
      <c r="I537" s="95"/>
      <c r="J537" s="86"/>
      <c r="K537" s="94"/>
      <c r="L537" s="85"/>
      <c r="M537" s="85"/>
      <c r="N537" s="95"/>
      <c r="O537" s="86"/>
      <c r="P537" s="94"/>
      <c r="Q537" s="85"/>
      <c r="R537" s="85"/>
      <c r="S537" s="95"/>
      <c r="T537" s="86"/>
      <c r="U537" s="96"/>
      <c r="V537" s="97"/>
    </row>
    <row r="538" spans="1:22" ht="9" customHeight="1" x14ac:dyDescent="0.55000000000000004">
      <c r="A538" s="98"/>
      <c r="B538" s="99"/>
      <c r="C538" s="100"/>
      <c r="D538" s="99"/>
      <c r="E538" s="101"/>
      <c r="F538" s="102" t="str">
        <f>IF(H538="","",F535-H538)</f>
        <v/>
      </c>
      <c r="G538" s="103" t="str">
        <f>IF(I538="","",F535-I538)</f>
        <v/>
      </c>
      <c r="H538" s="104"/>
      <c r="I538" s="104"/>
      <c r="J538" s="105"/>
      <c r="K538" s="106" t="str">
        <f>IF(M538="","",K535-M538)</f>
        <v/>
      </c>
      <c r="L538" s="103" t="str">
        <f>IF(N538="","",K535-N538)</f>
        <v/>
      </c>
      <c r="M538" s="104"/>
      <c r="N538" s="107"/>
      <c r="O538" s="105"/>
      <c r="P538" s="102" t="str">
        <f>IF(R538="","",P535-R538)</f>
        <v/>
      </c>
      <c r="Q538" s="103" t="str">
        <f>IF(S538="","",P535-S538)</f>
        <v/>
      </c>
      <c r="R538" s="104"/>
      <c r="S538" s="104"/>
      <c r="T538" s="105"/>
      <c r="U538" s="108"/>
      <c r="V538" s="109"/>
    </row>
    <row r="539" spans="1:22" ht="9" customHeight="1" x14ac:dyDescent="0.55000000000000004">
      <c r="A539" s="19"/>
      <c r="B539" s="69"/>
      <c r="C539" s="70"/>
      <c r="D539" s="69"/>
      <c r="E539" s="71"/>
      <c r="F539" s="72"/>
      <c r="G539" s="73"/>
      <c r="H539" s="74"/>
      <c r="I539" s="75"/>
      <c r="J539" s="76"/>
      <c r="K539" s="72"/>
      <c r="L539" s="73"/>
      <c r="M539" s="74"/>
      <c r="N539" s="75"/>
      <c r="O539" s="76"/>
      <c r="P539" s="72"/>
      <c r="Q539" s="73"/>
      <c r="R539" s="74"/>
      <c r="S539" s="75"/>
      <c r="T539" s="76"/>
      <c r="U539" s="77" t="str">
        <f>IF(OR(F542="",P542=""),"",B539/(F542-P542))</f>
        <v/>
      </c>
      <c r="V539" s="78"/>
    </row>
    <row r="540" spans="1:22" ht="9" customHeight="1" x14ac:dyDescent="0.55000000000000004">
      <c r="A540" s="79"/>
      <c r="B540" s="80"/>
      <c r="C540" s="81"/>
      <c r="D540" s="80"/>
      <c r="E540" s="82"/>
      <c r="F540" s="83" t="str">
        <f>IF(H542="","",F539-H540)</f>
        <v/>
      </c>
      <c r="G540" s="84" t="str">
        <f>IF(I542="","",F539-I540)</f>
        <v/>
      </c>
      <c r="H540" s="85" t="str">
        <f>IF(OR($A542="集水",$A542="吸水"),0.4,"")</f>
        <v/>
      </c>
      <c r="I540" s="85" t="str">
        <f>IF(OR($A542="集水",$A542="吸水"),0.4,"")</f>
        <v/>
      </c>
      <c r="J540" s="86" t="str">
        <f>IF(G540="","",F540-G540)</f>
        <v/>
      </c>
      <c r="K540" s="83" t="str">
        <f>IF(M542="","",K539-M540)</f>
        <v/>
      </c>
      <c r="L540" s="87" t="str">
        <f>IF(N542="","",K539-N540)</f>
        <v/>
      </c>
      <c r="M540" s="85" t="str">
        <f>IF(M542="","",IF(OR($A542="集水",$A542="吸水"),0.4,""))</f>
        <v/>
      </c>
      <c r="N540" s="85" t="str">
        <f>IF(N542="","",IF(OR($A542="集水",$A542="吸水"),0.4,""))</f>
        <v/>
      </c>
      <c r="O540" s="86" t="str">
        <f>IF(L540="","",K540-L540)</f>
        <v/>
      </c>
      <c r="P540" s="83" t="str">
        <f>IF(R542="","",P539-R540)</f>
        <v/>
      </c>
      <c r="Q540" s="84" t="str">
        <f>IF(S542="","",P539-S540)</f>
        <v/>
      </c>
      <c r="R540" s="85" t="str">
        <f>IF(OR($A542="集水",$A542="吸水"),0.4,"")</f>
        <v/>
      </c>
      <c r="S540" s="85" t="str">
        <f>IF(OR($A542="集水",$A542="吸水"),0.4,"")</f>
        <v/>
      </c>
      <c r="T540" s="86" t="str">
        <f>IF(Q540="","",P540-Q540)</f>
        <v/>
      </c>
      <c r="U540" s="88"/>
      <c r="V540" s="89"/>
    </row>
    <row r="541" spans="1:22" ht="9" customHeight="1" x14ac:dyDescent="0.55000000000000004">
      <c r="A541" s="90"/>
      <c r="B541" s="91"/>
      <c r="C541" s="92" t="str">
        <f>IF(B539="","",B541-B539)</f>
        <v/>
      </c>
      <c r="D541" s="91"/>
      <c r="E541" s="93" t="str">
        <f>IF(D539="","",D541-D539)</f>
        <v/>
      </c>
      <c r="F541" s="94"/>
      <c r="G541" s="85"/>
      <c r="H541" s="85"/>
      <c r="I541" s="95"/>
      <c r="J541" s="86"/>
      <c r="K541" s="94"/>
      <c r="L541" s="85"/>
      <c r="M541" s="85"/>
      <c r="N541" s="95"/>
      <c r="O541" s="86"/>
      <c r="P541" s="94"/>
      <c r="Q541" s="85"/>
      <c r="R541" s="85"/>
      <c r="S541" s="95"/>
      <c r="T541" s="86"/>
      <c r="U541" s="96"/>
      <c r="V541" s="97"/>
    </row>
    <row r="542" spans="1:22" ht="9" customHeight="1" x14ac:dyDescent="0.55000000000000004">
      <c r="A542" s="98"/>
      <c r="B542" s="99"/>
      <c r="C542" s="100"/>
      <c r="D542" s="99"/>
      <c r="E542" s="101"/>
      <c r="F542" s="102" t="str">
        <f>IF(H542="","",F539-H542)</f>
        <v/>
      </c>
      <c r="G542" s="103" t="str">
        <f>IF(I542="","",F539-I542)</f>
        <v/>
      </c>
      <c r="H542" s="104"/>
      <c r="I542" s="104"/>
      <c r="J542" s="105"/>
      <c r="K542" s="106" t="str">
        <f>IF(M542="","",K539-M542)</f>
        <v/>
      </c>
      <c r="L542" s="103" t="str">
        <f>IF(N542="","",K539-N542)</f>
        <v/>
      </c>
      <c r="M542" s="104"/>
      <c r="N542" s="107"/>
      <c r="O542" s="105"/>
      <c r="P542" s="102" t="str">
        <f>IF(R542="","",P539-R542)</f>
        <v/>
      </c>
      <c r="Q542" s="103" t="str">
        <f>IF(S542="","",P539-S542)</f>
        <v/>
      </c>
      <c r="R542" s="104"/>
      <c r="S542" s="104"/>
      <c r="T542" s="105"/>
      <c r="U542" s="108"/>
      <c r="V542" s="109"/>
    </row>
    <row r="543" spans="1:22" ht="9" customHeight="1" x14ac:dyDescent="0.55000000000000004">
      <c r="A543" s="19"/>
      <c r="B543" s="69"/>
      <c r="C543" s="70"/>
      <c r="D543" s="69"/>
      <c r="E543" s="71"/>
      <c r="F543" s="72"/>
      <c r="G543" s="73"/>
      <c r="H543" s="74"/>
      <c r="I543" s="75"/>
      <c r="J543" s="76"/>
      <c r="K543" s="72"/>
      <c r="L543" s="73"/>
      <c r="M543" s="74"/>
      <c r="N543" s="75"/>
      <c r="O543" s="76"/>
      <c r="P543" s="72"/>
      <c r="Q543" s="73"/>
      <c r="R543" s="74"/>
      <c r="S543" s="75"/>
      <c r="T543" s="76"/>
      <c r="U543" s="77" t="str">
        <f>IF(OR(F546="",P546=""),"",B543/(F546-P546))</f>
        <v/>
      </c>
      <c r="V543" s="78"/>
    </row>
    <row r="544" spans="1:22" ht="9" customHeight="1" x14ac:dyDescent="0.55000000000000004">
      <c r="A544" s="79"/>
      <c r="B544" s="80"/>
      <c r="C544" s="81"/>
      <c r="D544" s="80"/>
      <c r="E544" s="82"/>
      <c r="F544" s="83" t="str">
        <f>IF(H546="","",F543-H544)</f>
        <v/>
      </c>
      <c r="G544" s="84" t="str">
        <f>IF(I546="","",F543-I544)</f>
        <v/>
      </c>
      <c r="H544" s="85" t="str">
        <f>IF(OR($A546="集水",$A546="吸水"),0.4,"")</f>
        <v/>
      </c>
      <c r="I544" s="85" t="str">
        <f>IF(OR($A546="集水",$A546="吸水"),0.4,"")</f>
        <v/>
      </c>
      <c r="J544" s="86" t="str">
        <f>IF(G544="","",F544-G544)</f>
        <v/>
      </c>
      <c r="K544" s="83" t="str">
        <f>IF(M546="","",K543-M544)</f>
        <v/>
      </c>
      <c r="L544" s="87" t="str">
        <f>IF(N546="","",K543-N544)</f>
        <v/>
      </c>
      <c r="M544" s="85" t="str">
        <f>IF(M546="","",IF(OR($A546="集水",$A546="吸水"),0.4,""))</f>
        <v/>
      </c>
      <c r="N544" s="85" t="str">
        <f>IF(N546="","",IF(OR($A546="集水",$A546="吸水"),0.4,""))</f>
        <v/>
      </c>
      <c r="O544" s="86" t="str">
        <f>IF(L544="","",K544-L544)</f>
        <v/>
      </c>
      <c r="P544" s="83" t="str">
        <f>IF(R546="","",P543-R544)</f>
        <v/>
      </c>
      <c r="Q544" s="84" t="str">
        <f>IF(S546="","",P543-S544)</f>
        <v/>
      </c>
      <c r="R544" s="85" t="str">
        <f>IF(OR($A546="集水",$A546="吸水"),0.4,"")</f>
        <v/>
      </c>
      <c r="S544" s="85" t="str">
        <f>IF(OR($A546="集水",$A546="吸水"),0.4,"")</f>
        <v/>
      </c>
      <c r="T544" s="86" t="str">
        <f>IF(Q544="","",P544-Q544)</f>
        <v/>
      </c>
      <c r="U544" s="88"/>
      <c r="V544" s="89"/>
    </row>
    <row r="545" spans="1:22" ht="9" customHeight="1" x14ac:dyDescent="0.55000000000000004">
      <c r="A545" s="90"/>
      <c r="B545" s="91"/>
      <c r="C545" s="92" t="str">
        <f>IF(B543="","",B545-B543)</f>
        <v/>
      </c>
      <c r="D545" s="91"/>
      <c r="E545" s="93" t="str">
        <f>IF(D543="","",D545-D543)</f>
        <v/>
      </c>
      <c r="F545" s="94"/>
      <c r="G545" s="85"/>
      <c r="H545" s="85"/>
      <c r="I545" s="95"/>
      <c r="J545" s="86"/>
      <c r="K545" s="94"/>
      <c r="L545" s="85"/>
      <c r="M545" s="85"/>
      <c r="N545" s="95"/>
      <c r="O545" s="86"/>
      <c r="P545" s="94"/>
      <c r="Q545" s="85"/>
      <c r="R545" s="85"/>
      <c r="S545" s="95"/>
      <c r="T545" s="86"/>
      <c r="U545" s="96"/>
      <c r="V545" s="97"/>
    </row>
    <row r="546" spans="1:22" ht="9" customHeight="1" x14ac:dyDescent="0.55000000000000004">
      <c r="A546" s="98"/>
      <c r="B546" s="99"/>
      <c r="C546" s="100"/>
      <c r="D546" s="99"/>
      <c r="E546" s="101"/>
      <c r="F546" s="102" t="str">
        <f>IF(H546="","",F543-H546)</f>
        <v/>
      </c>
      <c r="G546" s="103" t="str">
        <f>IF(I546="","",F543-I546)</f>
        <v/>
      </c>
      <c r="H546" s="104"/>
      <c r="I546" s="104"/>
      <c r="J546" s="105"/>
      <c r="K546" s="106" t="str">
        <f>IF(M546="","",K543-M546)</f>
        <v/>
      </c>
      <c r="L546" s="103" t="str">
        <f>IF(N546="","",K543-N546)</f>
        <v/>
      </c>
      <c r="M546" s="104"/>
      <c r="N546" s="107"/>
      <c r="O546" s="105"/>
      <c r="P546" s="102" t="str">
        <f>IF(R546="","",P543-R546)</f>
        <v/>
      </c>
      <c r="Q546" s="103" t="str">
        <f>IF(S546="","",P543-S546)</f>
        <v/>
      </c>
      <c r="R546" s="104"/>
      <c r="S546" s="104"/>
      <c r="T546" s="105"/>
      <c r="U546" s="108"/>
      <c r="V546" s="109"/>
    </row>
    <row r="547" spans="1:22" ht="9" customHeight="1" x14ac:dyDescent="0.55000000000000004">
      <c r="A547" s="19"/>
      <c r="B547" s="69"/>
      <c r="C547" s="70"/>
      <c r="D547" s="69"/>
      <c r="E547" s="71"/>
      <c r="F547" s="72"/>
      <c r="G547" s="73"/>
      <c r="H547" s="74"/>
      <c r="I547" s="75"/>
      <c r="J547" s="76"/>
      <c r="K547" s="72"/>
      <c r="L547" s="73"/>
      <c r="M547" s="74"/>
      <c r="N547" s="75"/>
      <c r="O547" s="76"/>
      <c r="P547" s="72"/>
      <c r="Q547" s="73"/>
      <c r="R547" s="74"/>
      <c r="S547" s="75"/>
      <c r="T547" s="76"/>
      <c r="U547" s="77" t="str">
        <f>IF(OR(F550="",P550=""),"",B547/(F550-P550))</f>
        <v/>
      </c>
      <c r="V547" s="78"/>
    </row>
    <row r="548" spans="1:22" ht="9" customHeight="1" x14ac:dyDescent="0.55000000000000004">
      <c r="A548" s="79"/>
      <c r="B548" s="80"/>
      <c r="C548" s="81"/>
      <c r="D548" s="80"/>
      <c r="E548" s="82"/>
      <c r="F548" s="83" t="str">
        <f>IF(H550="","",F547-H548)</f>
        <v/>
      </c>
      <c r="G548" s="84" t="str">
        <f>IF(I550="","",F547-I548)</f>
        <v/>
      </c>
      <c r="H548" s="85" t="str">
        <f>IF(OR($A550="集水",$A550="吸水"),0.4,"")</f>
        <v/>
      </c>
      <c r="I548" s="85" t="str">
        <f>IF(OR($A550="集水",$A550="吸水"),0.4,"")</f>
        <v/>
      </c>
      <c r="J548" s="86" t="str">
        <f>IF(G548="","",F548-G548)</f>
        <v/>
      </c>
      <c r="K548" s="83" t="str">
        <f>IF(M550="","",K547-M548)</f>
        <v/>
      </c>
      <c r="L548" s="87" t="str">
        <f>IF(N550="","",K547-N548)</f>
        <v/>
      </c>
      <c r="M548" s="85" t="str">
        <f>IF(M550="","",IF(OR($A550="集水",$A550="吸水"),0.4,""))</f>
        <v/>
      </c>
      <c r="N548" s="85" t="str">
        <f>IF(N550="","",IF(OR($A550="集水",$A550="吸水"),0.4,""))</f>
        <v/>
      </c>
      <c r="O548" s="86" t="str">
        <f>IF(L548="","",K548-L548)</f>
        <v/>
      </c>
      <c r="P548" s="83" t="str">
        <f>IF(R550="","",P547-R548)</f>
        <v/>
      </c>
      <c r="Q548" s="84" t="str">
        <f>IF(S550="","",P547-S548)</f>
        <v/>
      </c>
      <c r="R548" s="85" t="str">
        <f>IF(OR($A550="集水",$A550="吸水"),0.4,"")</f>
        <v/>
      </c>
      <c r="S548" s="85" t="str">
        <f>IF(OR($A550="集水",$A550="吸水"),0.4,"")</f>
        <v/>
      </c>
      <c r="T548" s="86" t="str">
        <f>IF(Q548="","",P548-Q548)</f>
        <v/>
      </c>
      <c r="U548" s="88"/>
      <c r="V548" s="89"/>
    </row>
    <row r="549" spans="1:22" ht="9" customHeight="1" x14ac:dyDescent="0.55000000000000004">
      <c r="A549" s="90"/>
      <c r="B549" s="91"/>
      <c r="C549" s="92" t="str">
        <f>IF(B547="","",B549-B547)</f>
        <v/>
      </c>
      <c r="D549" s="91"/>
      <c r="E549" s="93" t="str">
        <f>IF(D547="","",D549-D547)</f>
        <v/>
      </c>
      <c r="F549" s="94"/>
      <c r="G549" s="85"/>
      <c r="H549" s="85"/>
      <c r="I549" s="95"/>
      <c r="J549" s="86"/>
      <c r="K549" s="94"/>
      <c r="L549" s="85"/>
      <c r="M549" s="85"/>
      <c r="N549" s="95"/>
      <c r="O549" s="86"/>
      <c r="P549" s="94"/>
      <c r="Q549" s="85"/>
      <c r="R549" s="85"/>
      <c r="S549" s="95"/>
      <c r="T549" s="86"/>
      <c r="U549" s="96"/>
      <c r="V549" s="97"/>
    </row>
    <row r="550" spans="1:22" ht="9" customHeight="1" x14ac:dyDescent="0.55000000000000004">
      <c r="A550" s="98"/>
      <c r="B550" s="99"/>
      <c r="C550" s="100"/>
      <c r="D550" s="99"/>
      <c r="E550" s="101"/>
      <c r="F550" s="102" t="str">
        <f>IF(H550="","",F547-H550)</f>
        <v/>
      </c>
      <c r="G550" s="103" t="str">
        <f>IF(I550="","",F547-I550)</f>
        <v/>
      </c>
      <c r="H550" s="104"/>
      <c r="I550" s="104"/>
      <c r="J550" s="105"/>
      <c r="K550" s="106" t="str">
        <f>IF(M550="","",K547-M550)</f>
        <v/>
      </c>
      <c r="L550" s="103" t="str">
        <f>IF(N550="","",K547-N550)</f>
        <v/>
      </c>
      <c r="M550" s="104"/>
      <c r="N550" s="107"/>
      <c r="O550" s="105"/>
      <c r="P550" s="102" t="str">
        <f>IF(R550="","",P547-R550)</f>
        <v/>
      </c>
      <c r="Q550" s="103" t="str">
        <f>IF(S550="","",P547-S550)</f>
        <v/>
      </c>
      <c r="R550" s="104"/>
      <c r="S550" s="104"/>
      <c r="T550" s="105"/>
      <c r="U550" s="108"/>
      <c r="V550" s="109"/>
    </row>
    <row r="551" spans="1:22" ht="9" customHeight="1" x14ac:dyDescent="0.55000000000000004">
      <c r="A551" s="19"/>
      <c r="B551" s="69"/>
      <c r="C551" s="70"/>
      <c r="D551" s="69"/>
      <c r="E551" s="71"/>
      <c r="F551" s="72"/>
      <c r="G551" s="73"/>
      <c r="H551" s="74"/>
      <c r="I551" s="75"/>
      <c r="J551" s="76"/>
      <c r="K551" s="72"/>
      <c r="L551" s="73"/>
      <c r="M551" s="74"/>
      <c r="N551" s="75"/>
      <c r="O551" s="76"/>
      <c r="P551" s="72"/>
      <c r="Q551" s="73"/>
      <c r="R551" s="74"/>
      <c r="S551" s="75"/>
      <c r="T551" s="76"/>
      <c r="U551" s="77" t="str">
        <f>IF(OR(F554="",P554=""),"",B551/(F554-P554))</f>
        <v/>
      </c>
      <c r="V551" s="78"/>
    </row>
    <row r="552" spans="1:22" ht="9" customHeight="1" x14ac:dyDescent="0.55000000000000004">
      <c r="A552" s="79"/>
      <c r="B552" s="80"/>
      <c r="C552" s="81"/>
      <c r="D552" s="80"/>
      <c r="E552" s="82"/>
      <c r="F552" s="83" t="str">
        <f>IF(H554="","",F551-H552)</f>
        <v/>
      </c>
      <c r="G552" s="84" t="str">
        <f>IF(I554="","",F551-I552)</f>
        <v/>
      </c>
      <c r="H552" s="85" t="str">
        <f>IF(OR($A554="集水",$A554="吸水"),0.4,"")</f>
        <v/>
      </c>
      <c r="I552" s="85" t="str">
        <f>IF(OR($A554="集水",$A554="吸水"),0.4,"")</f>
        <v/>
      </c>
      <c r="J552" s="86" t="str">
        <f>IF(G552="","",F552-G552)</f>
        <v/>
      </c>
      <c r="K552" s="83" t="str">
        <f>IF(M554="","",K551-M552)</f>
        <v/>
      </c>
      <c r="L552" s="87" t="str">
        <f>IF(N554="","",K551-N552)</f>
        <v/>
      </c>
      <c r="M552" s="85" t="str">
        <f>IF(M554="","",IF(OR($A554="集水",$A554="吸水"),0.4,""))</f>
        <v/>
      </c>
      <c r="N552" s="85" t="str">
        <f>IF(N554="","",IF(OR($A554="集水",$A554="吸水"),0.4,""))</f>
        <v/>
      </c>
      <c r="O552" s="86" t="str">
        <f>IF(L552="","",K552-L552)</f>
        <v/>
      </c>
      <c r="P552" s="83" t="str">
        <f>IF(R554="","",P551-R552)</f>
        <v/>
      </c>
      <c r="Q552" s="84" t="str">
        <f>IF(S554="","",P551-S552)</f>
        <v/>
      </c>
      <c r="R552" s="85" t="str">
        <f>IF(OR($A554="集水",$A554="吸水"),0.4,"")</f>
        <v/>
      </c>
      <c r="S552" s="85" t="str">
        <f>IF(OR($A554="集水",$A554="吸水"),0.4,"")</f>
        <v/>
      </c>
      <c r="T552" s="86" t="str">
        <f>IF(Q552="","",P552-Q552)</f>
        <v/>
      </c>
      <c r="U552" s="88"/>
      <c r="V552" s="89"/>
    </row>
    <row r="553" spans="1:22" ht="9" customHeight="1" x14ac:dyDescent="0.55000000000000004">
      <c r="A553" s="90"/>
      <c r="B553" s="91"/>
      <c r="C553" s="92" t="str">
        <f>IF(B551="","",B553-B551)</f>
        <v/>
      </c>
      <c r="D553" s="91"/>
      <c r="E553" s="93" t="str">
        <f>IF(D551="","",D553-D551)</f>
        <v/>
      </c>
      <c r="F553" s="94"/>
      <c r="G553" s="85"/>
      <c r="H553" s="85"/>
      <c r="I553" s="95"/>
      <c r="J553" s="86"/>
      <c r="K553" s="94"/>
      <c r="L553" s="85"/>
      <c r="M553" s="85"/>
      <c r="N553" s="95"/>
      <c r="O553" s="86"/>
      <c r="P553" s="94"/>
      <c r="Q553" s="85"/>
      <c r="R553" s="85"/>
      <c r="S553" s="95"/>
      <c r="T553" s="86"/>
      <c r="U553" s="96"/>
      <c r="V553" s="97"/>
    </row>
    <row r="554" spans="1:22" ht="9" customHeight="1" x14ac:dyDescent="0.55000000000000004">
      <c r="A554" s="98"/>
      <c r="B554" s="99"/>
      <c r="C554" s="100"/>
      <c r="D554" s="99"/>
      <c r="E554" s="101"/>
      <c r="F554" s="102" t="str">
        <f>IF(H554="","",F551-H554)</f>
        <v/>
      </c>
      <c r="G554" s="103" t="str">
        <f>IF(I554="","",F551-I554)</f>
        <v/>
      </c>
      <c r="H554" s="104"/>
      <c r="I554" s="104"/>
      <c r="J554" s="105"/>
      <c r="K554" s="106" t="str">
        <f>IF(M554="","",K551-M554)</f>
        <v/>
      </c>
      <c r="L554" s="103" t="str">
        <f>IF(N554="","",K551-N554)</f>
        <v/>
      </c>
      <c r="M554" s="104"/>
      <c r="N554" s="107"/>
      <c r="O554" s="105"/>
      <c r="P554" s="102" t="str">
        <f>IF(R554="","",P551-R554)</f>
        <v/>
      </c>
      <c r="Q554" s="103" t="str">
        <f>IF(S554="","",P551-S554)</f>
        <v/>
      </c>
      <c r="R554" s="104"/>
      <c r="S554" s="104"/>
      <c r="T554" s="105"/>
      <c r="U554" s="108"/>
      <c r="V554" s="109"/>
    </row>
    <row r="555" spans="1:22" ht="9" customHeight="1" x14ac:dyDescent="0.55000000000000004">
      <c r="A555" s="19"/>
      <c r="B555" s="69"/>
      <c r="C555" s="70"/>
      <c r="D555" s="69"/>
      <c r="E555" s="71"/>
      <c r="F555" s="72"/>
      <c r="G555" s="73"/>
      <c r="H555" s="74"/>
      <c r="I555" s="75"/>
      <c r="J555" s="76"/>
      <c r="K555" s="72"/>
      <c r="L555" s="73"/>
      <c r="M555" s="74"/>
      <c r="N555" s="75"/>
      <c r="O555" s="76"/>
      <c r="P555" s="72"/>
      <c r="Q555" s="73"/>
      <c r="R555" s="74"/>
      <c r="S555" s="75"/>
      <c r="T555" s="76"/>
      <c r="U555" s="77" t="str">
        <f>IF(OR(F558="",P558=""),"",B555/(F558-P558))</f>
        <v/>
      </c>
      <c r="V555" s="78"/>
    </row>
    <row r="556" spans="1:22" ht="9" customHeight="1" x14ac:dyDescent="0.55000000000000004">
      <c r="A556" s="79"/>
      <c r="B556" s="80"/>
      <c r="C556" s="81"/>
      <c r="D556" s="80"/>
      <c r="E556" s="82"/>
      <c r="F556" s="83" t="str">
        <f>IF(H558="","",F555-H556)</f>
        <v/>
      </c>
      <c r="G556" s="84" t="str">
        <f>IF(I558="","",F555-I556)</f>
        <v/>
      </c>
      <c r="H556" s="85" t="str">
        <f>IF(OR($A558="集水",$A558="吸水"),0.4,"")</f>
        <v/>
      </c>
      <c r="I556" s="85" t="str">
        <f>IF(OR($A558="集水",$A558="吸水"),0.4,"")</f>
        <v/>
      </c>
      <c r="J556" s="86" t="str">
        <f>IF(G556="","",F556-G556)</f>
        <v/>
      </c>
      <c r="K556" s="83" t="str">
        <f>IF(M558="","",K555-M556)</f>
        <v/>
      </c>
      <c r="L556" s="87" t="str">
        <f>IF(N558="","",K555-N556)</f>
        <v/>
      </c>
      <c r="M556" s="85" t="str">
        <f>IF(M558="","",IF(OR($A558="集水",$A558="吸水"),0.4,""))</f>
        <v/>
      </c>
      <c r="N556" s="85" t="str">
        <f>IF(N558="","",IF(OR($A558="集水",$A558="吸水"),0.4,""))</f>
        <v/>
      </c>
      <c r="O556" s="86" t="str">
        <f>IF(L556="","",K556-L556)</f>
        <v/>
      </c>
      <c r="P556" s="83" t="str">
        <f>IF(R558="","",P555-R556)</f>
        <v/>
      </c>
      <c r="Q556" s="84" t="str">
        <f>IF(S558="","",P555-S556)</f>
        <v/>
      </c>
      <c r="R556" s="85" t="str">
        <f>IF(OR($A558="集水",$A558="吸水"),0.4,"")</f>
        <v/>
      </c>
      <c r="S556" s="85" t="str">
        <f>IF(OR($A558="集水",$A558="吸水"),0.4,"")</f>
        <v/>
      </c>
      <c r="T556" s="86" t="str">
        <f>IF(Q556="","",P556-Q556)</f>
        <v/>
      </c>
      <c r="U556" s="88"/>
      <c r="V556" s="89"/>
    </row>
    <row r="557" spans="1:22" ht="9" customHeight="1" x14ac:dyDescent="0.55000000000000004">
      <c r="A557" s="90"/>
      <c r="B557" s="91"/>
      <c r="C557" s="92" t="str">
        <f>IF(B555="","",B557-B555)</f>
        <v/>
      </c>
      <c r="D557" s="91"/>
      <c r="E557" s="93" t="str">
        <f>IF(D555="","",D557-D555)</f>
        <v/>
      </c>
      <c r="F557" s="94"/>
      <c r="G557" s="85"/>
      <c r="H557" s="85"/>
      <c r="I557" s="95"/>
      <c r="J557" s="86"/>
      <c r="K557" s="94"/>
      <c r="L557" s="85"/>
      <c r="M557" s="85"/>
      <c r="N557" s="95"/>
      <c r="O557" s="86"/>
      <c r="P557" s="94"/>
      <c r="Q557" s="85"/>
      <c r="R557" s="85"/>
      <c r="S557" s="95"/>
      <c r="T557" s="86"/>
      <c r="U557" s="96"/>
      <c r="V557" s="97"/>
    </row>
    <row r="558" spans="1:22" ht="9" customHeight="1" x14ac:dyDescent="0.55000000000000004">
      <c r="A558" s="98"/>
      <c r="B558" s="99"/>
      <c r="C558" s="100"/>
      <c r="D558" s="99"/>
      <c r="E558" s="101"/>
      <c r="F558" s="102" t="str">
        <f>IF(H558="","",F555-H558)</f>
        <v/>
      </c>
      <c r="G558" s="103" t="str">
        <f>IF(I558="","",F555-I558)</f>
        <v/>
      </c>
      <c r="H558" s="104"/>
      <c r="I558" s="104"/>
      <c r="J558" s="105"/>
      <c r="K558" s="106" t="str">
        <f>IF(M558="","",K555-M558)</f>
        <v/>
      </c>
      <c r="L558" s="103" t="str">
        <f>IF(N558="","",K555-N558)</f>
        <v/>
      </c>
      <c r="M558" s="104"/>
      <c r="N558" s="107"/>
      <c r="O558" s="105"/>
      <c r="P558" s="102" t="str">
        <f>IF(R558="","",P555-R558)</f>
        <v/>
      </c>
      <c r="Q558" s="103" t="str">
        <f>IF(S558="","",P555-S558)</f>
        <v/>
      </c>
      <c r="R558" s="104"/>
      <c r="S558" s="104"/>
      <c r="T558" s="105"/>
      <c r="U558" s="108"/>
      <c r="V558" s="109"/>
    </row>
    <row r="559" spans="1:22" ht="9" customHeight="1" x14ac:dyDescent="0.55000000000000004">
      <c r="A559" s="19"/>
      <c r="B559" s="69"/>
      <c r="C559" s="70"/>
      <c r="D559" s="69"/>
      <c r="E559" s="71"/>
      <c r="F559" s="72"/>
      <c r="G559" s="73"/>
      <c r="H559" s="74"/>
      <c r="I559" s="75"/>
      <c r="J559" s="76"/>
      <c r="K559" s="72"/>
      <c r="L559" s="73"/>
      <c r="M559" s="74"/>
      <c r="N559" s="75"/>
      <c r="O559" s="76"/>
      <c r="P559" s="72"/>
      <c r="Q559" s="73"/>
      <c r="R559" s="74"/>
      <c r="S559" s="75"/>
      <c r="T559" s="76"/>
      <c r="U559" s="77" t="str">
        <f>IF(OR(F562="",P562=""),"",B559/(F562-P562))</f>
        <v/>
      </c>
      <c r="V559" s="78"/>
    </row>
    <row r="560" spans="1:22" ht="9" customHeight="1" x14ac:dyDescent="0.55000000000000004">
      <c r="A560" s="79"/>
      <c r="B560" s="80"/>
      <c r="C560" s="81"/>
      <c r="D560" s="80"/>
      <c r="E560" s="82"/>
      <c r="F560" s="83" t="str">
        <f>IF(H562="","",F559-H560)</f>
        <v/>
      </c>
      <c r="G560" s="84" t="str">
        <f>IF(I562="","",F559-I560)</f>
        <v/>
      </c>
      <c r="H560" s="85" t="str">
        <f>IF(OR($A562="集水",$A562="吸水"),0.4,"")</f>
        <v/>
      </c>
      <c r="I560" s="85" t="str">
        <f>IF(OR($A562="集水",$A562="吸水"),0.4,"")</f>
        <v/>
      </c>
      <c r="J560" s="86" t="str">
        <f>IF(G560="","",F560-G560)</f>
        <v/>
      </c>
      <c r="K560" s="83" t="str">
        <f>IF(M562="","",K559-M560)</f>
        <v/>
      </c>
      <c r="L560" s="87" t="str">
        <f>IF(N562="","",K559-N560)</f>
        <v/>
      </c>
      <c r="M560" s="85" t="str">
        <f>IF(M562="","",IF(OR($A562="集水",$A562="吸水"),0.4,""))</f>
        <v/>
      </c>
      <c r="N560" s="85" t="str">
        <f>IF(N562="","",IF(OR($A562="集水",$A562="吸水"),0.4,""))</f>
        <v/>
      </c>
      <c r="O560" s="86" t="str">
        <f>IF(L560="","",K560-L560)</f>
        <v/>
      </c>
      <c r="P560" s="83" t="str">
        <f>IF(R562="","",P559-R560)</f>
        <v/>
      </c>
      <c r="Q560" s="84" t="str">
        <f>IF(S562="","",P559-S560)</f>
        <v/>
      </c>
      <c r="R560" s="85" t="str">
        <f>IF(OR($A562="集水",$A562="吸水"),0.4,"")</f>
        <v/>
      </c>
      <c r="S560" s="85" t="str">
        <f>IF(OR($A562="集水",$A562="吸水"),0.4,"")</f>
        <v/>
      </c>
      <c r="T560" s="86" t="str">
        <f>IF(Q560="","",P560-Q560)</f>
        <v/>
      </c>
      <c r="U560" s="88"/>
      <c r="V560" s="89"/>
    </row>
    <row r="561" spans="1:22" ht="9" customHeight="1" x14ac:dyDescent="0.55000000000000004">
      <c r="A561" s="90"/>
      <c r="B561" s="91"/>
      <c r="C561" s="92" t="str">
        <f>IF(B559="","",B561-B559)</f>
        <v/>
      </c>
      <c r="D561" s="91"/>
      <c r="E561" s="93" t="str">
        <f>IF(D559="","",D561-D559)</f>
        <v/>
      </c>
      <c r="F561" s="94"/>
      <c r="G561" s="85"/>
      <c r="H561" s="85"/>
      <c r="I561" s="95"/>
      <c r="J561" s="86"/>
      <c r="K561" s="94"/>
      <c r="L561" s="85"/>
      <c r="M561" s="85"/>
      <c r="N561" s="95"/>
      <c r="O561" s="86"/>
      <c r="P561" s="94"/>
      <c r="Q561" s="85"/>
      <c r="R561" s="85"/>
      <c r="S561" s="95"/>
      <c r="T561" s="86"/>
      <c r="U561" s="96"/>
      <c r="V561" s="97"/>
    </row>
    <row r="562" spans="1:22" ht="9" customHeight="1" x14ac:dyDescent="0.55000000000000004">
      <c r="A562" s="98"/>
      <c r="B562" s="99"/>
      <c r="C562" s="100"/>
      <c r="D562" s="99"/>
      <c r="E562" s="101"/>
      <c r="F562" s="102" t="str">
        <f>IF(H562="","",F559-H562)</f>
        <v/>
      </c>
      <c r="G562" s="103" t="str">
        <f>IF(I562="","",F559-I562)</f>
        <v/>
      </c>
      <c r="H562" s="104"/>
      <c r="I562" s="104"/>
      <c r="J562" s="105"/>
      <c r="K562" s="106" t="str">
        <f>IF(M562="","",K559-M562)</f>
        <v/>
      </c>
      <c r="L562" s="103" t="str">
        <f>IF(N562="","",K559-N562)</f>
        <v/>
      </c>
      <c r="M562" s="104"/>
      <c r="N562" s="107"/>
      <c r="O562" s="105"/>
      <c r="P562" s="102" t="str">
        <f>IF(R562="","",P559-R562)</f>
        <v/>
      </c>
      <c r="Q562" s="103" t="str">
        <f>IF(S562="","",P559-S562)</f>
        <v/>
      </c>
      <c r="R562" s="104"/>
      <c r="S562" s="104"/>
      <c r="T562" s="105"/>
      <c r="U562" s="108"/>
      <c r="V562" s="109"/>
    </row>
    <row r="563" spans="1:22" ht="9" customHeight="1" x14ac:dyDescent="0.55000000000000004">
      <c r="A563" s="19"/>
      <c r="B563" s="69"/>
      <c r="C563" s="70"/>
      <c r="D563" s="69"/>
      <c r="E563" s="71"/>
      <c r="F563" s="72"/>
      <c r="G563" s="73"/>
      <c r="H563" s="74"/>
      <c r="I563" s="75"/>
      <c r="J563" s="76"/>
      <c r="K563" s="72"/>
      <c r="L563" s="73"/>
      <c r="M563" s="74"/>
      <c r="N563" s="75"/>
      <c r="O563" s="76"/>
      <c r="P563" s="72"/>
      <c r="Q563" s="73"/>
      <c r="R563" s="74"/>
      <c r="S563" s="75"/>
      <c r="T563" s="76"/>
      <c r="U563" s="77" t="str">
        <f>IF(OR(F566="",P566=""),"",B563/(F566-P566))</f>
        <v/>
      </c>
      <c r="V563" s="78"/>
    </row>
    <row r="564" spans="1:22" ht="9" customHeight="1" x14ac:dyDescent="0.55000000000000004">
      <c r="A564" s="79"/>
      <c r="B564" s="80"/>
      <c r="C564" s="81"/>
      <c r="D564" s="80"/>
      <c r="E564" s="82"/>
      <c r="F564" s="83" t="str">
        <f>IF(H566="","",F563-H564)</f>
        <v/>
      </c>
      <c r="G564" s="84" t="str">
        <f>IF(I566="","",F563-I564)</f>
        <v/>
      </c>
      <c r="H564" s="85" t="str">
        <f>IF(OR($A566="集水",$A566="吸水"),0.4,"")</f>
        <v/>
      </c>
      <c r="I564" s="85" t="str">
        <f>IF(OR($A566="集水",$A566="吸水"),0.4,"")</f>
        <v/>
      </c>
      <c r="J564" s="86" t="str">
        <f>IF(G564="","",F564-G564)</f>
        <v/>
      </c>
      <c r="K564" s="83" t="str">
        <f>IF(M566="","",K563-M564)</f>
        <v/>
      </c>
      <c r="L564" s="87" t="str">
        <f>IF(N566="","",K563-N564)</f>
        <v/>
      </c>
      <c r="M564" s="85" t="str">
        <f>IF(M566="","",IF(OR($A566="集水",$A566="吸水"),0.4,""))</f>
        <v/>
      </c>
      <c r="N564" s="85" t="str">
        <f>IF(N566="","",IF(OR($A566="集水",$A566="吸水"),0.4,""))</f>
        <v/>
      </c>
      <c r="O564" s="86" t="str">
        <f>IF(L564="","",K564-L564)</f>
        <v/>
      </c>
      <c r="P564" s="83" t="str">
        <f>IF(R566="","",P563-R564)</f>
        <v/>
      </c>
      <c r="Q564" s="84" t="str">
        <f>IF(S566="","",P563-S564)</f>
        <v/>
      </c>
      <c r="R564" s="85" t="str">
        <f>IF(OR($A566="集水",$A566="吸水"),0.4,"")</f>
        <v/>
      </c>
      <c r="S564" s="85" t="str">
        <f>IF(OR($A566="集水",$A566="吸水"),0.4,"")</f>
        <v/>
      </c>
      <c r="T564" s="86" t="str">
        <f>IF(Q564="","",P564-Q564)</f>
        <v/>
      </c>
      <c r="U564" s="88"/>
      <c r="V564" s="89"/>
    </row>
    <row r="565" spans="1:22" ht="9" customHeight="1" x14ac:dyDescent="0.55000000000000004">
      <c r="A565" s="90"/>
      <c r="B565" s="91"/>
      <c r="C565" s="92" t="str">
        <f>IF(B563="","",B565-B563)</f>
        <v/>
      </c>
      <c r="D565" s="91"/>
      <c r="E565" s="93" t="str">
        <f>IF(D563="","",D565-D563)</f>
        <v/>
      </c>
      <c r="F565" s="94"/>
      <c r="G565" s="85"/>
      <c r="H565" s="85"/>
      <c r="I565" s="95"/>
      <c r="J565" s="86"/>
      <c r="K565" s="94"/>
      <c r="L565" s="85"/>
      <c r="M565" s="85"/>
      <c r="N565" s="95"/>
      <c r="O565" s="86"/>
      <c r="P565" s="94"/>
      <c r="Q565" s="85"/>
      <c r="R565" s="85"/>
      <c r="S565" s="95"/>
      <c r="T565" s="86"/>
      <c r="U565" s="96"/>
      <c r="V565" s="97"/>
    </row>
    <row r="566" spans="1:22" ht="9" customHeight="1" x14ac:dyDescent="0.55000000000000004">
      <c r="A566" s="98"/>
      <c r="B566" s="99"/>
      <c r="C566" s="100"/>
      <c r="D566" s="99"/>
      <c r="E566" s="101"/>
      <c r="F566" s="102" t="str">
        <f>IF(H566="","",F563-H566)</f>
        <v/>
      </c>
      <c r="G566" s="103" t="str">
        <f>IF(I566="","",F563-I566)</f>
        <v/>
      </c>
      <c r="H566" s="104"/>
      <c r="I566" s="104"/>
      <c r="J566" s="105"/>
      <c r="K566" s="106" t="str">
        <f>IF(M566="","",K563-M566)</f>
        <v/>
      </c>
      <c r="L566" s="103" t="str">
        <f>IF(N566="","",K563-N566)</f>
        <v/>
      </c>
      <c r="M566" s="104"/>
      <c r="N566" s="107"/>
      <c r="O566" s="105"/>
      <c r="P566" s="102" t="str">
        <f>IF(R566="","",P563-R566)</f>
        <v/>
      </c>
      <c r="Q566" s="103" t="str">
        <f>IF(S566="","",P563-S566)</f>
        <v/>
      </c>
      <c r="R566" s="104"/>
      <c r="S566" s="104"/>
      <c r="T566" s="105"/>
      <c r="U566" s="108"/>
      <c r="V566" s="109"/>
    </row>
    <row r="567" spans="1:22" ht="9" customHeight="1" x14ac:dyDescent="0.55000000000000004">
      <c r="A567" s="19"/>
      <c r="B567" s="69"/>
      <c r="C567" s="70"/>
      <c r="D567" s="69"/>
      <c r="E567" s="71"/>
      <c r="F567" s="72"/>
      <c r="G567" s="73"/>
      <c r="H567" s="74"/>
      <c r="I567" s="75"/>
      <c r="J567" s="76"/>
      <c r="K567" s="72"/>
      <c r="L567" s="73"/>
      <c r="M567" s="74"/>
      <c r="N567" s="75"/>
      <c r="O567" s="76"/>
      <c r="P567" s="72"/>
      <c r="Q567" s="73"/>
      <c r="R567" s="74"/>
      <c r="S567" s="75"/>
      <c r="T567" s="76"/>
      <c r="U567" s="77" t="str">
        <f>IF(OR(F570="",P570=""),"",B567/(F570-P570))</f>
        <v/>
      </c>
      <c r="V567" s="78"/>
    </row>
    <row r="568" spans="1:22" ht="9" customHeight="1" x14ac:dyDescent="0.55000000000000004">
      <c r="A568" s="79"/>
      <c r="B568" s="80"/>
      <c r="C568" s="81"/>
      <c r="D568" s="80"/>
      <c r="E568" s="82"/>
      <c r="F568" s="83" t="str">
        <f>IF(H570="","",F567-H568)</f>
        <v/>
      </c>
      <c r="G568" s="84" t="str">
        <f>IF(I570="","",F567-I568)</f>
        <v/>
      </c>
      <c r="H568" s="85" t="str">
        <f>IF(OR($A570="集水",$A570="吸水"),0.4,"")</f>
        <v/>
      </c>
      <c r="I568" s="85" t="str">
        <f>IF(OR($A570="集水",$A570="吸水"),0.4,"")</f>
        <v/>
      </c>
      <c r="J568" s="86" t="str">
        <f>IF(G568="","",F568-G568)</f>
        <v/>
      </c>
      <c r="K568" s="83" t="str">
        <f>IF(M570="","",K567-M568)</f>
        <v/>
      </c>
      <c r="L568" s="87" t="str">
        <f>IF(N570="","",K567-N568)</f>
        <v/>
      </c>
      <c r="M568" s="85" t="str">
        <f>IF(M570="","",IF(OR($A570="集水",$A570="吸水"),0.4,""))</f>
        <v/>
      </c>
      <c r="N568" s="85" t="str">
        <f>IF(N570="","",IF(OR($A570="集水",$A570="吸水"),0.4,""))</f>
        <v/>
      </c>
      <c r="O568" s="86" t="str">
        <f>IF(L568="","",K568-L568)</f>
        <v/>
      </c>
      <c r="P568" s="83" t="str">
        <f>IF(R570="","",P567-R568)</f>
        <v/>
      </c>
      <c r="Q568" s="84" t="str">
        <f>IF(S570="","",P567-S568)</f>
        <v/>
      </c>
      <c r="R568" s="85" t="str">
        <f>IF(OR($A570="集水",$A570="吸水"),0.4,"")</f>
        <v/>
      </c>
      <c r="S568" s="85" t="str">
        <f>IF(OR($A570="集水",$A570="吸水"),0.4,"")</f>
        <v/>
      </c>
      <c r="T568" s="86" t="str">
        <f>IF(Q568="","",P568-Q568)</f>
        <v/>
      </c>
      <c r="U568" s="88"/>
      <c r="V568" s="89"/>
    </row>
    <row r="569" spans="1:22" ht="9" customHeight="1" x14ac:dyDescent="0.55000000000000004">
      <c r="A569" s="90"/>
      <c r="B569" s="91"/>
      <c r="C569" s="92" t="str">
        <f>IF(B567="","",B569-B567)</f>
        <v/>
      </c>
      <c r="D569" s="91"/>
      <c r="E569" s="93" t="str">
        <f>IF(D567="","",D569-D567)</f>
        <v/>
      </c>
      <c r="F569" s="94"/>
      <c r="G569" s="85"/>
      <c r="H569" s="85"/>
      <c r="I569" s="95"/>
      <c r="J569" s="86"/>
      <c r="K569" s="94"/>
      <c r="L569" s="85"/>
      <c r="M569" s="85"/>
      <c r="N569" s="95"/>
      <c r="O569" s="86"/>
      <c r="P569" s="94"/>
      <c r="Q569" s="85"/>
      <c r="R569" s="85"/>
      <c r="S569" s="95"/>
      <c r="T569" s="86"/>
      <c r="U569" s="96"/>
      <c r="V569" s="97"/>
    </row>
    <row r="570" spans="1:22" ht="9" customHeight="1" x14ac:dyDescent="0.55000000000000004">
      <c r="A570" s="98"/>
      <c r="B570" s="99"/>
      <c r="C570" s="100"/>
      <c r="D570" s="99"/>
      <c r="E570" s="101"/>
      <c r="F570" s="102" t="str">
        <f>IF(H570="","",F567-H570)</f>
        <v/>
      </c>
      <c r="G570" s="103" t="str">
        <f>IF(I570="","",F567-I570)</f>
        <v/>
      </c>
      <c r="H570" s="104"/>
      <c r="I570" s="104"/>
      <c r="J570" s="105"/>
      <c r="K570" s="106" t="str">
        <f>IF(M570="","",K567-M570)</f>
        <v/>
      </c>
      <c r="L570" s="103" t="str">
        <f>IF(N570="","",K567-N570)</f>
        <v/>
      </c>
      <c r="M570" s="104"/>
      <c r="N570" s="107"/>
      <c r="O570" s="105"/>
      <c r="P570" s="102" t="str">
        <f>IF(R570="","",P567-R570)</f>
        <v/>
      </c>
      <c r="Q570" s="103" t="str">
        <f>IF(S570="","",P567-S570)</f>
        <v/>
      </c>
      <c r="R570" s="104"/>
      <c r="S570" s="104"/>
      <c r="T570" s="105"/>
      <c r="U570" s="108"/>
      <c r="V570" s="109"/>
    </row>
    <row r="571" spans="1:22" ht="9" customHeight="1" x14ac:dyDescent="0.55000000000000004">
      <c r="A571" s="19"/>
      <c r="B571" s="69"/>
      <c r="C571" s="70"/>
      <c r="D571" s="69"/>
      <c r="E571" s="71"/>
      <c r="F571" s="72"/>
      <c r="G571" s="73"/>
      <c r="H571" s="74"/>
      <c r="I571" s="75"/>
      <c r="J571" s="76"/>
      <c r="K571" s="72"/>
      <c r="L571" s="73"/>
      <c r="M571" s="74"/>
      <c r="N571" s="75"/>
      <c r="O571" s="76"/>
      <c r="P571" s="72"/>
      <c r="Q571" s="73"/>
      <c r="R571" s="74"/>
      <c r="S571" s="75"/>
      <c r="T571" s="76"/>
      <c r="U571" s="77" t="str">
        <f>IF(OR(F574="",P574=""),"",B571/(F574-P574))</f>
        <v/>
      </c>
      <c r="V571" s="78"/>
    </row>
    <row r="572" spans="1:22" ht="9" customHeight="1" x14ac:dyDescent="0.55000000000000004">
      <c r="A572" s="79"/>
      <c r="B572" s="80"/>
      <c r="C572" s="81"/>
      <c r="D572" s="80"/>
      <c r="E572" s="82"/>
      <c r="F572" s="83" t="str">
        <f>IF(H574="","",F571-H572)</f>
        <v/>
      </c>
      <c r="G572" s="84" t="str">
        <f>IF(I574="","",F571-I572)</f>
        <v/>
      </c>
      <c r="H572" s="85" t="str">
        <f>IF(OR($A574="集水",$A574="吸水"),0.4,"")</f>
        <v/>
      </c>
      <c r="I572" s="85" t="str">
        <f>IF(OR($A574="集水",$A574="吸水"),0.4,"")</f>
        <v/>
      </c>
      <c r="J572" s="86" t="str">
        <f>IF(G572="","",F572-G572)</f>
        <v/>
      </c>
      <c r="K572" s="83" t="str">
        <f>IF(M574="","",K571-M572)</f>
        <v/>
      </c>
      <c r="L572" s="87" t="str">
        <f>IF(N574="","",K571-N572)</f>
        <v/>
      </c>
      <c r="M572" s="85" t="str">
        <f>IF(M574="","",IF(OR($A574="集水",$A574="吸水"),0.4,""))</f>
        <v/>
      </c>
      <c r="N572" s="85" t="str">
        <f>IF(N574="","",IF(OR($A574="集水",$A574="吸水"),0.4,""))</f>
        <v/>
      </c>
      <c r="O572" s="86" t="str">
        <f>IF(L572="","",K572-L572)</f>
        <v/>
      </c>
      <c r="P572" s="83" t="str">
        <f>IF(R574="","",P571-R572)</f>
        <v/>
      </c>
      <c r="Q572" s="84" t="str">
        <f>IF(S574="","",P571-S572)</f>
        <v/>
      </c>
      <c r="R572" s="85" t="str">
        <f>IF(OR($A574="集水",$A574="吸水"),0.4,"")</f>
        <v/>
      </c>
      <c r="S572" s="85" t="str">
        <f>IF(OR($A574="集水",$A574="吸水"),0.4,"")</f>
        <v/>
      </c>
      <c r="T572" s="86" t="str">
        <f>IF(Q572="","",P572-Q572)</f>
        <v/>
      </c>
      <c r="U572" s="88"/>
      <c r="V572" s="89"/>
    </row>
    <row r="573" spans="1:22" ht="9" customHeight="1" x14ac:dyDescent="0.55000000000000004">
      <c r="A573" s="90"/>
      <c r="B573" s="91"/>
      <c r="C573" s="92" t="str">
        <f>IF(B571="","",B573-B571)</f>
        <v/>
      </c>
      <c r="D573" s="91"/>
      <c r="E573" s="93" t="str">
        <f>IF(D571="","",D573-D571)</f>
        <v/>
      </c>
      <c r="F573" s="94"/>
      <c r="G573" s="85"/>
      <c r="H573" s="85"/>
      <c r="I573" s="95"/>
      <c r="J573" s="86"/>
      <c r="K573" s="94"/>
      <c r="L573" s="85"/>
      <c r="M573" s="85"/>
      <c r="N573" s="95"/>
      <c r="O573" s="86"/>
      <c r="P573" s="94"/>
      <c r="Q573" s="85"/>
      <c r="R573" s="85"/>
      <c r="S573" s="95"/>
      <c r="T573" s="86"/>
      <c r="U573" s="96"/>
      <c r="V573" s="97"/>
    </row>
    <row r="574" spans="1:22" ht="9" customHeight="1" x14ac:dyDescent="0.55000000000000004">
      <c r="A574" s="98"/>
      <c r="B574" s="99"/>
      <c r="C574" s="100"/>
      <c r="D574" s="99"/>
      <c r="E574" s="101"/>
      <c r="F574" s="102" t="str">
        <f>IF(H574="","",F571-H574)</f>
        <v/>
      </c>
      <c r="G574" s="103" t="str">
        <f>IF(I574="","",F571-I574)</f>
        <v/>
      </c>
      <c r="H574" s="104"/>
      <c r="I574" s="104"/>
      <c r="J574" s="105"/>
      <c r="K574" s="106" t="str">
        <f>IF(M574="","",K571-M574)</f>
        <v/>
      </c>
      <c r="L574" s="103" t="str">
        <f>IF(N574="","",K571-N574)</f>
        <v/>
      </c>
      <c r="M574" s="104"/>
      <c r="N574" s="107"/>
      <c r="O574" s="105"/>
      <c r="P574" s="102" t="str">
        <f>IF(R574="","",P571-R574)</f>
        <v/>
      </c>
      <c r="Q574" s="103" t="str">
        <f>IF(S574="","",P571-S574)</f>
        <v/>
      </c>
      <c r="R574" s="104"/>
      <c r="S574" s="104"/>
      <c r="T574" s="105"/>
      <c r="U574" s="108"/>
      <c r="V574" s="109"/>
    </row>
    <row r="575" spans="1:22" ht="9" customHeight="1" x14ac:dyDescent="0.55000000000000004">
      <c r="A575" s="19"/>
      <c r="B575" s="69"/>
      <c r="C575" s="70"/>
      <c r="D575" s="69"/>
      <c r="E575" s="71"/>
      <c r="F575" s="72"/>
      <c r="G575" s="73"/>
      <c r="H575" s="74"/>
      <c r="I575" s="75"/>
      <c r="J575" s="76"/>
      <c r="K575" s="72"/>
      <c r="L575" s="73"/>
      <c r="M575" s="74"/>
      <c r="N575" s="75"/>
      <c r="O575" s="76"/>
      <c r="P575" s="72"/>
      <c r="Q575" s="73"/>
      <c r="R575" s="74"/>
      <c r="S575" s="75"/>
      <c r="T575" s="76"/>
      <c r="U575" s="77" t="str">
        <f>IF(OR(F578="",P578=""),"",B575/(F578-P578))</f>
        <v/>
      </c>
      <c r="V575" s="78"/>
    </row>
    <row r="576" spans="1:22" ht="9" customHeight="1" x14ac:dyDescent="0.55000000000000004">
      <c r="A576" s="79"/>
      <c r="B576" s="80"/>
      <c r="C576" s="81"/>
      <c r="D576" s="80"/>
      <c r="E576" s="82"/>
      <c r="F576" s="83" t="str">
        <f>IF(H578="","",F575-H576)</f>
        <v/>
      </c>
      <c r="G576" s="84" t="str">
        <f>IF(I578="","",F575-I576)</f>
        <v/>
      </c>
      <c r="H576" s="85" t="str">
        <f>IF(OR($A578="集水",$A578="吸水"),0.4,"")</f>
        <v/>
      </c>
      <c r="I576" s="85" t="str">
        <f>IF(OR($A578="集水",$A578="吸水"),0.4,"")</f>
        <v/>
      </c>
      <c r="J576" s="86" t="str">
        <f>IF(G576="","",F576-G576)</f>
        <v/>
      </c>
      <c r="K576" s="83" t="str">
        <f>IF(M578="","",K575-M576)</f>
        <v/>
      </c>
      <c r="L576" s="87" t="str">
        <f>IF(N578="","",K575-N576)</f>
        <v/>
      </c>
      <c r="M576" s="85" t="str">
        <f>IF(M578="","",IF(OR($A578="集水",$A578="吸水"),0.4,""))</f>
        <v/>
      </c>
      <c r="N576" s="85" t="str">
        <f>IF(N578="","",IF(OR($A578="集水",$A578="吸水"),0.4,""))</f>
        <v/>
      </c>
      <c r="O576" s="86" t="str">
        <f>IF(L576="","",K576-L576)</f>
        <v/>
      </c>
      <c r="P576" s="83" t="str">
        <f>IF(R578="","",P575-R576)</f>
        <v/>
      </c>
      <c r="Q576" s="84" t="str">
        <f>IF(S578="","",P575-S576)</f>
        <v/>
      </c>
      <c r="R576" s="85" t="str">
        <f>IF(OR($A578="集水",$A578="吸水"),0.4,"")</f>
        <v/>
      </c>
      <c r="S576" s="85" t="str">
        <f>IF(OR($A578="集水",$A578="吸水"),0.4,"")</f>
        <v/>
      </c>
      <c r="T576" s="86" t="str">
        <f>IF(Q576="","",P576-Q576)</f>
        <v/>
      </c>
      <c r="U576" s="88"/>
      <c r="V576" s="89"/>
    </row>
    <row r="577" spans="1:22" ht="9" customHeight="1" x14ac:dyDescent="0.55000000000000004">
      <c r="A577" s="90"/>
      <c r="B577" s="91"/>
      <c r="C577" s="92" t="str">
        <f>IF(B575="","",B577-B575)</f>
        <v/>
      </c>
      <c r="D577" s="91"/>
      <c r="E577" s="93" t="str">
        <f>IF(D575="","",D577-D575)</f>
        <v/>
      </c>
      <c r="F577" s="94"/>
      <c r="G577" s="85"/>
      <c r="H577" s="85"/>
      <c r="I577" s="95"/>
      <c r="J577" s="86"/>
      <c r="K577" s="94"/>
      <c r="L577" s="85"/>
      <c r="M577" s="85"/>
      <c r="N577" s="95"/>
      <c r="O577" s="86"/>
      <c r="P577" s="94"/>
      <c r="Q577" s="85"/>
      <c r="R577" s="85"/>
      <c r="S577" s="95"/>
      <c r="T577" s="86"/>
      <c r="U577" s="96"/>
      <c r="V577" s="97"/>
    </row>
    <row r="578" spans="1:22" ht="9" customHeight="1" x14ac:dyDescent="0.55000000000000004">
      <c r="A578" s="98"/>
      <c r="B578" s="99"/>
      <c r="C578" s="100"/>
      <c r="D578" s="99"/>
      <c r="E578" s="101"/>
      <c r="F578" s="102" t="str">
        <f>IF(H578="","",F575-H578)</f>
        <v/>
      </c>
      <c r="G578" s="103" t="str">
        <f>IF(I578="","",F575-I578)</f>
        <v/>
      </c>
      <c r="H578" s="104"/>
      <c r="I578" s="104"/>
      <c r="J578" s="105"/>
      <c r="K578" s="106" t="str">
        <f>IF(M578="","",K575-M578)</f>
        <v/>
      </c>
      <c r="L578" s="103" t="str">
        <f>IF(N578="","",K575-N578)</f>
        <v/>
      </c>
      <c r="M578" s="104"/>
      <c r="N578" s="107"/>
      <c r="O578" s="105"/>
      <c r="P578" s="102" t="str">
        <f>IF(R578="","",P575-R578)</f>
        <v/>
      </c>
      <c r="Q578" s="103" t="str">
        <f>IF(S578="","",P575-S578)</f>
        <v/>
      </c>
      <c r="R578" s="104"/>
      <c r="S578" s="104"/>
      <c r="T578" s="105"/>
      <c r="U578" s="108"/>
      <c r="V578" s="109"/>
    </row>
    <row r="579" spans="1:22" ht="9" customHeight="1" x14ac:dyDescent="0.55000000000000004">
      <c r="A579" s="19"/>
      <c r="B579" s="69"/>
      <c r="C579" s="70"/>
      <c r="D579" s="69"/>
      <c r="E579" s="71"/>
      <c r="F579" s="72"/>
      <c r="G579" s="73"/>
      <c r="H579" s="74"/>
      <c r="I579" s="75"/>
      <c r="J579" s="76"/>
      <c r="K579" s="72"/>
      <c r="L579" s="73"/>
      <c r="M579" s="74"/>
      <c r="N579" s="75"/>
      <c r="O579" s="76"/>
      <c r="P579" s="72"/>
      <c r="Q579" s="73"/>
      <c r="R579" s="74"/>
      <c r="S579" s="75"/>
      <c r="T579" s="76"/>
      <c r="U579" s="77" t="str">
        <f>IF(OR(F582="",P582=""),"",B579/(F582-P582))</f>
        <v/>
      </c>
      <c r="V579" s="78"/>
    </row>
    <row r="580" spans="1:22" ht="9" customHeight="1" x14ac:dyDescent="0.55000000000000004">
      <c r="A580" s="79"/>
      <c r="B580" s="80"/>
      <c r="C580" s="81"/>
      <c r="D580" s="80"/>
      <c r="E580" s="82"/>
      <c r="F580" s="83" t="str">
        <f>IF(H582="","",F579-H580)</f>
        <v/>
      </c>
      <c r="G580" s="84" t="str">
        <f>IF(I582="","",F579-I580)</f>
        <v/>
      </c>
      <c r="H580" s="85" t="str">
        <f>IF(OR($A582="集水",$A582="吸水"),0.4,"")</f>
        <v/>
      </c>
      <c r="I580" s="85" t="str">
        <f>IF(OR($A582="集水",$A582="吸水"),0.4,"")</f>
        <v/>
      </c>
      <c r="J580" s="86" t="str">
        <f>IF(G580="","",F580-G580)</f>
        <v/>
      </c>
      <c r="K580" s="83" t="str">
        <f>IF(M582="","",K579-M580)</f>
        <v/>
      </c>
      <c r="L580" s="87" t="str">
        <f>IF(N582="","",K579-N580)</f>
        <v/>
      </c>
      <c r="M580" s="85" t="str">
        <f>IF(M582="","",IF(OR($A582="集水",$A582="吸水"),0.4,""))</f>
        <v/>
      </c>
      <c r="N580" s="85" t="str">
        <f>IF(N582="","",IF(OR($A582="集水",$A582="吸水"),0.4,""))</f>
        <v/>
      </c>
      <c r="O580" s="86" t="str">
        <f>IF(L580="","",K580-L580)</f>
        <v/>
      </c>
      <c r="P580" s="83" t="str">
        <f>IF(R582="","",P579-R580)</f>
        <v/>
      </c>
      <c r="Q580" s="84" t="str">
        <f>IF(S582="","",P579-S580)</f>
        <v/>
      </c>
      <c r="R580" s="85" t="str">
        <f>IF(OR($A582="集水",$A582="吸水"),0.4,"")</f>
        <v/>
      </c>
      <c r="S580" s="85" t="str">
        <f>IF(OR($A582="集水",$A582="吸水"),0.4,"")</f>
        <v/>
      </c>
      <c r="T580" s="86" t="str">
        <f>IF(Q580="","",P580-Q580)</f>
        <v/>
      </c>
      <c r="U580" s="88"/>
      <c r="V580" s="89"/>
    </row>
    <row r="581" spans="1:22" ht="9" customHeight="1" x14ac:dyDescent="0.55000000000000004">
      <c r="A581" s="90"/>
      <c r="B581" s="91"/>
      <c r="C581" s="92" t="str">
        <f>IF(B579="","",B581-B579)</f>
        <v/>
      </c>
      <c r="D581" s="91"/>
      <c r="E581" s="93" t="str">
        <f>IF(D579="","",D581-D579)</f>
        <v/>
      </c>
      <c r="F581" s="94"/>
      <c r="G581" s="85"/>
      <c r="H581" s="85"/>
      <c r="I581" s="95"/>
      <c r="J581" s="86"/>
      <c r="K581" s="94"/>
      <c r="L581" s="85"/>
      <c r="M581" s="85"/>
      <c r="N581" s="95"/>
      <c r="O581" s="86"/>
      <c r="P581" s="94"/>
      <c r="Q581" s="85"/>
      <c r="R581" s="85"/>
      <c r="S581" s="95"/>
      <c r="T581" s="86"/>
      <c r="U581" s="96"/>
      <c r="V581" s="97"/>
    </row>
    <row r="582" spans="1:22" ht="9" customHeight="1" x14ac:dyDescent="0.55000000000000004">
      <c r="A582" s="98"/>
      <c r="B582" s="99"/>
      <c r="C582" s="100"/>
      <c r="D582" s="99"/>
      <c r="E582" s="101"/>
      <c r="F582" s="102" t="str">
        <f>IF(H582="","",F579-H582)</f>
        <v/>
      </c>
      <c r="G582" s="103" t="str">
        <f>IF(I582="","",F579-I582)</f>
        <v/>
      </c>
      <c r="H582" s="104"/>
      <c r="I582" s="104"/>
      <c r="J582" s="105"/>
      <c r="K582" s="106" t="str">
        <f>IF(M582="","",K579-M582)</f>
        <v/>
      </c>
      <c r="L582" s="103" t="str">
        <f>IF(N582="","",K579-N582)</f>
        <v/>
      </c>
      <c r="M582" s="104"/>
      <c r="N582" s="107"/>
      <c r="O582" s="105"/>
      <c r="P582" s="102" t="str">
        <f>IF(R582="","",P579-R582)</f>
        <v/>
      </c>
      <c r="Q582" s="103" t="str">
        <f>IF(S582="","",P579-S582)</f>
        <v/>
      </c>
      <c r="R582" s="104"/>
      <c r="S582" s="104"/>
      <c r="T582" s="105"/>
      <c r="U582" s="108"/>
      <c r="V582" s="109"/>
    </row>
    <row r="583" spans="1:22" ht="9" customHeight="1" x14ac:dyDescent="0.55000000000000004">
      <c r="A583" s="19"/>
      <c r="B583" s="69"/>
      <c r="C583" s="70"/>
      <c r="D583" s="69"/>
      <c r="E583" s="71"/>
      <c r="F583" s="72"/>
      <c r="G583" s="73"/>
      <c r="H583" s="74"/>
      <c r="I583" s="75"/>
      <c r="J583" s="76"/>
      <c r="K583" s="72"/>
      <c r="L583" s="73"/>
      <c r="M583" s="74"/>
      <c r="N583" s="75"/>
      <c r="O583" s="76"/>
      <c r="P583" s="72"/>
      <c r="Q583" s="73"/>
      <c r="R583" s="74"/>
      <c r="S583" s="75"/>
      <c r="T583" s="76"/>
      <c r="U583" s="77" t="str">
        <f>IF(OR(F586="",P586=""),"",B583/(F586-P586))</f>
        <v/>
      </c>
      <c r="V583" s="78"/>
    </row>
    <row r="584" spans="1:22" ht="9" customHeight="1" x14ac:dyDescent="0.55000000000000004">
      <c r="A584" s="79"/>
      <c r="B584" s="80"/>
      <c r="C584" s="81"/>
      <c r="D584" s="80"/>
      <c r="E584" s="82"/>
      <c r="F584" s="83" t="str">
        <f>IF(H586="","",F583-H584)</f>
        <v/>
      </c>
      <c r="G584" s="84" t="str">
        <f>IF(I586="","",F583-I584)</f>
        <v/>
      </c>
      <c r="H584" s="85" t="str">
        <f>IF(OR($A586="集水",$A586="吸水"),0.4,"")</f>
        <v/>
      </c>
      <c r="I584" s="85" t="str">
        <f>IF(OR($A586="集水",$A586="吸水"),0.4,"")</f>
        <v/>
      </c>
      <c r="J584" s="86" t="str">
        <f>IF(G584="","",F584-G584)</f>
        <v/>
      </c>
      <c r="K584" s="83" t="str">
        <f>IF(M586="","",K583-M584)</f>
        <v/>
      </c>
      <c r="L584" s="87" t="str">
        <f>IF(N586="","",K583-N584)</f>
        <v/>
      </c>
      <c r="M584" s="85" t="str">
        <f>IF(M586="","",IF(OR($A586="集水",$A586="吸水"),0.4,""))</f>
        <v/>
      </c>
      <c r="N584" s="85" t="str">
        <f>IF(N586="","",IF(OR($A586="集水",$A586="吸水"),0.4,""))</f>
        <v/>
      </c>
      <c r="O584" s="86" t="str">
        <f>IF(L584="","",K584-L584)</f>
        <v/>
      </c>
      <c r="P584" s="83" t="str">
        <f>IF(R586="","",P583-R584)</f>
        <v/>
      </c>
      <c r="Q584" s="84" t="str">
        <f>IF(S586="","",P583-S584)</f>
        <v/>
      </c>
      <c r="R584" s="85" t="str">
        <f>IF(OR($A586="集水",$A586="吸水"),0.4,"")</f>
        <v/>
      </c>
      <c r="S584" s="85" t="str">
        <f>IF(OR($A586="集水",$A586="吸水"),0.4,"")</f>
        <v/>
      </c>
      <c r="T584" s="86" t="str">
        <f>IF(Q584="","",P584-Q584)</f>
        <v/>
      </c>
      <c r="U584" s="88"/>
      <c r="V584" s="89"/>
    </row>
    <row r="585" spans="1:22" ht="9" customHeight="1" x14ac:dyDescent="0.55000000000000004">
      <c r="A585" s="90"/>
      <c r="B585" s="91"/>
      <c r="C585" s="92" t="str">
        <f>IF(B583="","",B585-B583)</f>
        <v/>
      </c>
      <c r="D585" s="91"/>
      <c r="E585" s="93" t="str">
        <f>IF(D583="","",D585-D583)</f>
        <v/>
      </c>
      <c r="F585" s="94"/>
      <c r="G585" s="85"/>
      <c r="H585" s="85"/>
      <c r="I585" s="95"/>
      <c r="J585" s="86"/>
      <c r="K585" s="94"/>
      <c r="L585" s="85"/>
      <c r="M585" s="85"/>
      <c r="N585" s="95"/>
      <c r="O585" s="86"/>
      <c r="P585" s="94"/>
      <c r="Q585" s="85"/>
      <c r="R585" s="85"/>
      <c r="S585" s="95"/>
      <c r="T585" s="86"/>
      <c r="U585" s="96"/>
      <c r="V585" s="97"/>
    </row>
    <row r="586" spans="1:22" ht="9" customHeight="1" x14ac:dyDescent="0.55000000000000004">
      <c r="A586" s="98"/>
      <c r="B586" s="99"/>
      <c r="C586" s="100"/>
      <c r="D586" s="99"/>
      <c r="E586" s="101"/>
      <c r="F586" s="102" t="str">
        <f>IF(H586="","",F583-H586)</f>
        <v/>
      </c>
      <c r="G586" s="103" t="str">
        <f>IF(I586="","",F583-I586)</f>
        <v/>
      </c>
      <c r="H586" s="104"/>
      <c r="I586" s="104"/>
      <c r="J586" s="105"/>
      <c r="K586" s="106" t="str">
        <f>IF(M586="","",K583-M586)</f>
        <v/>
      </c>
      <c r="L586" s="103" t="str">
        <f>IF(N586="","",K583-N586)</f>
        <v/>
      </c>
      <c r="M586" s="104"/>
      <c r="N586" s="107"/>
      <c r="O586" s="105"/>
      <c r="P586" s="102" t="str">
        <f>IF(R586="","",P583-R586)</f>
        <v/>
      </c>
      <c r="Q586" s="103" t="str">
        <f>IF(S586="","",P583-S586)</f>
        <v/>
      </c>
      <c r="R586" s="104"/>
      <c r="S586" s="104"/>
      <c r="T586" s="105"/>
      <c r="U586" s="108"/>
      <c r="V586" s="109"/>
    </row>
    <row r="587" spans="1:22" ht="9" customHeight="1" x14ac:dyDescent="0.55000000000000004">
      <c r="A587" s="19"/>
      <c r="B587" s="69"/>
      <c r="C587" s="70"/>
      <c r="D587" s="69"/>
      <c r="E587" s="71"/>
      <c r="F587" s="72"/>
      <c r="G587" s="73"/>
      <c r="H587" s="74"/>
      <c r="I587" s="75"/>
      <c r="J587" s="76"/>
      <c r="K587" s="72"/>
      <c r="L587" s="73"/>
      <c r="M587" s="74"/>
      <c r="N587" s="75"/>
      <c r="O587" s="76"/>
      <c r="P587" s="72"/>
      <c r="Q587" s="73"/>
      <c r="R587" s="74"/>
      <c r="S587" s="75"/>
      <c r="T587" s="76"/>
      <c r="U587" s="77" t="str">
        <f>IF(OR(F590="",P590=""),"",B587/(F590-P590))</f>
        <v/>
      </c>
      <c r="V587" s="78"/>
    </row>
    <row r="588" spans="1:22" ht="9" customHeight="1" x14ac:dyDescent="0.55000000000000004">
      <c r="A588" s="79"/>
      <c r="B588" s="80"/>
      <c r="C588" s="81"/>
      <c r="D588" s="80"/>
      <c r="E588" s="82"/>
      <c r="F588" s="83" t="str">
        <f>IF(H590="","",F587-H588)</f>
        <v/>
      </c>
      <c r="G588" s="84" t="str">
        <f>IF(I590="","",F587-I588)</f>
        <v/>
      </c>
      <c r="H588" s="85" t="str">
        <f>IF(OR($A590="集水",$A590="吸水"),0.4,"")</f>
        <v/>
      </c>
      <c r="I588" s="85" t="str">
        <f>IF(OR($A590="集水",$A590="吸水"),0.4,"")</f>
        <v/>
      </c>
      <c r="J588" s="86" t="str">
        <f>IF(G588="","",F588-G588)</f>
        <v/>
      </c>
      <c r="K588" s="83" t="str">
        <f>IF(M590="","",K587-M588)</f>
        <v/>
      </c>
      <c r="L588" s="87" t="str">
        <f>IF(N590="","",K587-N588)</f>
        <v/>
      </c>
      <c r="M588" s="85" t="str">
        <f>IF(M590="","",IF(OR($A590="集水",$A590="吸水"),0.4,""))</f>
        <v/>
      </c>
      <c r="N588" s="85" t="str">
        <f>IF(N590="","",IF(OR($A590="集水",$A590="吸水"),0.4,""))</f>
        <v/>
      </c>
      <c r="O588" s="86" t="str">
        <f>IF(L588="","",K588-L588)</f>
        <v/>
      </c>
      <c r="P588" s="83" t="str">
        <f>IF(R590="","",P587-R588)</f>
        <v/>
      </c>
      <c r="Q588" s="84" t="str">
        <f>IF(S590="","",P587-S588)</f>
        <v/>
      </c>
      <c r="R588" s="85" t="str">
        <f>IF(OR($A590="集水",$A590="吸水"),0.4,"")</f>
        <v/>
      </c>
      <c r="S588" s="85" t="str">
        <f>IF(OR($A590="集水",$A590="吸水"),0.4,"")</f>
        <v/>
      </c>
      <c r="T588" s="86" t="str">
        <f>IF(Q588="","",P588-Q588)</f>
        <v/>
      </c>
      <c r="U588" s="88"/>
      <c r="V588" s="89"/>
    </row>
    <row r="589" spans="1:22" ht="9" customHeight="1" x14ac:dyDescent="0.55000000000000004">
      <c r="A589" s="90"/>
      <c r="B589" s="91"/>
      <c r="C589" s="92" t="str">
        <f>IF(B587="","",B589-B587)</f>
        <v/>
      </c>
      <c r="D589" s="91"/>
      <c r="E589" s="93" t="str">
        <f>IF(D587="","",D589-D587)</f>
        <v/>
      </c>
      <c r="F589" s="94"/>
      <c r="G589" s="85"/>
      <c r="H589" s="85"/>
      <c r="I589" s="95"/>
      <c r="J589" s="86"/>
      <c r="K589" s="94"/>
      <c r="L589" s="85"/>
      <c r="M589" s="85"/>
      <c r="N589" s="95"/>
      <c r="O589" s="86"/>
      <c r="P589" s="94"/>
      <c r="Q589" s="85"/>
      <c r="R589" s="85"/>
      <c r="S589" s="95"/>
      <c r="T589" s="86"/>
      <c r="U589" s="96"/>
      <c r="V589" s="97"/>
    </row>
    <row r="590" spans="1:22" ht="9" customHeight="1" x14ac:dyDescent="0.55000000000000004">
      <c r="A590" s="98"/>
      <c r="B590" s="99"/>
      <c r="C590" s="100"/>
      <c r="D590" s="99"/>
      <c r="E590" s="101"/>
      <c r="F590" s="102" t="str">
        <f>IF(H590="","",F587-H590)</f>
        <v/>
      </c>
      <c r="G590" s="103" t="str">
        <f>IF(I590="","",F587-I590)</f>
        <v/>
      </c>
      <c r="H590" s="104"/>
      <c r="I590" s="104"/>
      <c r="J590" s="105"/>
      <c r="K590" s="106" t="str">
        <f>IF(M590="","",K587-M590)</f>
        <v/>
      </c>
      <c r="L590" s="103" t="str">
        <f>IF(N590="","",K587-N590)</f>
        <v/>
      </c>
      <c r="M590" s="104"/>
      <c r="N590" s="107"/>
      <c r="O590" s="105"/>
      <c r="P590" s="102" t="str">
        <f>IF(R590="","",P587-R590)</f>
        <v/>
      </c>
      <c r="Q590" s="103" t="str">
        <f>IF(S590="","",P587-S590)</f>
        <v/>
      </c>
      <c r="R590" s="104"/>
      <c r="S590" s="104"/>
      <c r="T590" s="105"/>
      <c r="U590" s="108"/>
      <c r="V590" s="109"/>
    </row>
    <row r="591" spans="1:22" ht="9" customHeight="1" x14ac:dyDescent="0.55000000000000004">
      <c r="A591" s="19"/>
      <c r="B591" s="69"/>
      <c r="C591" s="70"/>
      <c r="D591" s="69"/>
      <c r="E591" s="71"/>
      <c r="F591" s="72"/>
      <c r="G591" s="73"/>
      <c r="H591" s="74"/>
      <c r="I591" s="75"/>
      <c r="J591" s="76"/>
      <c r="K591" s="72"/>
      <c r="L591" s="73"/>
      <c r="M591" s="74"/>
      <c r="N591" s="75"/>
      <c r="O591" s="76"/>
      <c r="P591" s="72"/>
      <c r="Q591" s="73"/>
      <c r="R591" s="74"/>
      <c r="S591" s="75"/>
      <c r="T591" s="76"/>
      <c r="U591" s="77" t="str">
        <f>IF(OR(F594="",P594=""),"",B591/(F594-P594))</f>
        <v/>
      </c>
      <c r="V591" s="78"/>
    </row>
    <row r="592" spans="1:22" ht="9" customHeight="1" x14ac:dyDescent="0.55000000000000004">
      <c r="A592" s="79"/>
      <c r="B592" s="80"/>
      <c r="C592" s="81"/>
      <c r="D592" s="80"/>
      <c r="E592" s="82"/>
      <c r="F592" s="83" t="str">
        <f>IF(H594="","",F591-H592)</f>
        <v/>
      </c>
      <c r="G592" s="84" t="str">
        <f>IF(I594="","",F591-I592)</f>
        <v/>
      </c>
      <c r="H592" s="85" t="str">
        <f>IF(OR($A594="集水",$A594="吸水"),0.4,"")</f>
        <v/>
      </c>
      <c r="I592" s="85" t="str">
        <f>IF(OR($A594="集水",$A594="吸水"),0.4,"")</f>
        <v/>
      </c>
      <c r="J592" s="86" t="str">
        <f>IF(G592="","",F592-G592)</f>
        <v/>
      </c>
      <c r="K592" s="83" t="str">
        <f>IF(M594="","",K591-M592)</f>
        <v/>
      </c>
      <c r="L592" s="87" t="str">
        <f>IF(N594="","",K591-N592)</f>
        <v/>
      </c>
      <c r="M592" s="85" t="str">
        <f>IF(M594="","",IF(OR($A594="集水",$A594="吸水"),0.4,""))</f>
        <v/>
      </c>
      <c r="N592" s="85" t="str">
        <f>IF(N594="","",IF(OR($A594="集水",$A594="吸水"),0.4,""))</f>
        <v/>
      </c>
      <c r="O592" s="86" t="str">
        <f>IF(L592="","",K592-L592)</f>
        <v/>
      </c>
      <c r="P592" s="83" t="str">
        <f>IF(R594="","",P591-R592)</f>
        <v/>
      </c>
      <c r="Q592" s="84" t="str">
        <f>IF(S594="","",P591-S592)</f>
        <v/>
      </c>
      <c r="R592" s="85" t="str">
        <f>IF(OR($A594="集水",$A594="吸水"),0.4,"")</f>
        <v/>
      </c>
      <c r="S592" s="85" t="str">
        <f>IF(OR($A594="集水",$A594="吸水"),0.4,"")</f>
        <v/>
      </c>
      <c r="T592" s="86" t="str">
        <f>IF(Q592="","",P592-Q592)</f>
        <v/>
      </c>
      <c r="U592" s="88"/>
      <c r="V592" s="89"/>
    </row>
    <row r="593" spans="1:22" ht="9" customHeight="1" x14ac:dyDescent="0.55000000000000004">
      <c r="A593" s="90"/>
      <c r="B593" s="91"/>
      <c r="C593" s="92" t="str">
        <f>IF(B591="","",B593-B591)</f>
        <v/>
      </c>
      <c r="D593" s="91"/>
      <c r="E593" s="93" t="str">
        <f>IF(D591="","",D593-D591)</f>
        <v/>
      </c>
      <c r="F593" s="94"/>
      <c r="G593" s="85"/>
      <c r="H593" s="85"/>
      <c r="I593" s="95"/>
      <c r="J593" s="86"/>
      <c r="K593" s="94"/>
      <c r="L593" s="85"/>
      <c r="M593" s="85"/>
      <c r="N593" s="95"/>
      <c r="O593" s="86"/>
      <c r="P593" s="94"/>
      <c r="Q593" s="85"/>
      <c r="R593" s="85"/>
      <c r="S593" s="95"/>
      <c r="T593" s="86"/>
      <c r="U593" s="96"/>
      <c r="V593" s="97"/>
    </row>
    <row r="594" spans="1:22" ht="9" customHeight="1" x14ac:dyDescent="0.55000000000000004">
      <c r="A594" s="98"/>
      <c r="B594" s="99"/>
      <c r="C594" s="100"/>
      <c r="D594" s="99"/>
      <c r="E594" s="101"/>
      <c r="F594" s="102" t="str">
        <f>IF(H594="","",F591-H594)</f>
        <v/>
      </c>
      <c r="G594" s="103" t="str">
        <f>IF(I594="","",F591-I594)</f>
        <v/>
      </c>
      <c r="H594" s="104"/>
      <c r="I594" s="104"/>
      <c r="J594" s="105"/>
      <c r="K594" s="106" t="str">
        <f>IF(M594="","",K591-M594)</f>
        <v/>
      </c>
      <c r="L594" s="103" t="str">
        <f>IF(N594="","",K591-N594)</f>
        <v/>
      </c>
      <c r="M594" s="104"/>
      <c r="N594" s="107"/>
      <c r="O594" s="105"/>
      <c r="P594" s="102" t="str">
        <f>IF(R594="","",P591-R594)</f>
        <v/>
      </c>
      <c r="Q594" s="103" t="str">
        <f>IF(S594="","",P591-S594)</f>
        <v/>
      </c>
      <c r="R594" s="104"/>
      <c r="S594" s="104"/>
      <c r="T594" s="105"/>
      <c r="U594" s="108"/>
      <c r="V594" s="109"/>
    </row>
    <row r="595" spans="1:22" ht="9" customHeight="1" x14ac:dyDescent="0.55000000000000004">
      <c r="A595" s="19"/>
      <c r="B595" s="69"/>
      <c r="C595" s="70"/>
      <c r="D595" s="69"/>
      <c r="E595" s="71"/>
      <c r="F595" s="72"/>
      <c r="G595" s="73"/>
      <c r="H595" s="74"/>
      <c r="I595" s="75"/>
      <c r="J595" s="76"/>
      <c r="K595" s="72"/>
      <c r="L595" s="73"/>
      <c r="M595" s="74"/>
      <c r="N595" s="75"/>
      <c r="O595" s="76"/>
      <c r="P595" s="72"/>
      <c r="Q595" s="73"/>
      <c r="R595" s="74"/>
      <c r="S595" s="75"/>
      <c r="T595" s="76"/>
      <c r="U595" s="77" t="str">
        <f>IF(OR(F598="",P598=""),"",B595/(F598-P598))</f>
        <v/>
      </c>
      <c r="V595" s="78"/>
    </row>
    <row r="596" spans="1:22" ht="9" customHeight="1" x14ac:dyDescent="0.55000000000000004">
      <c r="A596" s="79"/>
      <c r="B596" s="80"/>
      <c r="C596" s="81"/>
      <c r="D596" s="80"/>
      <c r="E596" s="82"/>
      <c r="F596" s="83" t="str">
        <f>IF(H598="","",F595-H596)</f>
        <v/>
      </c>
      <c r="G596" s="84" t="str">
        <f>IF(I598="","",F595-I596)</f>
        <v/>
      </c>
      <c r="H596" s="85" t="str">
        <f>IF(OR($A598="集水",$A598="吸水"),0.4,"")</f>
        <v/>
      </c>
      <c r="I596" s="85" t="str">
        <f>IF(OR($A598="集水",$A598="吸水"),0.4,"")</f>
        <v/>
      </c>
      <c r="J596" s="86" t="str">
        <f>IF(G596="","",F596-G596)</f>
        <v/>
      </c>
      <c r="K596" s="83" t="str">
        <f>IF(M598="","",K595-M596)</f>
        <v/>
      </c>
      <c r="L596" s="87" t="str">
        <f>IF(N598="","",K595-N596)</f>
        <v/>
      </c>
      <c r="M596" s="85" t="str">
        <f>IF(M598="","",IF(OR($A598="集水",$A598="吸水"),0.4,""))</f>
        <v/>
      </c>
      <c r="N596" s="85" t="str">
        <f>IF(N598="","",IF(OR($A598="集水",$A598="吸水"),0.4,""))</f>
        <v/>
      </c>
      <c r="O596" s="86" t="str">
        <f>IF(L596="","",K596-L596)</f>
        <v/>
      </c>
      <c r="P596" s="83" t="str">
        <f>IF(R598="","",P595-R596)</f>
        <v/>
      </c>
      <c r="Q596" s="84" t="str">
        <f>IF(S598="","",P595-S596)</f>
        <v/>
      </c>
      <c r="R596" s="85" t="str">
        <f>IF(OR($A598="集水",$A598="吸水"),0.4,"")</f>
        <v/>
      </c>
      <c r="S596" s="85" t="str">
        <f>IF(OR($A598="集水",$A598="吸水"),0.4,"")</f>
        <v/>
      </c>
      <c r="T596" s="86" t="str">
        <f>IF(Q596="","",P596-Q596)</f>
        <v/>
      </c>
      <c r="U596" s="88"/>
      <c r="V596" s="89"/>
    </row>
    <row r="597" spans="1:22" ht="9" customHeight="1" x14ac:dyDescent="0.55000000000000004">
      <c r="A597" s="90"/>
      <c r="B597" s="91"/>
      <c r="C597" s="92" t="str">
        <f>IF(B595="","",B597-B595)</f>
        <v/>
      </c>
      <c r="D597" s="91"/>
      <c r="E597" s="93" t="str">
        <f>IF(D595="","",D597-D595)</f>
        <v/>
      </c>
      <c r="F597" s="94"/>
      <c r="G597" s="85"/>
      <c r="H597" s="85"/>
      <c r="I597" s="95"/>
      <c r="J597" s="86"/>
      <c r="K597" s="94"/>
      <c r="L597" s="85"/>
      <c r="M597" s="85"/>
      <c r="N597" s="95"/>
      <c r="O597" s="86"/>
      <c r="P597" s="94"/>
      <c r="Q597" s="85"/>
      <c r="R597" s="85"/>
      <c r="S597" s="95"/>
      <c r="T597" s="86"/>
      <c r="U597" s="96"/>
      <c r="V597" s="97"/>
    </row>
    <row r="598" spans="1:22" ht="9" customHeight="1" x14ac:dyDescent="0.55000000000000004">
      <c r="A598" s="98"/>
      <c r="B598" s="99"/>
      <c r="C598" s="100"/>
      <c r="D598" s="99"/>
      <c r="E598" s="101"/>
      <c r="F598" s="102" t="str">
        <f>IF(H598="","",F595-H598)</f>
        <v/>
      </c>
      <c r="G598" s="103" t="str">
        <f>IF(I598="","",F595-I598)</f>
        <v/>
      </c>
      <c r="H598" s="104"/>
      <c r="I598" s="104"/>
      <c r="J598" s="105"/>
      <c r="K598" s="106" t="str">
        <f>IF(M598="","",K595-M598)</f>
        <v/>
      </c>
      <c r="L598" s="103" t="str">
        <f>IF(N598="","",K595-N598)</f>
        <v/>
      </c>
      <c r="M598" s="104"/>
      <c r="N598" s="107"/>
      <c r="O598" s="105"/>
      <c r="P598" s="102" t="str">
        <f>IF(R598="","",P595-R598)</f>
        <v/>
      </c>
      <c r="Q598" s="103" t="str">
        <f>IF(S598="","",P595-S598)</f>
        <v/>
      </c>
      <c r="R598" s="104"/>
      <c r="S598" s="104"/>
      <c r="T598" s="105"/>
      <c r="U598" s="108"/>
      <c r="V598" s="109"/>
    </row>
    <row r="599" spans="1:22" ht="9" customHeight="1" x14ac:dyDescent="0.55000000000000004">
      <c r="A599" s="19"/>
      <c r="B599" s="69"/>
      <c r="C599" s="70"/>
      <c r="D599" s="69"/>
      <c r="E599" s="71"/>
      <c r="F599" s="72"/>
      <c r="G599" s="73"/>
      <c r="H599" s="74"/>
      <c r="I599" s="75"/>
      <c r="J599" s="76"/>
      <c r="K599" s="72"/>
      <c r="L599" s="73"/>
      <c r="M599" s="74"/>
      <c r="N599" s="75"/>
      <c r="O599" s="76"/>
      <c r="P599" s="72"/>
      <c r="Q599" s="73"/>
      <c r="R599" s="74"/>
      <c r="S599" s="75"/>
      <c r="T599" s="76"/>
      <c r="U599" s="77" t="str">
        <f>IF(OR(F602="",P602=""),"",B599/(F602-P602))</f>
        <v/>
      </c>
      <c r="V599" s="78"/>
    </row>
    <row r="600" spans="1:22" ht="9" customHeight="1" x14ac:dyDescent="0.55000000000000004">
      <c r="A600" s="79"/>
      <c r="B600" s="80"/>
      <c r="C600" s="81"/>
      <c r="D600" s="80"/>
      <c r="E600" s="82"/>
      <c r="F600" s="83" t="str">
        <f>IF(H602="","",F599-H600)</f>
        <v/>
      </c>
      <c r="G600" s="84" t="str">
        <f>IF(I602="","",F599-I600)</f>
        <v/>
      </c>
      <c r="H600" s="85" t="str">
        <f>IF(OR($A602="集水",$A602="吸水"),0.4,"")</f>
        <v/>
      </c>
      <c r="I600" s="85" t="str">
        <f>IF(OR($A602="集水",$A602="吸水"),0.4,"")</f>
        <v/>
      </c>
      <c r="J600" s="86" t="str">
        <f>IF(G600="","",F600-G600)</f>
        <v/>
      </c>
      <c r="K600" s="83" t="str">
        <f>IF(M602="","",K599-M600)</f>
        <v/>
      </c>
      <c r="L600" s="87" t="str">
        <f>IF(N602="","",K599-N600)</f>
        <v/>
      </c>
      <c r="M600" s="85" t="str">
        <f>IF(M602="","",IF(OR($A602="集水",$A602="吸水"),0.4,""))</f>
        <v/>
      </c>
      <c r="N600" s="85" t="str">
        <f>IF(N602="","",IF(OR($A602="集水",$A602="吸水"),0.4,""))</f>
        <v/>
      </c>
      <c r="O600" s="86" t="str">
        <f>IF(L600="","",K600-L600)</f>
        <v/>
      </c>
      <c r="P600" s="83" t="str">
        <f>IF(R602="","",P599-R600)</f>
        <v/>
      </c>
      <c r="Q600" s="84" t="str">
        <f>IF(S602="","",P599-S600)</f>
        <v/>
      </c>
      <c r="R600" s="85" t="str">
        <f>IF(OR($A602="集水",$A602="吸水"),0.4,"")</f>
        <v/>
      </c>
      <c r="S600" s="85" t="str">
        <f>IF(OR($A602="集水",$A602="吸水"),0.4,"")</f>
        <v/>
      </c>
      <c r="T600" s="86" t="str">
        <f>IF(Q600="","",P600-Q600)</f>
        <v/>
      </c>
      <c r="U600" s="88"/>
      <c r="V600" s="89"/>
    </row>
    <row r="601" spans="1:22" ht="9" customHeight="1" x14ac:dyDescent="0.55000000000000004">
      <c r="A601" s="90"/>
      <c r="B601" s="91"/>
      <c r="C601" s="92" t="str">
        <f>IF(B599="","",B601-B599)</f>
        <v/>
      </c>
      <c r="D601" s="91"/>
      <c r="E601" s="93" t="str">
        <f>IF(D599="","",D601-D599)</f>
        <v/>
      </c>
      <c r="F601" s="94"/>
      <c r="G601" s="85"/>
      <c r="H601" s="85"/>
      <c r="I601" s="95"/>
      <c r="J601" s="86"/>
      <c r="K601" s="94"/>
      <c r="L601" s="85"/>
      <c r="M601" s="85"/>
      <c r="N601" s="95"/>
      <c r="O601" s="86"/>
      <c r="P601" s="94"/>
      <c r="Q601" s="85"/>
      <c r="R601" s="85"/>
      <c r="S601" s="95"/>
      <c r="T601" s="86"/>
      <c r="U601" s="96"/>
      <c r="V601" s="97"/>
    </row>
    <row r="602" spans="1:22" ht="9" customHeight="1" x14ac:dyDescent="0.55000000000000004">
      <c r="A602" s="98"/>
      <c r="B602" s="99"/>
      <c r="C602" s="100"/>
      <c r="D602" s="99"/>
      <c r="E602" s="101"/>
      <c r="F602" s="102" t="str">
        <f>IF(H602="","",F599-H602)</f>
        <v/>
      </c>
      <c r="G602" s="103" t="str">
        <f>IF(I602="","",F599-I602)</f>
        <v/>
      </c>
      <c r="H602" s="104"/>
      <c r="I602" s="104"/>
      <c r="J602" s="105"/>
      <c r="K602" s="106" t="str">
        <f>IF(M602="","",K599-M602)</f>
        <v/>
      </c>
      <c r="L602" s="103" t="str">
        <f>IF(N602="","",K599-N602)</f>
        <v/>
      </c>
      <c r="M602" s="104"/>
      <c r="N602" s="107"/>
      <c r="O602" s="105"/>
      <c r="P602" s="102" t="str">
        <f>IF(R602="","",P599-R602)</f>
        <v/>
      </c>
      <c r="Q602" s="103" t="str">
        <f>IF(S602="","",P599-S602)</f>
        <v/>
      </c>
      <c r="R602" s="104"/>
      <c r="S602" s="104"/>
      <c r="T602" s="105"/>
      <c r="U602" s="108"/>
      <c r="V602" s="109"/>
    </row>
    <row r="603" spans="1:22" ht="9" customHeight="1" x14ac:dyDescent="0.55000000000000004">
      <c r="A603" s="19"/>
      <c r="B603" s="69"/>
      <c r="C603" s="70"/>
      <c r="D603" s="69"/>
      <c r="E603" s="71"/>
      <c r="F603" s="72"/>
      <c r="G603" s="73"/>
      <c r="H603" s="74"/>
      <c r="I603" s="75"/>
      <c r="J603" s="76"/>
      <c r="K603" s="72"/>
      <c r="L603" s="73"/>
      <c r="M603" s="74"/>
      <c r="N603" s="75"/>
      <c r="O603" s="76"/>
      <c r="P603" s="72"/>
      <c r="Q603" s="73"/>
      <c r="R603" s="74"/>
      <c r="S603" s="75"/>
      <c r="T603" s="76"/>
      <c r="U603" s="77" t="str">
        <f>IF(OR(F606="",P606=""),"",B603/(F606-P606))</f>
        <v/>
      </c>
      <c r="V603" s="78"/>
    </row>
    <row r="604" spans="1:22" ht="9" customHeight="1" x14ac:dyDescent="0.55000000000000004">
      <c r="A604" s="79"/>
      <c r="B604" s="80"/>
      <c r="C604" s="81"/>
      <c r="D604" s="80"/>
      <c r="E604" s="82"/>
      <c r="F604" s="83" t="str">
        <f>IF(H606="","",F603-H604)</f>
        <v/>
      </c>
      <c r="G604" s="84" t="str">
        <f>IF(I606="","",F603-I604)</f>
        <v/>
      </c>
      <c r="H604" s="85" t="str">
        <f>IF(OR($A606="集水",$A606="吸水"),0.4,"")</f>
        <v/>
      </c>
      <c r="I604" s="85" t="str">
        <f>IF(OR($A606="集水",$A606="吸水"),0.4,"")</f>
        <v/>
      </c>
      <c r="J604" s="86" t="str">
        <f>IF(G604="","",F604-G604)</f>
        <v/>
      </c>
      <c r="K604" s="83" t="str">
        <f>IF(M606="","",K603-M604)</f>
        <v/>
      </c>
      <c r="L604" s="87" t="str">
        <f>IF(N606="","",K603-N604)</f>
        <v/>
      </c>
      <c r="M604" s="85" t="str">
        <f>IF(M606="","",IF(OR($A606="集水",$A606="吸水"),0.4,""))</f>
        <v/>
      </c>
      <c r="N604" s="85" t="str">
        <f>IF(N606="","",IF(OR($A606="集水",$A606="吸水"),0.4,""))</f>
        <v/>
      </c>
      <c r="O604" s="86" t="str">
        <f>IF(L604="","",K604-L604)</f>
        <v/>
      </c>
      <c r="P604" s="83" t="str">
        <f>IF(R606="","",P603-R604)</f>
        <v/>
      </c>
      <c r="Q604" s="84" t="str">
        <f>IF(S606="","",P603-S604)</f>
        <v/>
      </c>
      <c r="R604" s="85" t="str">
        <f>IF(OR($A606="集水",$A606="吸水"),0.4,"")</f>
        <v/>
      </c>
      <c r="S604" s="85" t="str">
        <f>IF(OR($A606="集水",$A606="吸水"),0.4,"")</f>
        <v/>
      </c>
      <c r="T604" s="86" t="str">
        <f>IF(Q604="","",P604-Q604)</f>
        <v/>
      </c>
      <c r="U604" s="88"/>
      <c r="V604" s="89"/>
    </row>
    <row r="605" spans="1:22" ht="9" customHeight="1" x14ac:dyDescent="0.55000000000000004">
      <c r="A605" s="90"/>
      <c r="B605" s="91"/>
      <c r="C605" s="92" t="str">
        <f>IF(B603="","",B605-B603)</f>
        <v/>
      </c>
      <c r="D605" s="91"/>
      <c r="E605" s="93" t="str">
        <f>IF(D603="","",D605-D603)</f>
        <v/>
      </c>
      <c r="F605" s="94"/>
      <c r="G605" s="85"/>
      <c r="H605" s="85"/>
      <c r="I605" s="95"/>
      <c r="J605" s="86"/>
      <c r="K605" s="94"/>
      <c r="L605" s="85"/>
      <c r="M605" s="85"/>
      <c r="N605" s="95"/>
      <c r="O605" s="86"/>
      <c r="P605" s="94"/>
      <c r="Q605" s="85"/>
      <c r="R605" s="85"/>
      <c r="S605" s="95"/>
      <c r="T605" s="86"/>
      <c r="U605" s="96"/>
      <c r="V605" s="97"/>
    </row>
    <row r="606" spans="1:22" ht="9" customHeight="1" x14ac:dyDescent="0.55000000000000004">
      <c r="A606" s="98"/>
      <c r="B606" s="99"/>
      <c r="C606" s="100"/>
      <c r="D606" s="99"/>
      <c r="E606" s="101"/>
      <c r="F606" s="102" t="str">
        <f>IF(H606="","",F603-H606)</f>
        <v/>
      </c>
      <c r="G606" s="103" t="str">
        <f>IF(I606="","",F603-I606)</f>
        <v/>
      </c>
      <c r="H606" s="104"/>
      <c r="I606" s="104"/>
      <c r="J606" s="105"/>
      <c r="K606" s="106" t="str">
        <f>IF(M606="","",K603-M606)</f>
        <v/>
      </c>
      <c r="L606" s="103" t="str">
        <f>IF(N606="","",K603-N606)</f>
        <v/>
      </c>
      <c r="M606" s="104"/>
      <c r="N606" s="107"/>
      <c r="O606" s="105"/>
      <c r="P606" s="102" t="str">
        <f>IF(R606="","",P603-R606)</f>
        <v/>
      </c>
      <c r="Q606" s="103" t="str">
        <f>IF(S606="","",P603-S606)</f>
        <v/>
      </c>
      <c r="R606" s="104"/>
      <c r="S606" s="104"/>
      <c r="T606" s="105"/>
      <c r="U606" s="108"/>
      <c r="V606" s="109"/>
    </row>
    <row r="607" spans="1:22" ht="9" customHeight="1" x14ac:dyDescent="0.55000000000000004">
      <c r="A607" s="19"/>
      <c r="B607" s="69"/>
      <c r="C607" s="70"/>
      <c r="D607" s="69"/>
      <c r="E607" s="71"/>
      <c r="F607" s="72"/>
      <c r="G607" s="73"/>
      <c r="H607" s="74"/>
      <c r="I607" s="75"/>
      <c r="J607" s="76"/>
      <c r="K607" s="72"/>
      <c r="L607" s="73"/>
      <c r="M607" s="74"/>
      <c r="N607" s="75"/>
      <c r="O607" s="76"/>
      <c r="P607" s="72"/>
      <c r="Q607" s="73"/>
      <c r="R607" s="74"/>
      <c r="S607" s="75"/>
      <c r="T607" s="76"/>
      <c r="U607" s="77" t="str">
        <f>IF(OR(F610="",P610=""),"",B607/(F610-P610))</f>
        <v/>
      </c>
      <c r="V607" s="78"/>
    </row>
    <row r="608" spans="1:22" ht="9" customHeight="1" x14ac:dyDescent="0.55000000000000004">
      <c r="A608" s="79"/>
      <c r="B608" s="80"/>
      <c r="C608" s="81"/>
      <c r="D608" s="80"/>
      <c r="E608" s="82"/>
      <c r="F608" s="83" t="str">
        <f>IF(H610="","",F607-H608)</f>
        <v/>
      </c>
      <c r="G608" s="84" t="str">
        <f>IF(I610="","",F607-I608)</f>
        <v/>
      </c>
      <c r="H608" s="85" t="str">
        <f>IF(OR($A610="集水",$A610="吸水"),0.4,"")</f>
        <v/>
      </c>
      <c r="I608" s="85" t="str">
        <f>IF(OR($A610="集水",$A610="吸水"),0.4,"")</f>
        <v/>
      </c>
      <c r="J608" s="86" t="str">
        <f>IF(G608="","",F608-G608)</f>
        <v/>
      </c>
      <c r="K608" s="83" t="str">
        <f>IF(M610="","",K607-M608)</f>
        <v/>
      </c>
      <c r="L608" s="87" t="str">
        <f>IF(N610="","",K607-N608)</f>
        <v/>
      </c>
      <c r="M608" s="85" t="str">
        <f>IF(M610="","",IF(OR($A610="集水",$A610="吸水"),0.4,""))</f>
        <v/>
      </c>
      <c r="N608" s="85" t="str">
        <f>IF(N610="","",IF(OR($A610="集水",$A610="吸水"),0.4,""))</f>
        <v/>
      </c>
      <c r="O608" s="86" t="str">
        <f>IF(L608="","",K608-L608)</f>
        <v/>
      </c>
      <c r="P608" s="83" t="str">
        <f>IF(R610="","",P607-R608)</f>
        <v/>
      </c>
      <c r="Q608" s="84" t="str">
        <f>IF(S610="","",P607-S608)</f>
        <v/>
      </c>
      <c r="R608" s="85" t="str">
        <f>IF(OR($A610="集水",$A610="吸水"),0.4,"")</f>
        <v/>
      </c>
      <c r="S608" s="85" t="str">
        <f>IF(OR($A610="集水",$A610="吸水"),0.4,"")</f>
        <v/>
      </c>
      <c r="T608" s="86" t="str">
        <f>IF(Q608="","",P608-Q608)</f>
        <v/>
      </c>
      <c r="U608" s="88"/>
      <c r="V608" s="89"/>
    </row>
    <row r="609" spans="1:22" ht="9" customHeight="1" x14ac:dyDescent="0.55000000000000004">
      <c r="A609" s="90"/>
      <c r="B609" s="91"/>
      <c r="C609" s="92" t="str">
        <f>IF(B607="","",B609-B607)</f>
        <v/>
      </c>
      <c r="D609" s="91"/>
      <c r="E609" s="93" t="str">
        <f>IF(D607="","",D609-D607)</f>
        <v/>
      </c>
      <c r="F609" s="94"/>
      <c r="G609" s="85"/>
      <c r="H609" s="85"/>
      <c r="I609" s="95"/>
      <c r="J609" s="86"/>
      <c r="K609" s="94"/>
      <c r="L609" s="85"/>
      <c r="M609" s="85"/>
      <c r="N609" s="95"/>
      <c r="O609" s="86"/>
      <c r="P609" s="94"/>
      <c r="Q609" s="85"/>
      <c r="R609" s="85"/>
      <c r="S609" s="95"/>
      <c r="T609" s="86"/>
      <c r="U609" s="96"/>
      <c r="V609" s="97"/>
    </row>
    <row r="610" spans="1:22" ht="9" customHeight="1" x14ac:dyDescent="0.55000000000000004">
      <c r="A610" s="98"/>
      <c r="B610" s="99"/>
      <c r="C610" s="100"/>
      <c r="D610" s="99"/>
      <c r="E610" s="101"/>
      <c r="F610" s="102" t="str">
        <f>IF(H610="","",F607-H610)</f>
        <v/>
      </c>
      <c r="G610" s="103" t="str">
        <f>IF(I610="","",F607-I610)</f>
        <v/>
      </c>
      <c r="H610" s="104"/>
      <c r="I610" s="104"/>
      <c r="J610" s="105"/>
      <c r="K610" s="106" t="str">
        <f>IF(M610="","",K607-M610)</f>
        <v/>
      </c>
      <c r="L610" s="103" t="str">
        <f>IF(N610="","",K607-N610)</f>
        <v/>
      </c>
      <c r="M610" s="104"/>
      <c r="N610" s="107"/>
      <c r="O610" s="105"/>
      <c r="P610" s="102" t="str">
        <f>IF(R610="","",P607-R610)</f>
        <v/>
      </c>
      <c r="Q610" s="103" t="str">
        <f>IF(S610="","",P607-S610)</f>
        <v/>
      </c>
      <c r="R610" s="104"/>
      <c r="S610" s="104"/>
      <c r="T610" s="105"/>
      <c r="U610" s="108"/>
      <c r="V610" s="109"/>
    </row>
    <row r="611" spans="1:22" ht="9" customHeight="1" x14ac:dyDescent="0.55000000000000004">
      <c r="A611" s="19"/>
      <c r="B611" s="69"/>
      <c r="C611" s="70"/>
      <c r="D611" s="69"/>
      <c r="E611" s="71"/>
      <c r="F611" s="72"/>
      <c r="G611" s="73"/>
      <c r="H611" s="74"/>
      <c r="I611" s="75"/>
      <c r="J611" s="76"/>
      <c r="K611" s="72"/>
      <c r="L611" s="73"/>
      <c r="M611" s="74"/>
      <c r="N611" s="75"/>
      <c r="O611" s="76"/>
      <c r="P611" s="72"/>
      <c r="Q611" s="73"/>
      <c r="R611" s="74"/>
      <c r="S611" s="75"/>
      <c r="T611" s="76"/>
      <c r="U611" s="77" t="str">
        <f>IF(OR(F614="",P614=""),"",B611/(F614-P614))</f>
        <v/>
      </c>
      <c r="V611" s="78"/>
    </row>
    <row r="612" spans="1:22" ht="9" customHeight="1" x14ac:dyDescent="0.55000000000000004">
      <c r="A612" s="79"/>
      <c r="B612" s="80"/>
      <c r="C612" s="81"/>
      <c r="D612" s="80"/>
      <c r="E612" s="82"/>
      <c r="F612" s="83" t="str">
        <f>IF(H614="","",F611-H612)</f>
        <v/>
      </c>
      <c r="G612" s="84" t="str">
        <f>IF(I614="","",F611-I612)</f>
        <v/>
      </c>
      <c r="H612" s="85" t="str">
        <f>IF(OR($A614="集水",$A614="吸水"),0.4,"")</f>
        <v/>
      </c>
      <c r="I612" s="85" t="str">
        <f>IF(OR($A614="集水",$A614="吸水"),0.4,"")</f>
        <v/>
      </c>
      <c r="J612" s="86" t="str">
        <f>IF(G612="","",F612-G612)</f>
        <v/>
      </c>
      <c r="K612" s="83" t="str">
        <f>IF(M614="","",K611-M612)</f>
        <v/>
      </c>
      <c r="L612" s="87" t="str">
        <f>IF(N614="","",K611-N612)</f>
        <v/>
      </c>
      <c r="M612" s="85" t="str">
        <f>IF(M614="","",IF(OR($A614="集水",$A614="吸水"),0.4,""))</f>
        <v/>
      </c>
      <c r="N612" s="85" t="str">
        <f>IF(N614="","",IF(OR($A614="集水",$A614="吸水"),0.4,""))</f>
        <v/>
      </c>
      <c r="O612" s="86" t="str">
        <f>IF(L612="","",K612-L612)</f>
        <v/>
      </c>
      <c r="P612" s="83" t="str">
        <f>IF(R614="","",P611-R612)</f>
        <v/>
      </c>
      <c r="Q612" s="84" t="str">
        <f>IF(S614="","",P611-S612)</f>
        <v/>
      </c>
      <c r="R612" s="85" t="str">
        <f>IF(OR($A614="集水",$A614="吸水"),0.4,"")</f>
        <v/>
      </c>
      <c r="S612" s="85" t="str">
        <f>IF(OR($A614="集水",$A614="吸水"),0.4,"")</f>
        <v/>
      </c>
      <c r="T612" s="86" t="str">
        <f>IF(Q612="","",P612-Q612)</f>
        <v/>
      </c>
      <c r="U612" s="88"/>
      <c r="V612" s="89"/>
    </row>
    <row r="613" spans="1:22" ht="9" customHeight="1" x14ac:dyDescent="0.55000000000000004">
      <c r="A613" s="90"/>
      <c r="B613" s="91"/>
      <c r="C613" s="92" t="str">
        <f>IF(B611="","",B613-B611)</f>
        <v/>
      </c>
      <c r="D613" s="91"/>
      <c r="E613" s="93" t="str">
        <f>IF(D611="","",D613-D611)</f>
        <v/>
      </c>
      <c r="F613" s="94"/>
      <c r="G613" s="85"/>
      <c r="H613" s="85"/>
      <c r="I613" s="95"/>
      <c r="J613" s="86"/>
      <c r="K613" s="94"/>
      <c r="L613" s="85"/>
      <c r="M613" s="85"/>
      <c r="N613" s="95"/>
      <c r="O613" s="86"/>
      <c r="P613" s="94"/>
      <c r="Q613" s="85"/>
      <c r="R613" s="85"/>
      <c r="S613" s="95"/>
      <c r="T613" s="86"/>
      <c r="U613" s="96"/>
      <c r="V613" s="97"/>
    </row>
    <row r="614" spans="1:22" ht="9" customHeight="1" x14ac:dyDescent="0.55000000000000004">
      <c r="A614" s="98"/>
      <c r="B614" s="99"/>
      <c r="C614" s="100"/>
      <c r="D614" s="99"/>
      <c r="E614" s="101"/>
      <c r="F614" s="102" t="str">
        <f>IF(H614="","",F611-H614)</f>
        <v/>
      </c>
      <c r="G614" s="103" t="str">
        <f>IF(I614="","",F611-I614)</f>
        <v/>
      </c>
      <c r="H614" s="104"/>
      <c r="I614" s="104"/>
      <c r="J614" s="105"/>
      <c r="K614" s="106" t="str">
        <f>IF(M614="","",K611-M614)</f>
        <v/>
      </c>
      <c r="L614" s="103" t="str">
        <f>IF(N614="","",K611-N614)</f>
        <v/>
      </c>
      <c r="M614" s="104"/>
      <c r="N614" s="107"/>
      <c r="O614" s="105"/>
      <c r="P614" s="102" t="str">
        <f>IF(R614="","",P611-R614)</f>
        <v/>
      </c>
      <c r="Q614" s="103" t="str">
        <f>IF(S614="","",P611-S614)</f>
        <v/>
      </c>
      <c r="R614" s="104"/>
      <c r="S614" s="104"/>
      <c r="T614" s="105"/>
      <c r="U614" s="108"/>
      <c r="V614" s="109"/>
    </row>
    <row r="615" spans="1:22" ht="9" customHeight="1" x14ac:dyDescent="0.55000000000000004">
      <c r="A615" s="19"/>
      <c r="B615" s="69"/>
      <c r="C615" s="70"/>
      <c r="D615" s="69"/>
      <c r="E615" s="71"/>
      <c r="F615" s="72"/>
      <c r="G615" s="73"/>
      <c r="H615" s="74"/>
      <c r="I615" s="75"/>
      <c r="J615" s="76"/>
      <c r="K615" s="72"/>
      <c r="L615" s="73"/>
      <c r="M615" s="74"/>
      <c r="N615" s="75"/>
      <c r="O615" s="76"/>
      <c r="P615" s="72"/>
      <c r="Q615" s="73"/>
      <c r="R615" s="74"/>
      <c r="S615" s="75"/>
      <c r="T615" s="76"/>
      <c r="U615" s="77" t="str">
        <f>IF(OR(F618="",P618=""),"",B615/(F618-P618))</f>
        <v/>
      </c>
      <c r="V615" s="78"/>
    </row>
    <row r="616" spans="1:22" ht="9" customHeight="1" x14ac:dyDescent="0.55000000000000004">
      <c r="A616" s="79"/>
      <c r="B616" s="80"/>
      <c r="C616" s="81"/>
      <c r="D616" s="80"/>
      <c r="E616" s="82"/>
      <c r="F616" s="83" t="str">
        <f>IF(H618="","",F615-H616)</f>
        <v/>
      </c>
      <c r="G616" s="84" t="str">
        <f>IF(I618="","",F615-I616)</f>
        <v/>
      </c>
      <c r="H616" s="85" t="str">
        <f>IF(OR($A618="集水",$A618="吸水"),0.4,"")</f>
        <v/>
      </c>
      <c r="I616" s="85" t="str">
        <f>IF(OR($A618="集水",$A618="吸水"),0.4,"")</f>
        <v/>
      </c>
      <c r="J616" s="86" t="str">
        <f>IF(G616="","",F616-G616)</f>
        <v/>
      </c>
      <c r="K616" s="83" t="str">
        <f>IF(M618="","",K615-M616)</f>
        <v/>
      </c>
      <c r="L616" s="87" t="str">
        <f>IF(N618="","",K615-N616)</f>
        <v/>
      </c>
      <c r="M616" s="85" t="str">
        <f>IF(M618="","",IF(OR($A618="集水",$A618="吸水"),0.4,""))</f>
        <v/>
      </c>
      <c r="N616" s="85" t="str">
        <f>IF(N618="","",IF(OR($A618="集水",$A618="吸水"),0.4,""))</f>
        <v/>
      </c>
      <c r="O616" s="86" t="str">
        <f>IF(L616="","",K616-L616)</f>
        <v/>
      </c>
      <c r="P616" s="83" t="str">
        <f>IF(R618="","",P615-R616)</f>
        <v/>
      </c>
      <c r="Q616" s="84" t="str">
        <f>IF(S618="","",P615-S616)</f>
        <v/>
      </c>
      <c r="R616" s="85" t="str">
        <f>IF(OR($A618="集水",$A618="吸水"),0.4,"")</f>
        <v/>
      </c>
      <c r="S616" s="85" t="str">
        <f>IF(OR($A618="集水",$A618="吸水"),0.4,"")</f>
        <v/>
      </c>
      <c r="T616" s="86" t="str">
        <f>IF(Q616="","",P616-Q616)</f>
        <v/>
      </c>
      <c r="U616" s="88"/>
      <c r="V616" s="89"/>
    </row>
    <row r="617" spans="1:22" ht="9" customHeight="1" x14ac:dyDescent="0.55000000000000004">
      <c r="A617" s="90"/>
      <c r="B617" s="91"/>
      <c r="C617" s="92" t="str">
        <f>IF(B615="","",B617-B615)</f>
        <v/>
      </c>
      <c r="D617" s="91"/>
      <c r="E617" s="93" t="str">
        <f>IF(D615="","",D617-D615)</f>
        <v/>
      </c>
      <c r="F617" s="94"/>
      <c r="G617" s="85"/>
      <c r="H617" s="85"/>
      <c r="I617" s="95"/>
      <c r="J617" s="86"/>
      <c r="K617" s="94"/>
      <c r="L617" s="85"/>
      <c r="M617" s="85"/>
      <c r="N617" s="95"/>
      <c r="O617" s="86"/>
      <c r="P617" s="94"/>
      <c r="Q617" s="85"/>
      <c r="R617" s="85"/>
      <c r="S617" s="95"/>
      <c r="T617" s="86"/>
      <c r="U617" s="96"/>
      <c r="V617" s="97"/>
    </row>
    <row r="618" spans="1:22" ht="9" customHeight="1" x14ac:dyDescent="0.55000000000000004">
      <c r="A618" s="98"/>
      <c r="B618" s="99"/>
      <c r="C618" s="100"/>
      <c r="D618" s="99"/>
      <c r="E618" s="101"/>
      <c r="F618" s="102" t="str">
        <f>IF(H618="","",F615-H618)</f>
        <v/>
      </c>
      <c r="G618" s="103" t="str">
        <f>IF(I618="","",F615-I618)</f>
        <v/>
      </c>
      <c r="H618" s="104"/>
      <c r="I618" s="104"/>
      <c r="J618" s="105"/>
      <c r="K618" s="106" t="str">
        <f>IF(M618="","",K615-M618)</f>
        <v/>
      </c>
      <c r="L618" s="103" t="str">
        <f>IF(N618="","",K615-N618)</f>
        <v/>
      </c>
      <c r="M618" s="104"/>
      <c r="N618" s="107"/>
      <c r="O618" s="105"/>
      <c r="P618" s="102" t="str">
        <f>IF(R618="","",P615-R618)</f>
        <v/>
      </c>
      <c r="Q618" s="103" t="str">
        <f>IF(S618="","",P615-S618)</f>
        <v/>
      </c>
      <c r="R618" s="104"/>
      <c r="S618" s="104"/>
      <c r="T618" s="105"/>
      <c r="U618" s="108"/>
      <c r="V618" s="109"/>
    </row>
    <row r="619" spans="1:22" ht="9" customHeight="1" x14ac:dyDescent="0.55000000000000004">
      <c r="A619" s="19"/>
      <c r="B619" s="69"/>
      <c r="C619" s="70"/>
      <c r="D619" s="69"/>
      <c r="E619" s="71"/>
      <c r="F619" s="72"/>
      <c r="G619" s="73"/>
      <c r="H619" s="74"/>
      <c r="I619" s="75"/>
      <c r="J619" s="76"/>
      <c r="K619" s="72"/>
      <c r="L619" s="73"/>
      <c r="M619" s="74"/>
      <c r="N619" s="75"/>
      <c r="O619" s="76"/>
      <c r="P619" s="72"/>
      <c r="Q619" s="73"/>
      <c r="R619" s="74"/>
      <c r="S619" s="75"/>
      <c r="T619" s="76"/>
      <c r="U619" s="77" t="str">
        <f>IF(OR(F622="",P622=""),"",B619/(F622-P622))</f>
        <v/>
      </c>
      <c r="V619" s="78"/>
    </row>
    <row r="620" spans="1:22" ht="9" customHeight="1" x14ac:dyDescent="0.55000000000000004">
      <c r="A620" s="79"/>
      <c r="B620" s="80"/>
      <c r="C620" s="81"/>
      <c r="D620" s="80"/>
      <c r="E620" s="82"/>
      <c r="F620" s="83" t="str">
        <f>IF(H622="","",F619-H620)</f>
        <v/>
      </c>
      <c r="G620" s="84" t="str">
        <f>IF(I622="","",F619-I620)</f>
        <v/>
      </c>
      <c r="H620" s="85" t="str">
        <f>IF(OR($A622="集水",$A622="吸水"),0.4,"")</f>
        <v/>
      </c>
      <c r="I620" s="85" t="str">
        <f>IF(OR($A622="集水",$A622="吸水"),0.4,"")</f>
        <v/>
      </c>
      <c r="J620" s="86" t="str">
        <f>IF(G620="","",F620-G620)</f>
        <v/>
      </c>
      <c r="K620" s="83" t="str">
        <f>IF(M622="","",K619-M620)</f>
        <v/>
      </c>
      <c r="L620" s="87" t="str">
        <f>IF(N622="","",K619-N620)</f>
        <v/>
      </c>
      <c r="M620" s="85" t="str">
        <f>IF(M622="","",IF(OR($A622="集水",$A622="吸水"),0.4,""))</f>
        <v/>
      </c>
      <c r="N620" s="85" t="str">
        <f>IF(N622="","",IF(OR($A622="集水",$A622="吸水"),0.4,""))</f>
        <v/>
      </c>
      <c r="O620" s="86" t="str">
        <f>IF(L620="","",K620-L620)</f>
        <v/>
      </c>
      <c r="P620" s="83" t="str">
        <f>IF(R622="","",P619-R620)</f>
        <v/>
      </c>
      <c r="Q620" s="84" t="str">
        <f>IF(S622="","",P619-S620)</f>
        <v/>
      </c>
      <c r="R620" s="85" t="str">
        <f>IF(OR($A622="集水",$A622="吸水"),0.4,"")</f>
        <v/>
      </c>
      <c r="S620" s="85" t="str">
        <f>IF(OR($A622="集水",$A622="吸水"),0.4,"")</f>
        <v/>
      </c>
      <c r="T620" s="86" t="str">
        <f>IF(Q620="","",P620-Q620)</f>
        <v/>
      </c>
      <c r="U620" s="88"/>
      <c r="V620" s="89"/>
    </row>
    <row r="621" spans="1:22" ht="9" customHeight="1" x14ac:dyDescent="0.55000000000000004">
      <c r="A621" s="90"/>
      <c r="B621" s="91"/>
      <c r="C621" s="92" t="str">
        <f>IF(B619="","",B621-B619)</f>
        <v/>
      </c>
      <c r="D621" s="91"/>
      <c r="E621" s="93" t="str">
        <f>IF(D619="","",D621-D619)</f>
        <v/>
      </c>
      <c r="F621" s="94"/>
      <c r="G621" s="85"/>
      <c r="H621" s="85"/>
      <c r="I621" s="95"/>
      <c r="J621" s="86"/>
      <c r="K621" s="94"/>
      <c r="L621" s="85"/>
      <c r="M621" s="85"/>
      <c r="N621" s="95"/>
      <c r="O621" s="86"/>
      <c r="P621" s="94"/>
      <c r="Q621" s="85"/>
      <c r="R621" s="85"/>
      <c r="S621" s="95"/>
      <c r="T621" s="86"/>
      <c r="U621" s="96"/>
      <c r="V621" s="97"/>
    </row>
    <row r="622" spans="1:22" ht="9" customHeight="1" x14ac:dyDescent="0.55000000000000004">
      <c r="A622" s="98"/>
      <c r="B622" s="99"/>
      <c r="C622" s="100"/>
      <c r="D622" s="99"/>
      <c r="E622" s="101"/>
      <c r="F622" s="102" t="str">
        <f>IF(H622="","",F619-H622)</f>
        <v/>
      </c>
      <c r="G622" s="103" t="str">
        <f>IF(I622="","",F619-I622)</f>
        <v/>
      </c>
      <c r="H622" s="104"/>
      <c r="I622" s="104"/>
      <c r="J622" s="105"/>
      <c r="K622" s="106" t="str">
        <f>IF(M622="","",K619-M622)</f>
        <v/>
      </c>
      <c r="L622" s="103" t="str">
        <f>IF(N622="","",K619-N622)</f>
        <v/>
      </c>
      <c r="M622" s="104"/>
      <c r="N622" s="107"/>
      <c r="O622" s="105"/>
      <c r="P622" s="102" t="str">
        <f>IF(R622="","",P619-R622)</f>
        <v/>
      </c>
      <c r="Q622" s="103" t="str">
        <f>IF(S622="","",P619-S622)</f>
        <v/>
      </c>
      <c r="R622" s="104"/>
      <c r="S622" s="104"/>
      <c r="T622" s="105"/>
      <c r="U622" s="108"/>
      <c r="V622" s="109"/>
    </row>
    <row r="623" spans="1:22" ht="9" customHeight="1" x14ac:dyDescent="0.55000000000000004">
      <c r="A623" s="19"/>
      <c r="B623" s="69"/>
      <c r="C623" s="70"/>
      <c r="D623" s="69"/>
      <c r="E623" s="71"/>
      <c r="F623" s="72"/>
      <c r="G623" s="73"/>
      <c r="H623" s="74"/>
      <c r="I623" s="75"/>
      <c r="J623" s="76"/>
      <c r="K623" s="72"/>
      <c r="L623" s="73"/>
      <c r="M623" s="74"/>
      <c r="N623" s="75"/>
      <c r="O623" s="76"/>
      <c r="P623" s="72"/>
      <c r="Q623" s="73"/>
      <c r="R623" s="74"/>
      <c r="S623" s="75"/>
      <c r="T623" s="76"/>
      <c r="U623" s="77" t="str">
        <f>IF(OR(F626="",P626=""),"",B623/(F626-P626))</f>
        <v/>
      </c>
      <c r="V623" s="78"/>
    </row>
    <row r="624" spans="1:22" ht="9" customHeight="1" x14ac:dyDescent="0.55000000000000004">
      <c r="A624" s="79"/>
      <c r="B624" s="80"/>
      <c r="C624" s="81"/>
      <c r="D624" s="80"/>
      <c r="E624" s="82"/>
      <c r="F624" s="83" t="str">
        <f>IF(H626="","",F623-H624)</f>
        <v/>
      </c>
      <c r="G624" s="84" t="str">
        <f>IF(I626="","",F623-I624)</f>
        <v/>
      </c>
      <c r="H624" s="85" t="str">
        <f>IF(OR($A626="集水",$A626="吸水"),0.4,"")</f>
        <v/>
      </c>
      <c r="I624" s="85" t="str">
        <f>IF(OR($A626="集水",$A626="吸水"),0.4,"")</f>
        <v/>
      </c>
      <c r="J624" s="86" t="str">
        <f>IF(G624="","",F624-G624)</f>
        <v/>
      </c>
      <c r="K624" s="83" t="str">
        <f>IF(M626="","",K623-M624)</f>
        <v/>
      </c>
      <c r="L624" s="87" t="str">
        <f>IF(N626="","",K623-N624)</f>
        <v/>
      </c>
      <c r="M624" s="85" t="str">
        <f>IF(M626="","",IF(OR($A626="集水",$A626="吸水"),0.4,""))</f>
        <v/>
      </c>
      <c r="N624" s="85" t="str">
        <f>IF(N626="","",IF(OR($A626="集水",$A626="吸水"),0.4,""))</f>
        <v/>
      </c>
      <c r="O624" s="86" t="str">
        <f>IF(L624="","",K624-L624)</f>
        <v/>
      </c>
      <c r="P624" s="83" t="str">
        <f>IF(R626="","",P623-R624)</f>
        <v/>
      </c>
      <c r="Q624" s="84" t="str">
        <f>IF(S626="","",P623-S624)</f>
        <v/>
      </c>
      <c r="R624" s="85" t="str">
        <f>IF(OR($A626="集水",$A626="吸水"),0.4,"")</f>
        <v/>
      </c>
      <c r="S624" s="85" t="str">
        <f>IF(OR($A626="集水",$A626="吸水"),0.4,"")</f>
        <v/>
      </c>
      <c r="T624" s="86" t="str">
        <f>IF(Q624="","",P624-Q624)</f>
        <v/>
      </c>
      <c r="U624" s="88"/>
      <c r="V624" s="89"/>
    </row>
    <row r="625" spans="1:22" ht="9" customHeight="1" x14ac:dyDescent="0.55000000000000004">
      <c r="A625" s="90"/>
      <c r="B625" s="91"/>
      <c r="C625" s="92" t="str">
        <f>IF(B623="","",B625-B623)</f>
        <v/>
      </c>
      <c r="D625" s="91"/>
      <c r="E625" s="93" t="str">
        <f>IF(D623="","",D625-D623)</f>
        <v/>
      </c>
      <c r="F625" s="94"/>
      <c r="G625" s="85"/>
      <c r="H625" s="85"/>
      <c r="I625" s="95"/>
      <c r="J625" s="86"/>
      <c r="K625" s="94"/>
      <c r="L625" s="85"/>
      <c r="M625" s="85"/>
      <c r="N625" s="95"/>
      <c r="O625" s="86"/>
      <c r="P625" s="94"/>
      <c r="Q625" s="85"/>
      <c r="R625" s="85"/>
      <c r="S625" s="95"/>
      <c r="T625" s="86"/>
      <c r="U625" s="96"/>
      <c r="V625" s="97"/>
    </row>
    <row r="626" spans="1:22" ht="9" customHeight="1" x14ac:dyDescent="0.55000000000000004">
      <c r="A626" s="98"/>
      <c r="B626" s="99"/>
      <c r="C626" s="100"/>
      <c r="D626" s="99"/>
      <c r="E626" s="101"/>
      <c r="F626" s="102" t="str">
        <f>IF(H626="","",F623-H626)</f>
        <v/>
      </c>
      <c r="G626" s="103" t="str">
        <f>IF(I626="","",F623-I626)</f>
        <v/>
      </c>
      <c r="H626" s="104"/>
      <c r="I626" s="104"/>
      <c r="J626" s="105"/>
      <c r="K626" s="106" t="str">
        <f>IF(M626="","",K623-M626)</f>
        <v/>
      </c>
      <c r="L626" s="103" t="str">
        <f>IF(N626="","",K623-N626)</f>
        <v/>
      </c>
      <c r="M626" s="104"/>
      <c r="N626" s="107"/>
      <c r="O626" s="105"/>
      <c r="P626" s="102" t="str">
        <f>IF(R626="","",P623-R626)</f>
        <v/>
      </c>
      <c r="Q626" s="103" t="str">
        <f>IF(S626="","",P623-S626)</f>
        <v/>
      </c>
      <c r="R626" s="104"/>
      <c r="S626" s="104"/>
      <c r="T626" s="105"/>
      <c r="U626" s="108"/>
      <c r="V626" s="109"/>
    </row>
    <row r="627" spans="1:22" ht="9" customHeight="1" x14ac:dyDescent="0.55000000000000004">
      <c r="A627" s="19"/>
      <c r="B627" s="69"/>
      <c r="C627" s="70"/>
      <c r="D627" s="69"/>
      <c r="E627" s="71"/>
      <c r="F627" s="72"/>
      <c r="G627" s="73"/>
      <c r="H627" s="74"/>
      <c r="I627" s="75"/>
      <c r="J627" s="76"/>
      <c r="K627" s="72"/>
      <c r="L627" s="73"/>
      <c r="M627" s="74"/>
      <c r="N627" s="75"/>
      <c r="O627" s="76"/>
      <c r="P627" s="72"/>
      <c r="Q627" s="73"/>
      <c r="R627" s="74"/>
      <c r="S627" s="75"/>
      <c r="T627" s="76"/>
      <c r="U627" s="77" t="str">
        <f>IF(OR(F630="",P630=""),"",B627/(F630-P630))</f>
        <v/>
      </c>
      <c r="V627" s="78"/>
    </row>
    <row r="628" spans="1:22" ht="9" customHeight="1" x14ac:dyDescent="0.55000000000000004">
      <c r="A628" s="79"/>
      <c r="B628" s="80"/>
      <c r="C628" s="81"/>
      <c r="D628" s="80"/>
      <c r="E628" s="82"/>
      <c r="F628" s="83" t="str">
        <f>IF(H630="","",F627-H628)</f>
        <v/>
      </c>
      <c r="G628" s="84" t="str">
        <f>IF(I630="","",F627-I628)</f>
        <v/>
      </c>
      <c r="H628" s="85" t="str">
        <f>IF(OR($A630="集水",$A630="吸水"),0.4,"")</f>
        <v/>
      </c>
      <c r="I628" s="85" t="str">
        <f>IF(OR($A630="集水",$A630="吸水"),0.4,"")</f>
        <v/>
      </c>
      <c r="J628" s="86" t="str">
        <f>IF(G628="","",F628-G628)</f>
        <v/>
      </c>
      <c r="K628" s="83" t="str">
        <f>IF(M630="","",K627-M628)</f>
        <v/>
      </c>
      <c r="L628" s="87" t="str">
        <f>IF(N630="","",K627-N628)</f>
        <v/>
      </c>
      <c r="M628" s="85" t="str">
        <f>IF(M630="","",IF(OR($A630="集水",$A630="吸水"),0.4,""))</f>
        <v/>
      </c>
      <c r="N628" s="85" t="str">
        <f>IF(N630="","",IF(OR($A630="集水",$A630="吸水"),0.4,""))</f>
        <v/>
      </c>
      <c r="O628" s="86" t="str">
        <f>IF(L628="","",K628-L628)</f>
        <v/>
      </c>
      <c r="P628" s="83" t="str">
        <f>IF(R630="","",P627-R628)</f>
        <v/>
      </c>
      <c r="Q628" s="84" t="str">
        <f>IF(S630="","",P627-S628)</f>
        <v/>
      </c>
      <c r="R628" s="85" t="str">
        <f>IF(OR($A630="集水",$A630="吸水"),0.4,"")</f>
        <v/>
      </c>
      <c r="S628" s="85" t="str">
        <f>IF(OR($A630="集水",$A630="吸水"),0.4,"")</f>
        <v/>
      </c>
      <c r="T628" s="86" t="str">
        <f>IF(Q628="","",P628-Q628)</f>
        <v/>
      </c>
      <c r="U628" s="88"/>
      <c r="V628" s="89"/>
    </row>
    <row r="629" spans="1:22" ht="9" customHeight="1" x14ac:dyDescent="0.55000000000000004">
      <c r="A629" s="90"/>
      <c r="B629" s="91"/>
      <c r="C629" s="92" t="str">
        <f>IF(B627="","",B629-B627)</f>
        <v/>
      </c>
      <c r="D629" s="91"/>
      <c r="E629" s="93" t="str">
        <f>IF(D627="","",D629-D627)</f>
        <v/>
      </c>
      <c r="F629" s="94"/>
      <c r="G629" s="85"/>
      <c r="H629" s="85"/>
      <c r="I629" s="95"/>
      <c r="J629" s="86"/>
      <c r="K629" s="94"/>
      <c r="L629" s="85"/>
      <c r="M629" s="85"/>
      <c r="N629" s="95"/>
      <c r="O629" s="86"/>
      <c r="P629" s="94"/>
      <c r="Q629" s="85"/>
      <c r="R629" s="85"/>
      <c r="S629" s="95"/>
      <c r="T629" s="86"/>
      <c r="U629" s="96"/>
      <c r="V629" s="97"/>
    </row>
    <row r="630" spans="1:22" ht="9" customHeight="1" x14ac:dyDescent="0.55000000000000004">
      <c r="A630" s="98"/>
      <c r="B630" s="99"/>
      <c r="C630" s="100"/>
      <c r="D630" s="99"/>
      <c r="E630" s="101"/>
      <c r="F630" s="102" t="str">
        <f>IF(H630="","",F627-H630)</f>
        <v/>
      </c>
      <c r="G630" s="103" t="str">
        <f>IF(I630="","",F627-I630)</f>
        <v/>
      </c>
      <c r="H630" s="104"/>
      <c r="I630" s="104"/>
      <c r="J630" s="105"/>
      <c r="K630" s="106" t="str">
        <f>IF(M630="","",K627-M630)</f>
        <v/>
      </c>
      <c r="L630" s="103" t="str">
        <f>IF(N630="","",K627-N630)</f>
        <v/>
      </c>
      <c r="M630" s="104"/>
      <c r="N630" s="107"/>
      <c r="O630" s="105"/>
      <c r="P630" s="102" t="str">
        <f>IF(R630="","",P627-R630)</f>
        <v/>
      </c>
      <c r="Q630" s="103" t="str">
        <f>IF(S630="","",P627-S630)</f>
        <v/>
      </c>
      <c r="R630" s="104"/>
      <c r="S630" s="104"/>
      <c r="T630" s="105"/>
      <c r="U630" s="108"/>
      <c r="V630" s="109"/>
    </row>
    <row r="631" spans="1:22" ht="9" customHeight="1" x14ac:dyDescent="0.55000000000000004">
      <c r="A631" s="19"/>
      <c r="B631" s="69"/>
      <c r="C631" s="70"/>
      <c r="D631" s="69"/>
      <c r="E631" s="71"/>
      <c r="F631" s="72"/>
      <c r="G631" s="73"/>
      <c r="H631" s="74"/>
      <c r="I631" s="75"/>
      <c r="J631" s="76"/>
      <c r="K631" s="72"/>
      <c r="L631" s="73"/>
      <c r="M631" s="74"/>
      <c r="N631" s="75"/>
      <c r="O631" s="76"/>
      <c r="P631" s="72"/>
      <c r="Q631" s="73"/>
      <c r="R631" s="74"/>
      <c r="S631" s="75"/>
      <c r="T631" s="76"/>
      <c r="U631" s="77" t="str">
        <f>IF(OR(F634="",P634=""),"",B631/(F634-P634))</f>
        <v/>
      </c>
      <c r="V631" s="78"/>
    </row>
    <row r="632" spans="1:22" ht="9" customHeight="1" x14ac:dyDescent="0.55000000000000004">
      <c r="A632" s="79"/>
      <c r="B632" s="80"/>
      <c r="C632" s="81"/>
      <c r="D632" s="80"/>
      <c r="E632" s="82"/>
      <c r="F632" s="83" t="str">
        <f>IF(H634="","",F631-H632)</f>
        <v/>
      </c>
      <c r="G632" s="84" t="str">
        <f>IF(I634="","",F631-I632)</f>
        <v/>
      </c>
      <c r="H632" s="85" t="str">
        <f>IF(OR($A634="集水",$A634="吸水"),0.4,"")</f>
        <v/>
      </c>
      <c r="I632" s="85" t="str">
        <f>IF(OR($A634="集水",$A634="吸水"),0.4,"")</f>
        <v/>
      </c>
      <c r="J632" s="86" t="str">
        <f>IF(G632="","",F632-G632)</f>
        <v/>
      </c>
      <c r="K632" s="83" t="str">
        <f>IF(M634="","",K631-M632)</f>
        <v/>
      </c>
      <c r="L632" s="87" t="str">
        <f>IF(N634="","",K631-N632)</f>
        <v/>
      </c>
      <c r="M632" s="85" t="str">
        <f>IF(M634="","",IF(OR($A634="集水",$A634="吸水"),0.4,""))</f>
        <v/>
      </c>
      <c r="N632" s="85" t="str">
        <f>IF(N634="","",IF(OR($A634="集水",$A634="吸水"),0.4,""))</f>
        <v/>
      </c>
      <c r="O632" s="86" t="str">
        <f>IF(L632="","",K632-L632)</f>
        <v/>
      </c>
      <c r="P632" s="83" t="str">
        <f>IF(R634="","",P631-R632)</f>
        <v/>
      </c>
      <c r="Q632" s="84" t="str">
        <f>IF(S634="","",P631-S632)</f>
        <v/>
      </c>
      <c r="R632" s="85" t="str">
        <f>IF(OR($A634="集水",$A634="吸水"),0.4,"")</f>
        <v/>
      </c>
      <c r="S632" s="85" t="str">
        <f>IF(OR($A634="集水",$A634="吸水"),0.4,"")</f>
        <v/>
      </c>
      <c r="T632" s="86" t="str">
        <f>IF(Q632="","",P632-Q632)</f>
        <v/>
      </c>
      <c r="U632" s="88"/>
      <c r="V632" s="89"/>
    </row>
    <row r="633" spans="1:22" ht="9" customHeight="1" x14ac:dyDescent="0.55000000000000004">
      <c r="A633" s="90"/>
      <c r="B633" s="91"/>
      <c r="C633" s="92" t="str">
        <f>IF(B631="","",B633-B631)</f>
        <v/>
      </c>
      <c r="D633" s="91"/>
      <c r="E633" s="93" t="str">
        <f>IF(D631="","",D633-D631)</f>
        <v/>
      </c>
      <c r="F633" s="94"/>
      <c r="G633" s="85"/>
      <c r="H633" s="85"/>
      <c r="I633" s="95"/>
      <c r="J633" s="86"/>
      <c r="K633" s="94"/>
      <c r="L633" s="85"/>
      <c r="M633" s="85"/>
      <c r="N633" s="95"/>
      <c r="O633" s="86"/>
      <c r="P633" s="94"/>
      <c r="Q633" s="85"/>
      <c r="R633" s="85"/>
      <c r="S633" s="95"/>
      <c r="T633" s="86"/>
      <c r="U633" s="96"/>
      <c r="V633" s="97"/>
    </row>
    <row r="634" spans="1:22" ht="9" customHeight="1" x14ac:dyDescent="0.55000000000000004">
      <c r="A634" s="98"/>
      <c r="B634" s="99"/>
      <c r="C634" s="100"/>
      <c r="D634" s="99"/>
      <c r="E634" s="101"/>
      <c r="F634" s="102" t="str">
        <f>IF(H634="","",F631-H634)</f>
        <v/>
      </c>
      <c r="G634" s="103" t="str">
        <f>IF(I634="","",F631-I634)</f>
        <v/>
      </c>
      <c r="H634" s="104"/>
      <c r="I634" s="104"/>
      <c r="J634" s="105"/>
      <c r="K634" s="106" t="str">
        <f>IF(M634="","",K631-M634)</f>
        <v/>
      </c>
      <c r="L634" s="103" t="str">
        <f>IF(N634="","",K631-N634)</f>
        <v/>
      </c>
      <c r="M634" s="104"/>
      <c r="N634" s="107"/>
      <c r="O634" s="105"/>
      <c r="P634" s="102" t="str">
        <f>IF(R634="","",P631-R634)</f>
        <v/>
      </c>
      <c r="Q634" s="103" t="str">
        <f>IF(S634="","",P631-S634)</f>
        <v/>
      </c>
      <c r="R634" s="104"/>
      <c r="S634" s="104"/>
      <c r="T634" s="105"/>
      <c r="U634" s="108"/>
      <c r="V634" s="109"/>
    </row>
    <row r="635" spans="1:22" ht="9" customHeight="1" x14ac:dyDescent="0.55000000000000004">
      <c r="A635" s="19"/>
      <c r="B635" s="69"/>
      <c r="C635" s="70"/>
      <c r="D635" s="69"/>
      <c r="E635" s="71"/>
      <c r="F635" s="72"/>
      <c r="G635" s="73"/>
      <c r="H635" s="74"/>
      <c r="I635" s="75"/>
      <c r="J635" s="76"/>
      <c r="K635" s="72"/>
      <c r="L635" s="73"/>
      <c r="M635" s="74"/>
      <c r="N635" s="75"/>
      <c r="O635" s="76"/>
      <c r="P635" s="72"/>
      <c r="Q635" s="73"/>
      <c r="R635" s="74"/>
      <c r="S635" s="75"/>
      <c r="T635" s="76"/>
      <c r="U635" s="77" t="str">
        <f>IF(OR(F638="",P638=""),"",B635/(F638-P638))</f>
        <v/>
      </c>
      <c r="V635" s="78"/>
    </row>
    <row r="636" spans="1:22" ht="9" customHeight="1" x14ac:dyDescent="0.55000000000000004">
      <c r="A636" s="79"/>
      <c r="B636" s="80"/>
      <c r="C636" s="81"/>
      <c r="D636" s="80"/>
      <c r="E636" s="82"/>
      <c r="F636" s="83" t="str">
        <f>IF(H638="","",F635-H636)</f>
        <v/>
      </c>
      <c r="G636" s="84" t="str">
        <f>IF(I638="","",F635-I636)</f>
        <v/>
      </c>
      <c r="H636" s="85" t="str">
        <f>IF(OR($A638="集水",$A638="吸水"),0.4,"")</f>
        <v/>
      </c>
      <c r="I636" s="85" t="str">
        <f>IF(OR($A638="集水",$A638="吸水"),0.4,"")</f>
        <v/>
      </c>
      <c r="J636" s="86" t="str">
        <f>IF(G636="","",F636-G636)</f>
        <v/>
      </c>
      <c r="K636" s="83" t="str">
        <f>IF(M638="","",K635-M636)</f>
        <v/>
      </c>
      <c r="L636" s="87" t="str">
        <f>IF(N638="","",K635-N636)</f>
        <v/>
      </c>
      <c r="M636" s="85" t="str">
        <f>IF(M638="","",IF(OR($A638="集水",$A638="吸水"),0.4,""))</f>
        <v/>
      </c>
      <c r="N636" s="85" t="str">
        <f>IF(N638="","",IF(OR($A638="集水",$A638="吸水"),0.4,""))</f>
        <v/>
      </c>
      <c r="O636" s="86" t="str">
        <f>IF(L636="","",K636-L636)</f>
        <v/>
      </c>
      <c r="P636" s="83" t="str">
        <f>IF(R638="","",P635-R636)</f>
        <v/>
      </c>
      <c r="Q636" s="84" t="str">
        <f>IF(S638="","",P635-S636)</f>
        <v/>
      </c>
      <c r="R636" s="85" t="str">
        <f>IF(OR($A638="集水",$A638="吸水"),0.4,"")</f>
        <v/>
      </c>
      <c r="S636" s="85" t="str">
        <f>IF(OR($A638="集水",$A638="吸水"),0.4,"")</f>
        <v/>
      </c>
      <c r="T636" s="86" t="str">
        <f>IF(Q636="","",P636-Q636)</f>
        <v/>
      </c>
      <c r="U636" s="88"/>
      <c r="V636" s="89"/>
    </row>
    <row r="637" spans="1:22" ht="9" customHeight="1" x14ac:dyDescent="0.55000000000000004">
      <c r="A637" s="90"/>
      <c r="B637" s="91"/>
      <c r="C637" s="92" t="str">
        <f>IF(B635="","",B637-B635)</f>
        <v/>
      </c>
      <c r="D637" s="91"/>
      <c r="E637" s="93" t="str">
        <f>IF(D635="","",D637-D635)</f>
        <v/>
      </c>
      <c r="F637" s="94"/>
      <c r="G637" s="85"/>
      <c r="H637" s="85"/>
      <c r="I637" s="95"/>
      <c r="J637" s="86"/>
      <c r="K637" s="94"/>
      <c r="L637" s="85"/>
      <c r="M637" s="85"/>
      <c r="N637" s="95"/>
      <c r="O637" s="86"/>
      <c r="P637" s="94"/>
      <c r="Q637" s="85"/>
      <c r="R637" s="85"/>
      <c r="S637" s="95"/>
      <c r="T637" s="86"/>
      <c r="U637" s="96"/>
      <c r="V637" s="97"/>
    </row>
    <row r="638" spans="1:22" ht="9" customHeight="1" x14ac:dyDescent="0.55000000000000004">
      <c r="A638" s="98"/>
      <c r="B638" s="99"/>
      <c r="C638" s="100"/>
      <c r="D638" s="99"/>
      <c r="E638" s="101"/>
      <c r="F638" s="102" t="str">
        <f>IF(H638="","",F635-H638)</f>
        <v/>
      </c>
      <c r="G638" s="103" t="str">
        <f>IF(I638="","",F635-I638)</f>
        <v/>
      </c>
      <c r="H638" s="104"/>
      <c r="I638" s="104"/>
      <c r="J638" s="105"/>
      <c r="K638" s="106" t="str">
        <f>IF(M638="","",K635-M638)</f>
        <v/>
      </c>
      <c r="L638" s="103" t="str">
        <f>IF(N638="","",K635-N638)</f>
        <v/>
      </c>
      <c r="M638" s="104"/>
      <c r="N638" s="107"/>
      <c r="O638" s="105"/>
      <c r="P638" s="102" t="str">
        <f>IF(R638="","",P635-R638)</f>
        <v/>
      </c>
      <c r="Q638" s="103" t="str">
        <f>IF(S638="","",P635-S638)</f>
        <v/>
      </c>
      <c r="R638" s="104"/>
      <c r="S638" s="104"/>
      <c r="T638" s="105"/>
      <c r="U638" s="108"/>
      <c r="V638" s="109"/>
    </row>
    <row r="639" spans="1:22" ht="9" customHeight="1" x14ac:dyDescent="0.55000000000000004">
      <c r="A639" s="19"/>
      <c r="B639" s="69"/>
      <c r="C639" s="70"/>
      <c r="D639" s="69"/>
      <c r="E639" s="71"/>
      <c r="F639" s="72"/>
      <c r="G639" s="73"/>
      <c r="H639" s="74"/>
      <c r="I639" s="75"/>
      <c r="J639" s="76"/>
      <c r="K639" s="72"/>
      <c r="L639" s="73"/>
      <c r="M639" s="74"/>
      <c r="N639" s="75"/>
      <c r="O639" s="76"/>
      <c r="P639" s="72"/>
      <c r="Q639" s="73"/>
      <c r="R639" s="74"/>
      <c r="S639" s="75"/>
      <c r="T639" s="76"/>
      <c r="U639" s="77" t="str">
        <f>IF(OR(F642="",P642=""),"",B639/(F642-P642))</f>
        <v/>
      </c>
      <c r="V639" s="78"/>
    </row>
    <row r="640" spans="1:22" ht="9" customHeight="1" x14ac:dyDescent="0.55000000000000004">
      <c r="A640" s="79"/>
      <c r="B640" s="80"/>
      <c r="C640" s="81"/>
      <c r="D640" s="80"/>
      <c r="E640" s="82"/>
      <c r="F640" s="83" t="str">
        <f>IF(H642="","",F639-H640)</f>
        <v/>
      </c>
      <c r="G640" s="84" t="str">
        <f>IF(I642="","",F639-I640)</f>
        <v/>
      </c>
      <c r="H640" s="85" t="str">
        <f>IF(OR($A642="集水",$A642="吸水"),0.4,"")</f>
        <v/>
      </c>
      <c r="I640" s="85" t="str">
        <f>IF(OR($A642="集水",$A642="吸水"),0.4,"")</f>
        <v/>
      </c>
      <c r="J640" s="86" t="str">
        <f>IF(G640="","",F640-G640)</f>
        <v/>
      </c>
      <c r="K640" s="83" t="str">
        <f>IF(M642="","",K639-M640)</f>
        <v/>
      </c>
      <c r="L640" s="87" t="str">
        <f>IF(N642="","",K639-N640)</f>
        <v/>
      </c>
      <c r="M640" s="85" t="str">
        <f>IF(M642="","",IF(OR($A642="集水",$A642="吸水"),0.4,""))</f>
        <v/>
      </c>
      <c r="N640" s="85" t="str">
        <f>IF(N642="","",IF(OR($A642="集水",$A642="吸水"),0.4,""))</f>
        <v/>
      </c>
      <c r="O640" s="86" t="str">
        <f>IF(L640="","",K640-L640)</f>
        <v/>
      </c>
      <c r="P640" s="83" t="str">
        <f>IF(R642="","",P639-R640)</f>
        <v/>
      </c>
      <c r="Q640" s="84" t="str">
        <f>IF(S642="","",P639-S640)</f>
        <v/>
      </c>
      <c r="R640" s="85" t="str">
        <f>IF(OR($A642="集水",$A642="吸水"),0.4,"")</f>
        <v/>
      </c>
      <c r="S640" s="85" t="str">
        <f>IF(OR($A642="集水",$A642="吸水"),0.4,"")</f>
        <v/>
      </c>
      <c r="T640" s="86" t="str">
        <f>IF(Q640="","",P640-Q640)</f>
        <v/>
      </c>
      <c r="U640" s="88"/>
      <c r="V640" s="89"/>
    </row>
    <row r="641" spans="1:22" ht="9" customHeight="1" x14ac:dyDescent="0.55000000000000004">
      <c r="A641" s="90"/>
      <c r="B641" s="91"/>
      <c r="C641" s="92" t="str">
        <f>IF(B639="","",B641-B639)</f>
        <v/>
      </c>
      <c r="D641" s="91"/>
      <c r="E641" s="93" t="str">
        <f>IF(D639="","",D641-D639)</f>
        <v/>
      </c>
      <c r="F641" s="94"/>
      <c r="G641" s="85"/>
      <c r="H641" s="85"/>
      <c r="I641" s="95"/>
      <c r="J641" s="86"/>
      <c r="K641" s="94"/>
      <c r="L641" s="85"/>
      <c r="M641" s="85"/>
      <c r="N641" s="95"/>
      <c r="O641" s="86"/>
      <c r="P641" s="94"/>
      <c r="Q641" s="85"/>
      <c r="R641" s="85"/>
      <c r="S641" s="95"/>
      <c r="T641" s="86"/>
      <c r="U641" s="96"/>
      <c r="V641" s="97"/>
    </row>
    <row r="642" spans="1:22" ht="9" customHeight="1" x14ac:dyDescent="0.55000000000000004">
      <c r="A642" s="98"/>
      <c r="B642" s="99"/>
      <c r="C642" s="100"/>
      <c r="D642" s="99"/>
      <c r="E642" s="101"/>
      <c r="F642" s="102" t="str">
        <f>IF(H642="","",F639-H642)</f>
        <v/>
      </c>
      <c r="G642" s="103" t="str">
        <f>IF(I642="","",F639-I642)</f>
        <v/>
      </c>
      <c r="H642" s="104"/>
      <c r="I642" s="104"/>
      <c r="J642" s="105"/>
      <c r="K642" s="106" t="str">
        <f>IF(M642="","",K639-M642)</f>
        <v/>
      </c>
      <c r="L642" s="103" t="str">
        <f>IF(N642="","",K639-N642)</f>
        <v/>
      </c>
      <c r="M642" s="104"/>
      <c r="N642" s="107"/>
      <c r="O642" s="105"/>
      <c r="P642" s="102" t="str">
        <f>IF(R642="","",P639-R642)</f>
        <v/>
      </c>
      <c r="Q642" s="103" t="str">
        <f>IF(S642="","",P639-S642)</f>
        <v/>
      </c>
      <c r="R642" s="104"/>
      <c r="S642" s="104"/>
      <c r="T642" s="105"/>
      <c r="U642" s="108"/>
      <c r="V642" s="109"/>
    </row>
    <row r="643" spans="1:22" ht="9" customHeight="1" x14ac:dyDescent="0.55000000000000004">
      <c r="A643" s="19"/>
      <c r="B643" s="69"/>
      <c r="C643" s="70"/>
      <c r="D643" s="69"/>
      <c r="E643" s="71"/>
      <c r="F643" s="72"/>
      <c r="G643" s="73"/>
      <c r="H643" s="74"/>
      <c r="I643" s="75"/>
      <c r="J643" s="76"/>
      <c r="K643" s="72"/>
      <c r="L643" s="73"/>
      <c r="M643" s="74"/>
      <c r="N643" s="75"/>
      <c r="O643" s="76"/>
      <c r="P643" s="72"/>
      <c r="Q643" s="73"/>
      <c r="R643" s="74"/>
      <c r="S643" s="75"/>
      <c r="T643" s="76"/>
      <c r="U643" s="77" t="str">
        <f>IF(OR(F646="",P646=""),"",B643/(F646-P646))</f>
        <v/>
      </c>
      <c r="V643" s="78"/>
    </row>
    <row r="644" spans="1:22" ht="9" customHeight="1" x14ac:dyDescent="0.55000000000000004">
      <c r="A644" s="79"/>
      <c r="B644" s="80"/>
      <c r="C644" s="81"/>
      <c r="D644" s="80"/>
      <c r="E644" s="82"/>
      <c r="F644" s="83" t="str">
        <f>IF(H646="","",F643-H644)</f>
        <v/>
      </c>
      <c r="G644" s="84" t="str">
        <f>IF(I646="","",F643-I644)</f>
        <v/>
      </c>
      <c r="H644" s="85" t="str">
        <f>IF(OR($A646="集水",$A646="吸水"),0.4,"")</f>
        <v/>
      </c>
      <c r="I644" s="85" t="str">
        <f>IF(OR($A646="集水",$A646="吸水"),0.4,"")</f>
        <v/>
      </c>
      <c r="J644" s="86" t="str">
        <f>IF(G644="","",F644-G644)</f>
        <v/>
      </c>
      <c r="K644" s="83" t="str">
        <f>IF(M646="","",K643-M644)</f>
        <v/>
      </c>
      <c r="L644" s="87" t="str">
        <f>IF(N646="","",K643-N644)</f>
        <v/>
      </c>
      <c r="M644" s="85" t="str">
        <f>IF(M646="","",IF(OR($A646="集水",$A646="吸水"),0.4,""))</f>
        <v/>
      </c>
      <c r="N644" s="85" t="str">
        <f>IF(N646="","",IF(OR($A646="集水",$A646="吸水"),0.4,""))</f>
        <v/>
      </c>
      <c r="O644" s="86" t="str">
        <f>IF(L644="","",K644-L644)</f>
        <v/>
      </c>
      <c r="P644" s="83" t="str">
        <f>IF(R646="","",P643-R644)</f>
        <v/>
      </c>
      <c r="Q644" s="84" t="str">
        <f>IF(S646="","",P643-S644)</f>
        <v/>
      </c>
      <c r="R644" s="85" t="str">
        <f>IF(OR($A646="集水",$A646="吸水"),0.4,"")</f>
        <v/>
      </c>
      <c r="S644" s="85" t="str">
        <f>IF(OR($A646="集水",$A646="吸水"),0.4,"")</f>
        <v/>
      </c>
      <c r="T644" s="86" t="str">
        <f>IF(Q644="","",P644-Q644)</f>
        <v/>
      </c>
      <c r="U644" s="88"/>
      <c r="V644" s="89"/>
    </row>
    <row r="645" spans="1:22" ht="9" customHeight="1" x14ac:dyDescent="0.55000000000000004">
      <c r="A645" s="90"/>
      <c r="B645" s="91"/>
      <c r="C645" s="92" t="str">
        <f>IF(B643="","",B645-B643)</f>
        <v/>
      </c>
      <c r="D645" s="91"/>
      <c r="E645" s="93" t="str">
        <f>IF(D643="","",D645-D643)</f>
        <v/>
      </c>
      <c r="F645" s="94"/>
      <c r="G645" s="85"/>
      <c r="H645" s="85"/>
      <c r="I645" s="95"/>
      <c r="J645" s="86"/>
      <c r="K645" s="94"/>
      <c r="L645" s="85"/>
      <c r="M645" s="85"/>
      <c r="N645" s="95"/>
      <c r="O645" s="86"/>
      <c r="P645" s="94"/>
      <c r="Q645" s="85"/>
      <c r="R645" s="85"/>
      <c r="S645" s="95"/>
      <c r="T645" s="86"/>
      <c r="U645" s="96"/>
      <c r="V645" s="97"/>
    </row>
    <row r="646" spans="1:22" ht="9" customHeight="1" x14ac:dyDescent="0.55000000000000004">
      <c r="A646" s="98"/>
      <c r="B646" s="99"/>
      <c r="C646" s="100"/>
      <c r="D646" s="99"/>
      <c r="E646" s="101"/>
      <c r="F646" s="102" t="str">
        <f>IF(H646="","",F643-H646)</f>
        <v/>
      </c>
      <c r="G646" s="103" t="str">
        <f>IF(I646="","",F643-I646)</f>
        <v/>
      </c>
      <c r="H646" s="104"/>
      <c r="I646" s="104"/>
      <c r="J646" s="105"/>
      <c r="K646" s="106" t="str">
        <f>IF(M646="","",K643-M646)</f>
        <v/>
      </c>
      <c r="L646" s="103" t="str">
        <f>IF(N646="","",K643-N646)</f>
        <v/>
      </c>
      <c r="M646" s="104"/>
      <c r="N646" s="107"/>
      <c r="O646" s="105"/>
      <c r="P646" s="102" t="str">
        <f>IF(R646="","",P643-R646)</f>
        <v/>
      </c>
      <c r="Q646" s="103" t="str">
        <f>IF(S646="","",P643-S646)</f>
        <v/>
      </c>
      <c r="R646" s="104"/>
      <c r="S646" s="104"/>
      <c r="T646" s="105"/>
      <c r="U646" s="108"/>
      <c r="V646" s="109"/>
    </row>
    <row r="647" spans="1:22" ht="9" customHeight="1" x14ac:dyDescent="0.55000000000000004">
      <c r="A647" s="19"/>
      <c r="B647" s="69"/>
      <c r="C647" s="70"/>
      <c r="D647" s="69"/>
      <c r="E647" s="71"/>
      <c r="F647" s="72"/>
      <c r="G647" s="73"/>
      <c r="H647" s="74"/>
      <c r="I647" s="75"/>
      <c r="J647" s="76"/>
      <c r="K647" s="72"/>
      <c r="L647" s="73"/>
      <c r="M647" s="74"/>
      <c r="N647" s="75"/>
      <c r="O647" s="76"/>
      <c r="P647" s="72"/>
      <c r="Q647" s="73"/>
      <c r="R647" s="74"/>
      <c r="S647" s="75"/>
      <c r="T647" s="76"/>
      <c r="U647" s="77" t="str">
        <f>IF(OR(F650="",P650=""),"",B647/(F650-P650))</f>
        <v/>
      </c>
      <c r="V647" s="78"/>
    </row>
    <row r="648" spans="1:22" ht="9" customHeight="1" x14ac:dyDescent="0.55000000000000004">
      <c r="A648" s="79"/>
      <c r="B648" s="80"/>
      <c r="C648" s="81"/>
      <c r="D648" s="80"/>
      <c r="E648" s="82"/>
      <c r="F648" s="83" t="str">
        <f>IF(H650="","",F647-H648)</f>
        <v/>
      </c>
      <c r="G648" s="84" t="str">
        <f>IF(I650="","",F647-I648)</f>
        <v/>
      </c>
      <c r="H648" s="85" t="str">
        <f>IF(OR($A650="集水",$A650="吸水"),0.4,"")</f>
        <v/>
      </c>
      <c r="I648" s="85" t="str">
        <f>IF(OR($A650="集水",$A650="吸水"),0.4,"")</f>
        <v/>
      </c>
      <c r="J648" s="86" t="str">
        <f>IF(G648="","",F648-G648)</f>
        <v/>
      </c>
      <c r="K648" s="83" t="str">
        <f>IF(M650="","",K647-M648)</f>
        <v/>
      </c>
      <c r="L648" s="87" t="str">
        <f>IF(N650="","",K647-N648)</f>
        <v/>
      </c>
      <c r="M648" s="85" t="str">
        <f>IF(M650="","",IF(OR($A650="集水",$A650="吸水"),0.4,""))</f>
        <v/>
      </c>
      <c r="N648" s="85" t="str">
        <f>IF(N650="","",IF(OR($A650="集水",$A650="吸水"),0.4,""))</f>
        <v/>
      </c>
      <c r="O648" s="86" t="str">
        <f>IF(L648="","",K648-L648)</f>
        <v/>
      </c>
      <c r="P648" s="83" t="str">
        <f>IF(R650="","",P647-R648)</f>
        <v/>
      </c>
      <c r="Q648" s="84" t="str">
        <f>IF(S650="","",P647-S648)</f>
        <v/>
      </c>
      <c r="R648" s="85" t="str">
        <f>IF(OR($A650="集水",$A650="吸水"),0.4,"")</f>
        <v/>
      </c>
      <c r="S648" s="85" t="str">
        <f>IF(OR($A650="集水",$A650="吸水"),0.4,"")</f>
        <v/>
      </c>
      <c r="T648" s="86" t="str">
        <f>IF(Q648="","",P648-Q648)</f>
        <v/>
      </c>
      <c r="U648" s="88"/>
      <c r="V648" s="89"/>
    </row>
    <row r="649" spans="1:22" ht="9" customHeight="1" x14ac:dyDescent="0.55000000000000004">
      <c r="A649" s="90"/>
      <c r="B649" s="91"/>
      <c r="C649" s="92" t="str">
        <f>IF(B647="","",B649-B647)</f>
        <v/>
      </c>
      <c r="D649" s="91"/>
      <c r="E649" s="93" t="str">
        <f>IF(D647="","",D649-D647)</f>
        <v/>
      </c>
      <c r="F649" s="94"/>
      <c r="G649" s="85"/>
      <c r="H649" s="85"/>
      <c r="I649" s="95"/>
      <c r="J649" s="86"/>
      <c r="K649" s="94"/>
      <c r="L649" s="85"/>
      <c r="M649" s="85"/>
      <c r="N649" s="95"/>
      <c r="O649" s="86"/>
      <c r="P649" s="94"/>
      <c r="Q649" s="85"/>
      <c r="R649" s="85"/>
      <c r="S649" s="95"/>
      <c r="T649" s="86"/>
      <c r="U649" s="96"/>
      <c r="V649" s="97"/>
    </row>
    <row r="650" spans="1:22" ht="9" customHeight="1" x14ac:dyDescent="0.55000000000000004">
      <c r="A650" s="98"/>
      <c r="B650" s="99"/>
      <c r="C650" s="100"/>
      <c r="D650" s="99"/>
      <c r="E650" s="101"/>
      <c r="F650" s="102" t="str">
        <f>IF(H650="","",F647-H650)</f>
        <v/>
      </c>
      <c r="G650" s="103" t="str">
        <f>IF(I650="","",F647-I650)</f>
        <v/>
      </c>
      <c r="H650" s="104"/>
      <c r="I650" s="104"/>
      <c r="J650" s="105"/>
      <c r="K650" s="106" t="str">
        <f>IF(M650="","",K647-M650)</f>
        <v/>
      </c>
      <c r="L650" s="103" t="str">
        <f>IF(N650="","",K647-N650)</f>
        <v/>
      </c>
      <c r="M650" s="104"/>
      <c r="N650" s="107"/>
      <c r="O650" s="105"/>
      <c r="P650" s="102" t="str">
        <f>IF(R650="","",P647-R650)</f>
        <v/>
      </c>
      <c r="Q650" s="103" t="str">
        <f>IF(S650="","",P647-S650)</f>
        <v/>
      </c>
      <c r="R650" s="104"/>
      <c r="S650" s="104"/>
      <c r="T650" s="105"/>
      <c r="U650" s="108"/>
      <c r="V650" s="109"/>
    </row>
    <row r="651" spans="1:22" ht="9" customHeight="1" x14ac:dyDescent="0.55000000000000004">
      <c r="A651" s="19"/>
      <c r="B651" s="69"/>
      <c r="C651" s="70"/>
      <c r="D651" s="69"/>
      <c r="E651" s="71"/>
      <c r="F651" s="72"/>
      <c r="G651" s="73"/>
      <c r="H651" s="74"/>
      <c r="I651" s="75"/>
      <c r="J651" s="76"/>
      <c r="K651" s="72"/>
      <c r="L651" s="73"/>
      <c r="M651" s="74"/>
      <c r="N651" s="75"/>
      <c r="O651" s="76"/>
      <c r="P651" s="72"/>
      <c r="Q651" s="73"/>
      <c r="R651" s="74"/>
      <c r="S651" s="75"/>
      <c r="T651" s="76"/>
      <c r="U651" s="77" t="str">
        <f>IF(OR(F654="",P654=""),"",B651/(F654-P654))</f>
        <v/>
      </c>
      <c r="V651" s="78"/>
    </row>
    <row r="652" spans="1:22" ht="9" customHeight="1" x14ac:dyDescent="0.55000000000000004">
      <c r="A652" s="79"/>
      <c r="B652" s="80"/>
      <c r="C652" s="81"/>
      <c r="D652" s="80"/>
      <c r="E652" s="82"/>
      <c r="F652" s="83" t="str">
        <f>IF(H654="","",F651-H652)</f>
        <v/>
      </c>
      <c r="G652" s="84" t="str">
        <f>IF(I654="","",F651-I652)</f>
        <v/>
      </c>
      <c r="H652" s="85" t="str">
        <f>IF(OR($A654="集水",$A654="吸水"),0.4,"")</f>
        <v/>
      </c>
      <c r="I652" s="85" t="str">
        <f>IF(OR($A654="集水",$A654="吸水"),0.4,"")</f>
        <v/>
      </c>
      <c r="J652" s="86" t="str">
        <f>IF(G652="","",F652-G652)</f>
        <v/>
      </c>
      <c r="K652" s="83" t="str">
        <f>IF(M654="","",K651-M652)</f>
        <v/>
      </c>
      <c r="L652" s="87" t="str">
        <f>IF(N654="","",K651-N652)</f>
        <v/>
      </c>
      <c r="M652" s="85" t="str">
        <f>IF(M654="","",IF(OR($A654="集水",$A654="吸水"),0.4,""))</f>
        <v/>
      </c>
      <c r="N652" s="85" t="str">
        <f>IF(N654="","",IF(OR($A654="集水",$A654="吸水"),0.4,""))</f>
        <v/>
      </c>
      <c r="O652" s="86" t="str">
        <f>IF(L652="","",K652-L652)</f>
        <v/>
      </c>
      <c r="P652" s="83" t="str">
        <f>IF(R654="","",P651-R652)</f>
        <v/>
      </c>
      <c r="Q652" s="84" t="str">
        <f>IF(S654="","",P651-S652)</f>
        <v/>
      </c>
      <c r="R652" s="85" t="str">
        <f>IF(OR($A654="集水",$A654="吸水"),0.4,"")</f>
        <v/>
      </c>
      <c r="S652" s="85" t="str">
        <f>IF(OR($A654="集水",$A654="吸水"),0.4,"")</f>
        <v/>
      </c>
      <c r="T652" s="86" t="str">
        <f>IF(Q652="","",P652-Q652)</f>
        <v/>
      </c>
      <c r="U652" s="88"/>
      <c r="V652" s="89"/>
    </row>
    <row r="653" spans="1:22" ht="9" customHeight="1" x14ac:dyDescent="0.55000000000000004">
      <c r="A653" s="90"/>
      <c r="B653" s="91"/>
      <c r="C653" s="92" t="str">
        <f>IF(B651="","",B653-B651)</f>
        <v/>
      </c>
      <c r="D653" s="91"/>
      <c r="E653" s="93" t="str">
        <f>IF(D651="","",D653-D651)</f>
        <v/>
      </c>
      <c r="F653" s="94"/>
      <c r="G653" s="85"/>
      <c r="H653" s="85"/>
      <c r="I653" s="95"/>
      <c r="J653" s="86"/>
      <c r="K653" s="94"/>
      <c r="L653" s="85"/>
      <c r="M653" s="85"/>
      <c r="N653" s="95"/>
      <c r="O653" s="86"/>
      <c r="P653" s="94"/>
      <c r="Q653" s="85"/>
      <c r="R653" s="85"/>
      <c r="S653" s="95"/>
      <c r="T653" s="86"/>
      <c r="U653" s="96"/>
      <c r="V653" s="97"/>
    </row>
    <row r="654" spans="1:22" ht="9" customHeight="1" x14ac:dyDescent="0.55000000000000004">
      <c r="A654" s="98"/>
      <c r="B654" s="99"/>
      <c r="C654" s="100"/>
      <c r="D654" s="99"/>
      <c r="E654" s="101"/>
      <c r="F654" s="102" t="str">
        <f>IF(H654="","",F651-H654)</f>
        <v/>
      </c>
      <c r="G654" s="103" t="str">
        <f>IF(I654="","",F651-I654)</f>
        <v/>
      </c>
      <c r="H654" s="104"/>
      <c r="I654" s="104"/>
      <c r="J654" s="105"/>
      <c r="K654" s="106" t="str">
        <f>IF(M654="","",K651-M654)</f>
        <v/>
      </c>
      <c r="L654" s="103" t="str">
        <f>IF(N654="","",K651-N654)</f>
        <v/>
      </c>
      <c r="M654" s="104"/>
      <c r="N654" s="107"/>
      <c r="O654" s="105"/>
      <c r="P654" s="102" t="str">
        <f>IF(R654="","",P651-R654)</f>
        <v/>
      </c>
      <c r="Q654" s="103" t="str">
        <f>IF(S654="","",P651-S654)</f>
        <v/>
      </c>
      <c r="R654" s="104"/>
      <c r="S654" s="104"/>
      <c r="T654" s="105"/>
      <c r="U654" s="108"/>
      <c r="V654" s="109"/>
    </row>
    <row r="655" spans="1:22" ht="9" customHeight="1" x14ac:dyDescent="0.55000000000000004">
      <c r="A655" s="19"/>
      <c r="B655" s="69"/>
      <c r="C655" s="70"/>
      <c r="D655" s="69"/>
      <c r="E655" s="71"/>
      <c r="F655" s="72"/>
      <c r="G655" s="73"/>
      <c r="H655" s="74"/>
      <c r="I655" s="75"/>
      <c r="J655" s="76"/>
      <c r="K655" s="72"/>
      <c r="L655" s="73"/>
      <c r="M655" s="74"/>
      <c r="N655" s="75"/>
      <c r="O655" s="76"/>
      <c r="P655" s="72"/>
      <c r="Q655" s="73"/>
      <c r="R655" s="74"/>
      <c r="S655" s="75"/>
      <c r="T655" s="76"/>
      <c r="U655" s="77" t="str">
        <f>IF(OR(F658="",P658=""),"",B655/(F658-P658))</f>
        <v/>
      </c>
      <c r="V655" s="78"/>
    </row>
    <row r="656" spans="1:22" ht="9" customHeight="1" x14ac:dyDescent="0.55000000000000004">
      <c r="A656" s="79"/>
      <c r="B656" s="80"/>
      <c r="C656" s="81"/>
      <c r="D656" s="80"/>
      <c r="E656" s="82"/>
      <c r="F656" s="83" t="str">
        <f>IF(H658="","",F655-H656)</f>
        <v/>
      </c>
      <c r="G656" s="84" t="str">
        <f>IF(I658="","",F655-I656)</f>
        <v/>
      </c>
      <c r="H656" s="85" t="str">
        <f>IF(OR($A658="集水",$A658="吸水"),0.4,"")</f>
        <v/>
      </c>
      <c r="I656" s="85" t="str">
        <f>IF(OR($A658="集水",$A658="吸水"),0.4,"")</f>
        <v/>
      </c>
      <c r="J656" s="86" t="str">
        <f>IF(G656="","",F656-G656)</f>
        <v/>
      </c>
      <c r="K656" s="83" t="str">
        <f>IF(M658="","",K655-M656)</f>
        <v/>
      </c>
      <c r="L656" s="87" t="str">
        <f>IF(N658="","",K655-N656)</f>
        <v/>
      </c>
      <c r="M656" s="85" t="str">
        <f>IF(M658="","",IF(OR($A658="集水",$A658="吸水"),0.4,""))</f>
        <v/>
      </c>
      <c r="N656" s="85" t="str">
        <f>IF(N658="","",IF(OR($A658="集水",$A658="吸水"),0.4,""))</f>
        <v/>
      </c>
      <c r="O656" s="86" t="str">
        <f>IF(L656="","",K656-L656)</f>
        <v/>
      </c>
      <c r="P656" s="83" t="str">
        <f>IF(R658="","",P655-R656)</f>
        <v/>
      </c>
      <c r="Q656" s="84" t="str">
        <f>IF(S658="","",P655-S656)</f>
        <v/>
      </c>
      <c r="R656" s="85" t="str">
        <f>IF(OR($A658="集水",$A658="吸水"),0.4,"")</f>
        <v/>
      </c>
      <c r="S656" s="85" t="str">
        <f>IF(OR($A658="集水",$A658="吸水"),0.4,"")</f>
        <v/>
      </c>
      <c r="T656" s="86" t="str">
        <f>IF(Q656="","",P656-Q656)</f>
        <v/>
      </c>
      <c r="U656" s="88"/>
      <c r="V656" s="89"/>
    </row>
    <row r="657" spans="1:22" ht="9" customHeight="1" x14ac:dyDescent="0.55000000000000004">
      <c r="A657" s="90"/>
      <c r="B657" s="91"/>
      <c r="C657" s="92" t="str">
        <f>IF(B655="","",B657-B655)</f>
        <v/>
      </c>
      <c r="D657" s="91"/>
      <c r="E657" s="93" t="str">
        <f>IF(D655="","",D657-D655)</f>
        <v/>
      </c>
      <c r="F657" s="94"/>
      <c r="G657" s="85"/>
      <c r="H657" s="85"/>
      <c r="I657" s="95"/>
      <c r="J657" s="86"/>
      <c r="K657" s="94"/>
      <c r="L657" s="85"/>
      <c r="M657" s="85"/>
      <c r="N657" s="95"/>
      <c r="O657" s="86"/>
      <c r="P657" s="94"/>
      <c r="Q657" s="85"/>
      <c r="R657" s="85"/>
      <c r="S657" s="95"/>
      <c r="T657" s="86"/>
      <c r="U657" s="96"/>
      <c r="V657" s="97"/>
    </row>
    <row r="658" spans="1:22" ht="9" customHeight="1" x14ac:dyDescent="0.55000000000000004">
      <c r="A658" s="98"/>
      <c r="B658" s="99"/>
      <c r="C658" s="100"/>
      <c r="D658" s="99"/>
      <c r="E658" s="101"/>
      <c r="F658" s="102" t="str">
        <f>IF(H658="","",F655-H658)</f>
        <v/>
      </c>
      <c r="G658" s="103" t="str">
        <f>IF(I658="","",F655-I658)</f>
        <v/>
      </c>
      <c r="H658" s="104"/>
      <c r="I658" s="104"/>
      <c r="J658" s="105"/>
      <c r="K658" s="106" t="str">
        <f>IF(M658="","",K655-M658)</f>
        <v/>
      </c>
      <c r="L658" s="103" t="str">
        <f>IF(N658="","",K655-N658)</f>
        <v/>
      </c>
      <c r="M658" s="104"/>
      <c r="N658" s="107"/>
      <c r="O658" s="105"/>
      <c r="P658" s="102" t="str">
        <f>IF(R658="","",P655-R658)</f>
        <v/>
      </c>
      <c r="Q658" s="103" t="str">
        <f>IF(S658="","",P655-S658)</f>
        <v/>
      </c>
      <c r="R658" s="104"/>
      <c r="S658" s="104"/>
      <c r="T658" s="105"/>
      <c r="U658" s="108"/>
      <c r="V658" s="109"/>
    </row>
    <row r="659" spans="1:22" ht="9" customHeight="1" x14ac:dyDescent="0.55000000000000004">
      <c r="A659" s="19"/>
      <c r="B659" s="69"/>
      <c r="C659" s="70"/>
      <c r="D659" s="69"/>
      <c r="E659" s="71"/>
      <c r="F659" s="72"/>
      <c r="G659" s="73"/>
      <c r="H659" s="74"/>
      <c r="I659" s="75"/>
      <c r="J659" s="76"/>
      <c r="K659" s="72"/>
      <c r="L659" s="73"/>
      <c r="M659" s="74"/>
      <c r="N659" s="75"/>
      <c r="O659" s="76"/>
      <c r="P659" s="72"/>
      <c r="Q659" s="73"/>
      <c r="R659" s="74"/>
      <c r="S659" s="75"/>
      <c r="T659" s="76"/>
      <c r="U659" s="77" t="str">
        <f>IF(OR(F662="",P662=""),"",B659/(F662-P662))</f>
        <v/>
      </c>
      <c r="V659" s="78"/>
    </row>
    <row r="660" spans="1:22" ht="9" customHeight="1" x14ac:dyDescent="0.55000000000000004">
      <c r="A660" s="79"/>
      <c r="B660" s="80"/>
      <c r="C660" s="81"/>
      <c r="D660" s="80"/>
      <c r="E660" s="82"/>
      <c r="F660" s="83" t="str">
        <f>IF(H662="","",F659-H660)</f>
        <v/>
      </c>
      <c r="G660" s="84" t="str">
        <f>IF(I662="","",F659-I660)</f>
        <v/>
      </c>
      <c r="H660" s="85" t="str">
        <f>IF(OR($A662="集水",$A662="吸水"),0.4,"")</f>
        <v/>
      </c>
      <c r="I660" s="85" t="str">
        <f>IF(OR($A662="集水",$A662="吸水"),0.4,"")</f>
        <v/>
      </c>
      <c r="J660" s="86" t="str">
        <f>IF(G660="","",F660-G660)</f>
        <v/>
      </c>
      <c r="K660" s="83" t="str">
        <f>IF(M662="","",K659-M660)</f>
        <v/>
      </c>
      <c r="L660" s="87" t="str">
        <f>IF(N662="","",K659-N660)</f>
        <v/>
      </c>
      <c r="M660" s="85" t="str">
        <f>IF(M662="","",IF(OR($A662="集水",$A662="吸水"),0.4,""))</f>
        <v/>
      </c>
      <c r="N660" s="85" t="str">
        <f>IF(N662="","",IF(OR($A662="集水",$A662="吸水"),0.4,""))</f>
        <v/>
      </c>
      <c r="O660" s="86" t="str">
        <f>IF(L660="","",K660-L660)</f>
        <v/>
      </c>
      <c r="P660" s="83" t="str">
        <f>IF(R662="","",P659-R660)</f>
        <v/>
      </c>
      <c r="Q660" s="84" t="str">
        <f>IF(S662="","",P659-S660)</f>
        <v/>
      </c>
      <c r="R660" s="85" t="str">
        <f>IF(OR($A662="集水",$A662="吸水"),0.4,"")</f>
        <v/>
      </c>
      <c r="S660" s="85" t="str">
        <f>IF(OR($A662="集水",$A662="吸水"),0.4,"")</f>
        <v/>
      </c>
      <c r="T660" s="86" t="str">
        <f>IF(Q660="","",P660-Q660)</f>
        <v/>
      </c>
      <c r="U660" s="88"/>
      <c r="V660" s="89"/>
    </row>
    <row r="661" spans="1:22" ht="9" customHeight="1" x14ac:dyDescent="0.55000000000000004">
      <c r="A661" s="90"/>
      <c r="B661" s="91"/>
      <c r="C661" s="92" t="str">
        <f>IF(B659="","",B661-B659)</f>
        <v/>
      </c>
      <c r="D661" s="91"/>
      <c r="E661" s="93" t="str">
        <f>IF(D659="","",D661-D659)</f>
        <v/>
      </c>
      <c r="F661" s="94"/>
      <c r="G661" s="85"/>
      <c r="H661" s="85"/>
      <c r="I661" s="95"/>
      <c r="J661" s="86"/>
      <c r="K661" s="94"/>
      <c r="L661" s="85"/>
      <c r="M661" s="85"/>
      <c r="N661" s="95"/>
      <c r="O661" s="86"/>
      <c r="P661" s="94"/>
      <c r="Q661" s="85"/>
      <c r="R661" s="85"/>
      <c r="S661" s="95"/>
      <c r="T661" s="86"/>
      <c r="U661" s="96"/>
      <c r="V661" s="97"/>
    </row>
    <row r="662" spans="1:22" ht="9" customHeight="1" x14ac:dyDescent="0.55000000000000004">
      <c r="A662" s="98"/>
      <c r="B662" s="99"/>
      <c r="C662" s="100"/>
      <c r="D662" s="99"/>
      <c r="E662" s="101"/>
      <c r="F662" s="102" t="str">
        <f>IF(H662="","",F659-H662)</f>
        <v/>
      </c>
      <c r="G662" s="103" t="str">
        <f>IF(I662="","",F659-I662)</f>
        <v/>
      </c>
      <c r="H662" s="104"/>
      <c r="I662" s="104"/>
      <c r="J662" s="105"/>
      <c r="K662" s="106" t="str">
        <f>IF(M662="","",K659-M662)</f>
        <v/>
      </c>
      <c r="L662" s="103" t="str">
        <f>IF(N662="","",K659-N662)</f>
        <v/>
      </c>
      <c r="M662" s="104"/>
      <c r="N662" s="107"/>
      <c r="O662" s="105"/>
      <c r="P662" s="102" t="str">
        <f>IF(R662="","",P659-R662)</f>
        <v/>
      </c>
      <c r="Q662" s="103" t="str">
        <f>IF(S662="","",P659-S662)</f>
        <v/>
      </c>
      <c r="R662" s="104"/>
      <c r="S662" s="104"/>
      <c r="T662" s="105"/>
      <c r="U662" s="108"/>
      <c r="V662" s="109"/>
    </row>
    <row r="663" spans="1:22" ht="9" customHeight="1" x14ac:dyDescent="0.55000000000000004">
      <c r="A663" s="19"/>
      <c r="B663" s="69"/>
      <c r="C663" s="70"/>
      <c r="D663" s="69"/>
      <c r="E663" s="71"/>
      <c r="F663" s="72"/>
      <c r="G663" s="73"/>
      <c r="H663" s="74"/>
      <c r="I663" s="75"/>
      <c r="J663" s="76"/>
      <c r="K663" s="72"/>
      <c r="L663" s="73"/>
      <c r="M663" s="74"/>
      <c r="N663" s="75"/>
      <c r="O663" s="76"/>
      <c r="P663" s="72"/>
      <c r="Q663" s="73"/>
      <c r="R663" s="74"/>
      <c r="S663" s="75"/>
      <c r="T663" s="76"/>
      <c r="U663" s="77" t="str">
        <f>IF(OR(F666="",P666=""),"",B663/(F666-P666))</f>
        <v/>
      </c>
      <c r="V663" s="78"/>
    </row>
    <row r="664" spans="1:22" ht="9" customHeight="1" x14ac:dyDescent="0.55000000000000004">
      <c r="A664" s="79"/>
      <c r="B664" s="80"/>
      <c r="C664" s="81"/>
      <c r="D664" s="80"/>
      <c r="E664" s="82"/>
      <c r="F664" s="83" t="str">
        <f>IF(H666="","",F663-H664)</f>
        <v/>
      </c>
      <c r="G664" s="84" t="str">
        <f>IF(I666="","",F663-I664)</f>
        <v/>
      </c>
      <c r="H664" s="85" t="str">
        <f>IF(OR($A666="集水",$A666="吸水"),0.4,"")</f>
        <v/>
      </c>
      <c r="I664" s="85" t="str">
        <f>IF(OR($A666="集水",$A666="吸水"),0.4,"")</f>
        <v/>
      </c>
      <c r="J664" s="86" t="str">
        <f>IF(G664="","",F664-G664)</f>
        <v/>
      </c>
      <c r="K664" s="83" t="str">
        <f>IF(M666="","",K663-M664)</f>
        <v/>
      </c>
      <c r="L664" s="87" t="str">
        <f>IF(N666="","",K663-N664)</f>
        <v/>
      </c>
      <c r="M664" s="85" t="str">
        <f>IF(M666="","",IF(OR($A666="集水",$A666="吸水"),0.4,""))</f>
        <v/>
      </c>
      <c r="N664" s="85" t="str">
        <f>IF(N666="","",IF(OR($A666="集水",$A666="吸水"),0.4,""))</f>
        <v/>
      </c>
      <c r="O664" s="86" t="str">
        <f>IF(L664="","",K664-L664)</f>
        <v/>
      </c>
      <c r="P664" s="83" t="str">
        <f>IF(R666="","",P663-R664)</f>
        <v/>
      </c>
      <c r="Q664" s="84" t="str">
        <f>IF(S666="","",P663-S664)</f>
        <v/>
      </c>
      <c r="R664" s="85" t="str">
        <f>IF(OR($A666="集水",$A666="吸水"),0.4,"")</f>
        <v/>
      </c>
      <c r="S664" s="85" t="str">
        <f>IF(OR($A666="集水",$A666="吸水"),0.4,"")</f>
        <v/>
      </c>
      <c r="T664" s="86" t="str">
        <f>IF(Q664="","",P664-Q664)</f>
        <v/>
      </c>
      <c r="U664" s="88"/>
      <c r="V664" s="89"/>
    </row>
    <row r="665" spans="1:22" ht="9" customHeight="1" x14ac:dyDescent="0.55000000000000004">
      <c r="A665" s="90"/>
      <c r="B665" s="91"/>
      <c r="C665" s="92" t="str">
        <f>IF(B663="","",B665-B663)</f>
        <v/>
      </c>
      <c r="D665" s="91"/>
      <c r="E665" s="93" t="str">
        <f>IF(D663="","",D665-D663)</f>
        <v/>
      </c>
      <c r="F665" s="94"/>
      <c r="G665" s="85"/>
      <c r="H665" s="85"/>
      <c r="I665" s="95"/>
      <c r="J665" s="86"/>
      <c r="K665" s="94"/>
      <c r="L665" s="85"/>
      <c r="M665" s="85"/>
      <c r="N665" s="95"/>
      <c r="O665" s="86"/>
      <c r="P665" s="94"/>
      <c r="Q665" s="85"/>
      <c r="R665" s="85"/>
      <c r="S665" s="95"/>
      <c r="T665" s="86"/>
      <c r="U665" s="96"/>
      <c r="V665" s="97"/>
    </row>
    <row r="666" spans="1:22" ht="9" customHeight="1" x14ac:dyDescent="0.55000000000000004">
      <c r="A666" s="98"/>
      <c r="B666" s="99"/>
      <c r="C666" s="100"/>
      <c r="D666" s="99"/>
      <c r="E666" s="101"/>
      <c r="F666" s="102" t="str">
        <f>IF(H666="","",F663-H666)</f>
        <v/>
      </c>
      <c r="G666" s="103" t="str">
        <f>IF(I666="","",F663-I666)</f>
        <v/>
      </c>
      <c r="H666" s="104"/>
      <c r="I666" s="104"/>
      <c r="J666" s="105"/>
      <c r="K666" s="106" t="str">
        <f>IF(M666="","",K663-M666)</f>
        <v/>
      </c>
      <c r="L666" s="103" t="str">
        <f>IF(N666="","",K663-N666)</f>
        <v/>
      </c>
      <c r="M666" s="104"/>
      <c r="N666" s="107"/>
      <c r="O666" s="105"/>
      <c r="P666" s="102" t="str">
        <f>IF(R666="","",P663-R666)</f>
        <v/>
      </c>
      <c r="Q666" s="103" t="str">
        <f>IF(S666="","",P663-S666)</f>
        <v/>
      </c>
      <c r="R666" s="104"/>
      <c r="S666" s="104"/>
      <c r="T666" s="105"/>
      <c r="U666" s="108"/>
      <c r="V666" s="109"/>
    </row>
    <row r="667" spans="1:22" ht="9" customHeight="1" x14ac:dyDescent="0.55000000000000004">
      <c r="A667" s="19"/>
      <c r="B667" s="69"/>
      <c r="C667" s="70"/>
      <c r="D667" s="69"/>
      <c r="E667" s="71"/>
      <c r="F667" s="72"/>
      <c r="G667" s="73"/>
      <c r="H667" s="74"/>
      <c r="I667" s="75"/>
      <c r="J667" s="76"/>
      <c r="K667" s="72"/>
      <c r="L667" s="73"/>
      <c r="M667" s="74"/>
      <c r="N667" s="75"/>
      <c r="O667" s="76"/>
      <c r="P667" s="72"/>
      <c r="Q667" s="73"/>
      <c r="R667" s="74"/>
      <c r="S667" s="75"/>
      <c r="T667" s="76"/>
      <c r="U667" s="77" t="str">
        <f>IF(OR(F670="",P670=""),"",B667/(F670-P670))</f>
        <v/>
      </c>
      <c r="V667" s="78"/>
    </row>
    <row r="668" spans="1:22" ht="9" customHeight="1" x14ac:dyDescent="0.55000000000000004">
      <c r="A668" s="79"/>
      <c r="B668" s="80"/>
      <c r="C668" s="81"/>
      <c r="D668" s="80"/>
      <c r="E668" s="82"/>
      <c r="F668" s="83" t="str">
        <f>IF(H670="","",F667-H668)</f>
        <v/>
      </c>
      <c r="G668" s="84" t="str">
        <f>IF(I670="","",F667-I668)</f>
        <v/>
      </c>
      <c r="H668" s="85" t="str">
        <f>IF(OR($A670="集水",$A670="吸水"),0.4,"")</f>
        <v/>
      </c>
      <c r="I668" s="85" t="str">
        <f>IF(OR($A670="集水",$A670="吸水"),0.4,"")</f>
        <v/>
      </c>
      <c r="J668" s="86" t="str">
        <f>IF(G668="","",F668-G668)</f>
        <v/>
      </c>
      <c r="K668" s="83" t="str">
        <f>IF(M670="","",K667-M668)</f>
        <v/>
      </c>
      <c r="L668" s="87" t="str">
        <f>IF(N670="","",K667-N668)</f>
        <v/>
      </c>
      <c r="M668" s="85" t="str">
        <f>IF(M670="","",IF(OR($A670="集水",$A670="吸水"),0.4,""))</f>
        <v/>
      </c>
      <c r="N668" s="85" t="str">
        <f>IF(N670="","",IF(OR($A670="集水",$A670="吸水"),0.4,""))</f>
        <v/>
      </c>
      <c r="O668" s="86" t="str">
        <f>IF(L668="","",K668-L668)</f>
        <v/>
      </c>
      <c r="P668" s="83" t="str">
        <f>IF(R670="","",P667-R668)</f>
        <v/>
      </c>
      <c r="Q668" s="84" t="str">
        <f>IF(S670="","",P667-S668)</f>
        <v/>
      </c>
      <c r="R668" s="85" t="str">
        <f>IF(OR($A670="集水",$A670="吸水"),0.4,"")</f>
        <v/>
      </c>
      <c r="S668" s="85" t="str">
        <f>IF(OR($A670="集水",$A670="吸水"),0.4,"")</f>
        <v/>
      </c>
      <c r="T668" s="86" t="str">
        <f>IF(Q668="","",P668-Q668)</f>
        <v/>
      </c>
      <c r="U668" s="88"/>
      <c r="V668" s="89"/>
    </row>
    <row r="669" spans="1:22" ht="9" customHeight="1" x14ac:dyDescent="0.55000000000000004">
      <c r="A669" s="90"/>
      <c r="B669" s="91"/>
      <c r="C669" s="92" t="str">
        <f>IF(B667="","",B669-B667)</f>
        <v/>
      </c>
      <c r="D669" s="91"/>
      <c r="E669" s="93" t="str">
        <f>IF(D667="","",D669-D667)</f>
        <v/>
      </c>
      <c r="F669" s="94"/>
      <c r="G669" s="85"/>
      <c r="H669" s="85"/>
      <c r="I669" s="95"/>
      <c r="J669" s="86"/>
      <c r="K669" s="94"/>
      <c r="L669" s="85"/>
      <c r="M669" s="85"/>
      <c r="N669" s="95"/>
      <c r="O669" s="86"/>
      <c r="P669" s="94"/>
      <c r="Q669" s="85"/>
      <c r="R669" s="85"/>
      <c r="S669" s="95"/>
      <c r="T669" s="86"/>
      <c r="U669" s="96"/>
      <c r="V669" s="97"/>
    </row>
    <row r="670" spans="1:22" ht="9" customHeight="1" x14ac:dyDescent="0.55000000000000004">
      <c r="A670" s="98"/>
      <c r="B670" s="99"/>
      <c r="C670" s="100"/>
      <c r="D670" s="99"/>
      <c r="E670" s="101"/>
      <c r="F670" s="102" t="str">
        <f>IF(H670="","",F667-H670)</f>
        <v/>
      </c>
      <c r="G670" s="103" t="str">
        <f>IF(I670="","",F667-I670)</f>
        <v/>
      </c>
      <c r="H670" s="104"/>
      <c r="I670" s="104"/>
      <c r="J670" s="105"/>
      <c r="K670" s="106" t="str">
        <f>IF(M670="","",K667-M670)</f>
        <v/>
      </c>
      <c r="L670" s="103" t="str">
        <f>IF(N670="","",K667-N670)</f>
        <v/>
      </c>
      <c r="M670" s="104"/>
      <c r="N670" s="107"/>
      <c r="O670" s="105"/>
      <c r="P670" s="102" t="str">
        <f>IF(R670="","",P667-R670)</f>
        <v/>
      </c>
      <c r="Q670" s="103" t="str">
        <f>IF(S670="","",P667-S670)</f>
        <v/>
      </c>
      <c r="R670" s="104"/>
      <c r="S670" s="104"/>
      <c r="T670" s="105"/>
      <c r="U670" s="108"/>
      <c r="V670" s="109"/>
    </row>
    <row r="671" spans="1:22" ht="9" customHeight="1" x14ac:dyDescent="0.55000000000000004">
      <c r="A671" s="19"/>
      <c r="B671" s="69"/>
      <c r="C671" s="70"/>
      <c r="D671" s="69"/>
      <c r="E671" s="71"/>
      <c r="F671" s="72"/>
      <c r="G671" s="73"/>
      <c r="H671" s="74"/>
      <c r="I671" s="75"/>
      <c r="J671" s="76"/>
      <c r="K671" s="72"/>
      <c r="L671" s="73"/>
      <c r="M671" s="74"/>
      <c r="N671" s="75"/>
      <c r="O671" s="76"/>
      <c r="P671" s="72"/>
      <c r="Q671" s="73"/>
      <c r="R671" s="74"/>
      <c r="S671" s="75"/>
      <c r="T671" s="76"/>
      <c r="U671" s="77" t="str">
        <f>IF(OR(F674="",P674=""),"",B671/(F674-P674))</f>
        <v/>
      </c>
      <c r="V671" s="78"/>
    </row>
    <row r="672" spans="1:22" ht="9" customHeight="1" x14ac:dyDescent="0.55000000000000004">
      <c r="A672" s="79"/>
      <c r="B672" s="80"/>
      <c r="C672" s="81"/>
      <c r="D672" s="80"/>
      <c r="E672" s="82"/>
      <c r="F672" s="83" t="str">
        <f>IF(H674="","",F671-H672)</f>
        <v/>
      </c>
      <c r="G672" s="84" t="str">
        <f>IF(I674="","",F671-I672)</f>
        <v/>
      </c>
      <c r="H672" s="85" t="str">
        <f>IF(OR($A674="集水",$A674="吸水"),0.4,"")</f>
        <v/>
      </c>
      <c r="I672" s="85" t="str">
        <f>IF(OR($A674="集水",$A674="吸水"),0.4,"")</f>
        <v/>
      </c>
      <c r="J672" s="86" t="str">
        <f>IF(G672="","",F672-G672)</f>
        <v/>
      </c>
      <c r="K672" s="83" t="str">
        <f>IF(M674="","",K671-M672)</f>
        <v/>
      </c>
      <c r="L672" s="87" t="str">
        <f>IF(N674="","",K671-N672)</f>
        <v/>
      </c>
      <c r="M672" s="85" t="str">
        <f>IF(M674="","",IF(OR($A674="集水",$A674="吸水"),0.4,""))</f>
        <v/>
      </c>
      <c r="N672" s="85" t="str">
        <f>IF(N674="","",IF(OR($A674="集水",$A674="吸水"),0.4,""))</f>
        <v/>
      </c>
      <c r="O672" s="86" t="str">
        <f>IF(L672="","",K672-L672)</f>
        <v/>
      </c>
      <c r="P672" s="83" t="str">
        <f>IF(R674="","",P671-R672)</f>
        <v/>
      </c>
      <c r="Q672" s="84" t="str">
        <f>IF(S674="","",P671-S672)</f>
        <v/>
      </c>
      <c r="R672" s="85" t="str">
        <f>IF(OR($A674="集水",$A674="吸水"),0.4,"")</f>
        <v/>
      </c>
      <c r="S672" s="85" t="str">
        <f>IF(OR($A674="集水",$A674="吸水"),0.4,"")</f>
        <v/>
      </c>
      <c r="T672" s="86" t="str">
        <f>IF(Q672="","",P672-Q672)</f>
        <v/>
      </c>
      <c r="U672" s="88"/>
      <c r="V672" s="89"/>
    </row>
    <row r="673" spans="1:22" ht="9" customHeight="1" x14ac:dyDescent="0.55000000000000004">
      <c r="A673" s="90"/>
      <c r="B673" s="91"/>
      <c r="C673" s="92" t="str">
        <f>IF(B671="","",B673-B671)</f>
        <v/>
      </c>
      <c r="D673" s="91"/>
      <c r="E673" s="93" t="str">
        <f>IF(D671="","",D673-D671)</f>
        <v/>
      </c>
      <c r="F673" s="94"/>
      <c r="G673" s="85"/>
      <c r="H673" s="85"/>
      <c r="I673" s="95"/>
      <c r="J673" s="86"/>
      <c r="K673" s="94"/>
      <c r="L673" s="85"/>
      <c r="M673" s="85"/>
      <c r="N673" s="95"/>
      <c r="O673" s="86"/>
      <c r="P673" s="94"/>
      <c r="Q673" s="85"/>
      <c r="R673" s="85"/>
      <c r="S673" s="95"/>
      <c r="T673" s="86"/>
      <c r="U673" s="96"/>
      <c r="V673" s="97"/>
    </row>
    <row r="674" spans="1:22" ht="9" customHeight="1" x14ac:dyDescent="0.55000000000000004">
      <c r="A674" s="98"/>
      <c r="B674" s="99"/>
      <c r="C674" s="100"/>
      <c r="D674" s="99"/>
      <c r="E674" s="101"/>
      <c r="F674" s="102" t="str">
        <f>IF(H674="","",F671-H674)</f>
        <v/>
      </c>
      <c r="G674" s="103" t="str">
        <f>IF(I674="","",F671-I674)</f>
        <v/>
      </c>
      <c r="H674" s="104"/>
      <c r="I674" s="104"/>
      <c r="J674" s="105"/>
      <c r="K674" s="106" t="str">
        <f>IF(M674="","",K671-M674)</f>
        <v/>
      </c>
      <c r="L674" s="103" t="str">
        <f>IF(N674="","",K671-N674)</f>
        <v/>
      </c>
      <c r="M674" s="104"/>
      <c r="N674" s="107"/>
      <c r="O674" s="105"/>
      <c r="P674" s="102" t="str">
        <f>IF(R674="","",P671-R674)</f>
        <v/>
      </c>
      <c r="Q674" s="103" t="str">
        <f>IF(S674="","",P671-S674)</f>
        <v/>
      </c>
      <c r="R674" s="104"/>
      <c r="S674" s="104"/>
      <c r="T674" s="105"/>
      <c r="U674" s="108"/>
      <c r="V674" s="109"/>
    </row>
    <row r="675" spans="1:22" ht="9" customHeight="1" x14ac:dyDescent="0.55000000000000004">
      <c r="A675" s="19"/>
      <c r="B675" s="69"/>
      <c r="C675" s="70"/>
      <c r="D675" s="69"/>
      <c r="E675" s="71"/>
      <c r="F675" s="72"/>
      <c r="G675" s="73"/>
      <c r="H675" s="74"/>
      <c r="I675" s="75"/>
      <c r="J675" s="76"/>
      <c r="K675" s="72"/>
      <c r="L675" s="73"/>
      <c r="M675" s="74"/>
      <c r="N675" s="75"/>
      <c r="O675" s="76"/>
      <c r="P675" s="72"/>
      <c r="Q675" s="73"/>
      <c r="R675" s="74"/>
      <c r="S675" s="75"/>
      <c r="T675" s="76"/>
      <c r="U675" s="77" t="str">
        <f>IF(OR(F678="",P678=""),"",B675/(F678-P678))</f>
        <v/>
      </c>
      <c r="V675" s="78"/>
    </row>
    <row r="676" spans="1:22" ht="9" customHeight="1" x14ac:dyDescent="0.55000000000000004">
      <c r="A676" s="79"/>
      <c r="B676" s="80"/>
      <c r="C676" s="81"/>
      <c r="D676" s="80"/>
      <c r="E676" s="82"/>
      <c r="F676" s="83" t="str">
        <f>IF(H678="","",F675-H676)</f>
        <v/>
      </c>
      <c r="G676" s="84" t="str">
        <f>IF(I678="","",F675-I676)</f>
        <v/>
      </c>
      <c r="H676" s="85" t="str">
        <f>IF(OR($A678="集水",$A678="吸水"),0.4,"")</f>
        <v/>
      </c>
      <c r="I676" s="85" t="str">
        <f>IF(OR($A678="集水",$A678="吸水"),0.4,"")</f>
        <v/>
      </c>
      <c r="J676" s="86" t="str">
        <f>IF(G676="","",F676-G676)</f>
        <v/>
      </c>
      <c r="K676" s="83" t="str">
        <f>IF(M678="","",K675-M676)</f>
        <v/>
      </c>
      <c r="L676" s="87" t="str">
        <f>IF(N678="","",K675-N676)</f>
        <v/>
      </c>
      <c r="M676" s="85" t="str">
        <f>IF(M678="","",IF(OR($A678="集水",$A678="吸水"),0.4,""))</f>
        <v/>
      </c>
      <c r="N676" s="85" t="str">
        <f>IF(N678="","",IF(OR($A678="集水",$A678="吸水"),0.4,""))</f>
        <v/>
      </c>
      <c r="O676" s="86" t="str">
        <f>IF(L676="","",K676-L676)</f>
        <v/>
      </c>
      <c r="P676" s="83" t="str">
        <f>IF(R678="","",P675-R676)</f>
        <v/>
      </c>
      <c r="Q676" s="84" t="str">
        <f>IF(S678="","",P675-S676)</f>
        <v/>
      </c>
      <c r="R676" s="85" t="str">
        <f>IF(OR($A678="集水",$A678="吸水"),0.4,"")</f>
        <v/>
      </c>
      <c r="S676" s="85" t="str">
        <f>IF(OR($A678="集水",$A678="吸水"),0.4,"")</f>
        <v/>
      </c>
      <c r="T676" s="86" t="str">
        <f>IF(Q676="","",P676-Q676)</f>
        <v/>
      </c>
      <c r="U676" s="88"/>
      <c r="V676" s="89"/>
    </row>
    <row r="677" spans="1:22" ht="9" customHeight="1" x14ac:dyDescent="0.55000000000000004">
      <c r="A677" s="90"/>
      <c r="B677" s="91"/>
      <c r="C677" s="92" t="str">
        <f>IF(B675="","",B677-B675)</f>
        <v/>
      </c>
      <c r="D677" s="91"/>
      <c r="E677" s="93" t="str">
        <f>IF(D675="","",D677-D675)</f>
        <v/>
      </c>
      <c r="F677" s="94"/>
      <c r="G677" s="85"/>
      <c r="H677" s="85"/>
      <c r="I677" s="95"/>
      <c r="J677" s="86"/>
      <c r="K677" s="94"/>
      <c r="L677" s="85"/>
      <c r="M677" s="85"/>
      <c r="N677" s="95"/>
      <c r="O677" s="86"/>
      <c r="P677" s="94"/>
      <c r="Q677" s="85"/>
      <c r="R677" s="85"/>
      <c r="S677" s="95"/>
      <c r="T677" s="86"/>
      <c r="U677" s="96"/>
      <c r="V677" s="97"/>
    </row>
    <row r="678" spans="1:22" ht="9" customHeight="1" x14ac:dyDescent="0.55000000000000004">
      <c r="A678" s="98"/>
      <c r="B678" s="99"/>
      <c r="C678" s="100"/>
      <c r="D678" s="99"/>
      <c r="E678" s="101"/>
      <c r="F678" s="102" t="str">
        <f>IF(H678="","",F675-H678)</f>
        <v/>
      </c>
      <c r="G678" s="103" t="str">
        <f>IF(I678="","",F675-I678)</f>
        <v/>
      </c>
      <c r="H678" s="104"/>
      <c r="I678" s="104"/>
      <c r="J678" s="105"/>
      <c r="K678" s="106" t="str">
        <f>IF(M678="","",K675-M678)</f>
        <v/>
      </c>
      <c r="L678" s="103" t="str">
        <f>IF(N678="","",K675-N678)</f>
        <v/>
      </c>
      <c r="M678" s="104"/>
      <c r="N678" s="107"/>
      <c r="O678" s="105"/>
      <c r="P678" s="102" t="str">
        <f>IF(R678="","",P675-R678)</f>
        <v/>
      </c>
      <c r="Q678" s="103" t="str">
        <f>IF(S678="","",P675-S678)</f>
        <v/>
      </c>
      <c r="R678" s="104"/>
      <c r="S678" s="104"/>
      <c r="T678" s="105"/>
      <c r="U678" s="108"/>
      <c r="V678" s="109"/>
    </row>
    <row r="679" spans="1:22" ht="9" customHeight="1" x14ac:dyDescent="0.55000000000000004">
      <c r="A679" s="19"/>
      <c r="B679" s="69"/>
      <c r="C679" s="70"/>
      <c r="D679" s="69"/>
      <c r="E679" s="71"/>
      <c r="F679" s="72"/>
      <c r="G679" s="73"/>
      <c r="H679" s="74"/>
      <c r="I679" s="75"/>
      <c r="J679" s="76"/>
      <c r="K679" s="72"/>
      <c r="L679" s="73"/>
      <c r="M679" s="74"/>
      <c r="N679" s="75"/>
      <c r="O679" s="76"/>
      <c r="P679" s="72"/>
      <c r="Q679" s="73"/>
      <c r="R679" s="74"/>
      <c r="S679" s="75"/>
      <c r="T679" s="76"/>
      <c r="U679" s="77" t="str">
        <f>IF(OR(F682="",P682=""),"",B679/(F682-P682))</f>
        <v/>
      </c>
      <c r="V679" s="78"/>
    </row>
    <row r="680" spans="1:22" ht="9" customHeight="1" x14ac:dyDescent="0.55000000000000004">
      <c r="A680" s="79"/>
      <c r="B680" s="80"/>
      <c r="C680" s="81"/>
      <c r="D680" s="80"/>
      <c r="E680" s="82"/>
      <c r="F680" s="83" t="str">
        <f>IF(H682="","",F679-H680)</f>
        <v/>
      </c>
      <c r="G680" s="84" t="str">
        <f>IF(I682="","",F679-I680)</f>
        <v/>
      </c>
      <c r="H680" s="85" t="str">
        <f>IF(OR($A682="集水",$A682="吸水"),0.4,"")</f>
        <v/>
      </c>
      <c r="I680" s="85" t="str">
        <f>IF(OR($A682="集水",$A682="吸水"),0.4,"")</f>
        <v/>
      </c>
      <c r="J680" s="86" t="str">
        <f>IF(G680="","",F680-G680)</f>
        <v/>
      </c>
      <c r="K680" s="83" t="str">
        <f>IF(M682="","",K679-M680)</f>
        <v/>
      </c>
      <c r="L680" s="87" t="str">
        <f>IF(N682="","",K679-N680)</f>
        <v/>
      </c>
      <c r="M680" s="85" t="str">
        <f>IF(M682="","",IF(OR($A682="集水",$A682="吸水"),0.4,""))</f>
        <v/>
      </c>
      <c r="N680" s="85" t="str">
        <f>IF(N682="","",IF(OR($A682="集水",$A682="吸水"),0.4,""))</f>
        <v/>
      </c>
      <c r="O680" s="86" t="str">
        <f>IF(L680="","",K680-L680)</f>
        <v/>
      </c>
      <c r="P680" s="83" t="str">
        <f>IF(R682="","",P679-R680)</f>
        <v/>
      </c>
      <c r="Q680" s="84" t="str">
        <f>IF(S682="","",P679-S680)</f>
        <v/>
      </c>
      <c r="R680" s="85" t="str">
        <f>IF(OR($A682="集水",$A682="吸水"),0.4,"")</f>
        <v/>
      </c>
      <c r="S680" s="85" t="str">
        <f>IF(OR($A682="集水",$A682="吸水"),0.4,"")</f>
        <v/>
      </c>
      <c r="T680" s="86" t="str">
        <f>IF(Q680="","",P680-Q680)</f>
        <v/>
      </c>
      <c r="U680" s="88"/>
      <c r="V680" s="89"/>
    </row>
    <row r="681" spans="1:22" ht="9" customHeight="1" x14ac:dyDescent="0.55000000000000004">
      <c r="A681" s="90"/>
      <c r="B681" s="91"/>
      <c r="C681" s="92" t="str">
        <f>IF(B679="","",B681-B679)</f>
        <v/>
      </c>
      <c r="D681" s="91"/>
      <c r="E681" s="93" t="str">
        <f>IF(D679="","",D681-D679)</f>
        <v/>
      </c>
      <c r="F681" s="94"/>
      <c r="G681" s="85"/>
      <c r="H681" s="85"/>
      <c r="I681" s="95"/>
      <c r="J681" s="86"/>
      <c r="K681" s="94"/>
      <c r="L681" s="85"/>
      <c r="M681" s="85"/>
      <c r="N681" s="95"/>
      <c r="O681" s="86"/>
      <c r="P681" s="94"/>
      <c r="Q681" s="85"/>
      <c r="R681" s="85"/>
      <c r="S681" s="95"/>
      <c r="T681" s="86"/>
      <c r="U681" s="96"/>
      <c r="V681" s="97"/>
    </row>
    <row r="682" spans="1:22" ht="9" customHeight="1" x14ac:dyDescent="0.55000000000000004">
      <c r="A682" s="98"/>
      <c r="B682" s="99"/>
      <c r="C682" s="100"/>
      <c r="D682" s="99"/>
      <c r="E682" s="101"/>
      <c r="F682" s="102" t="str">
        <f>IF(H682="","",F679-H682)</f>
        <v/>
      </c>
      <c r="G682" s="103" t="str">
        <f>IF(I682="","",F679-I682)</f>
        <v/>
      </c>
      <c r="H682" s="104"/>
      <c r="I682" s="104"/>
      <c r="J682" s="105"/>
      <c r="K682" s="106" t="str">
        <f>IF(M682="","",K679-M682)</f>
        <v/>
      </c>
      <c r="L682" s="103" t="str">
        <f>IF(N682="","",K679-N682)</f>
        <v/>
      </c>
      <c r="M682" s="104"/>
      <c r="N682" s="107"/>
      <c r="O682" s="105"/>
      <c r="P682" s="102" t="str">
        <f>IF(R682="","",P679-R682)</f>
        <v/>
      </c>
      <c r="Q682" s="103" t="str">
        <f>IF(S682="","",P679-S682)</f>
        <v/>
      </c>
      <c r="R682" s="104"/>
      <c r="S682" s="104"/>
      <c r="T682" s="105"/>
      <c r="U682" s="108"/>
      <c r="V682" s="109"/>
    </row>
    <row r="683" spans="1:22" ht="9" customHeight="1" x14ac:dyDescent="0.55000000000000004">
      <c r="A683" s="19"/>
      <c r="B683" s="69"/>
      <c r="C683" s="70"/>
      <c r="D683" s="69"/>
      <c r="E683" s="71"/>
      <c r="F683" s="72"/>
      <c r="G683" s="73"/>
      <c r="H683" s="74"/>
      <c r="I683" s="75"/>
      <c r="J683" s="76"/>
      <c r="K683" s="72"/>
      <c r="L683" s="73"/>
      <c r="M683" s="74"/>
      <c r="N683" s="75"/>
      <c r="O683" s="76"/>
      <c r="P683" s="72"/>
      <c r="Q683" s="73"/>
      <c r="R683" s="74"/>
      <c r="S683" s="75"/>
      <c r="T683" s="76"/>
      <c r="U683" s="77" t="str">
        <f>IF(OR(F686="",P686=""),"",B683/(F686-P686))</f>
        <v/>
      </c>
      <c r="V683" s="78"/>
    </row>
    <row r="684" spans="1:22" ht="9" customHeight="1" x14ac:dyDescent="0.55000000000000004">
      <c r="A684" s="79"/>
      <c r="B684" s="80"/>
      <c r="C684" s="81"/>
      <c r="D684" s="80"/>
      <c r="E684" s="82"/>
      <c r="F684" s="83" t="str">
        <f>IF(H686="","",F683-H684)</f>
        <v/>
      </c>
      <c r="G684" s="84" t="str">
        <f>IF(I686="","",F683-I684)</f>
        <v/>
      </c>
      <c r="H684" s="85" t="str">
        <f>IF(OR($A686="集水",$A686="吸水"),0.4,"")</f>
        <v/>
      </c>
      <c r="I684" s="85" t="str">
        <f>IF(OR($A686="集水",$A686="吸水"),0.4,"")</f>
        <v/>
      </c>
      <c r="J684" s="86" t="str">
        <f>IF(G684="","",F684-G684)</f>
        <v/>
      </c>
      <c r="K684" s="83" t="str">
        <f>IF(M686="","",K683-M684)</f>
        <v/>
      </c>
      <c r="L684" s="87" t="str">
        <f>IF(N686="","",K683-N684)</f>
        <v/>
      </c>
      <c r="M684" s="85" t="str">
        <f>IF(M686="","",IF(OR($A686="集水",$A686="吸水"),0.4,""))</f>
        <v/>
      </c>
      <c r="N684" s="85" t="str">
        <f>IF(N686="","",IF(OR($A686="集水",$A686="吸水"),0.4,""))</f>
        <v/>
      </c>
      <c r="O684" s="86" t="str">
        <f>IF(L684="","",K684-L684)</f>
        <v/>
      </c>
      <c r="P684" s="83" t="str">
        <f>IF(R686="","",P683-R684)</f>
        <v/>
      </c>
      <c r="Q684" s="84" t="str">
        <f>IF(S686="","",P683-S684)</f>
        <v/>
      </c>
      <c r="R684" s="85" t="str">
        <f>IF(OR($A686="集水",$A686="吸水"),0.4,"")</f>
        <v/>
      </c>
      <c r="S684" s="85" t="str">
        <f>IF(OR($A686="集水",$A686="吸水"),0.4,"")</f>
        <v/>
      </c>
      <c r="T684" s="86" t="str">
        <f>IF(Q684="","",P684-Q684)</f>
        <v/>
      </c>
      <c r="U684" s="88"/>
      <c r="V684" s="89"/>
    </row>
    <row r="685" spans="1:22" ht="9" customHeight="1" x14ac:dyDescent="0.55000000000000004">
      <c r="A685" s="90"/>
      <c r="B685" s="91"/>
      <c r="C685" s="92" t="str">
        <f>IF(B683="","",B685-B683)</f>
        <v/>
      </c>
      <c r="D685" s="91"/>
      <c r="E685" s="93" t="str">
        <f>IF(D683="","",D685-D683)</f>
        <v/>
      </c>
      <c r="F685" s="94"/>
      <c r="G685" s="85"/>
      <c r="H685" s="85"/>
      <c r="I685" s="95"/>
      <c r="J685" s="86"/>
      <c r="K685" s="94"/>
      <c r="L685" s="85"/>
      <c r="M685" s="85"/>
      <c r="N685" s="95"/>
      <c r="O685" s="86"/>
      <c r="P685" s="94"/>
      <c r="Q685" s="85"/>
      <c r="R685" s="85"/>
      <c r="S685" s="95"/>
      <c r="T685" s="86"/>
      <c r="U685" s="96"/>
      <c r="V685" s="97"/>
    </row>
    <row r="686" spans="1:22" ht="9" customHeight="1" x14ac:dyDescent="0.55000000000000004">
      <c r="A686" s="98"/>
      <c r="B686" s="99"/>
      <c r="C686" s="100"/>
      <c r="D686" s="99"/>
      <c r="E686" s="101"/>
      <c r="F686" s="102" t="str">
        <f>IF(H686="","",F683-H686)</f>
        <v/>
      </c>
      <c r="G686" s="103" t="str">
        <f>IF(I686="","",F683-I686)</f>
        <v/>
      </c>
      <c r="H686" s="104"/>
      <c r="I686" s="104"/>
      <c r="J686" s="105"/>
      <c r="K686" s="106" t="str">
        <f>IF(M686="","",K683-M686)</f>
        <v/>
      </c>
      <c r="L686" s="103" t="str">
        <f>IF(N686="","",K683-N686)</f>
        <v/>
      </c>
      <c r="M686" s="104"/>
      <c r="N686" s="107"/>
      <c r="O686" s="105"/>
      <c r="P686" s="102" t="str">
        <f>IF(R686="","",P683-R686)</f>
        <v/>
      </c>
      <c r="Q686" s="103" t="str">
        <f>IF(S686="","",P683-S686)</f>
        <v/>
      </c>
      <c r="R686" s="104"/>
      <c r="S686" s="104"/>
      <c r="T686" s="105"/>
      <c r="U686" s="108"/>
      <c r="V686" s="109"/>
    </row>
    <row r="687" spans="1:22" ht="9" customHeight="1" x14ac:dyDescent="0.55000000000000004">
      <c r="A687" s="19"/>
      <c r="B687" s="69"/>
      <c r="C687" s="70"/>
      <c r="D687" s="69"/>
      <c r="E687" s="71"/>
      <c r="F687" s="72"/>
      <c r="G687" s="73"/>
      <c r="H687" s="74"/>
      <c r="I687" s="75"/>
      <c r="J687" s="76"/>
      <c r="K687" s="72"/>
      <c r="L687" s="73"/>
      <c r="M687" s="74"/>
      <c r="N687" s="75"/>
      <c r="O687" s="76"/>
      <c r="P687" s="72"/>
      <c r="Q687" s="73"/>
      <c r="R687" s="74"/>
      <c r="S687" s="75"/>
      <c r="T687" s="76"/>
      <c r="U687" s="77" t="str">
        <f>IF(OR(F690="",P690=""),"",B687/(F690-P690))</f>
        <v/>
      </c>
      <c r="V687" s="78"/>
    </row>
    <row r="688" spans="1:22" ht="9" customHeight="1" x14ac:dyDescent="0.55000000000000004">
      <c r="A688" s="79"/>
      <c r="B688" s="80"/>
      <c r="C688" s="81"/>
      <c r="D688" s="80"/>
      <c r="E688" s="82"/>
      <c r="F688" s="83" t="str">
        <f>IF(H690="","",F687-H688)</f>
        <v/>
      </c>
      <c r="G688" s="84" t="str">
        <f>IF(I690="","",F687-I688)</f>
        <v/>
      </c>
      <c r="H688" s="85" t="str">
        <f>IF(OR($A690="集水",$A690="吸水"),0.4,"")</f>
        <v/>
      </c>
      <c r="I688" s="85" t="str">
        <f>IF(OR($A690="集水",$A690="吸水"),0.4,"")</f>
        <v/>
      </c>
      <c r="J688" s="86" t="str">
        <f>IF(G688="","",F688-G688)</f>
        <v/>
      </c>
      <c r="K688" s="83" t="str">
        <f>IF(M690="","",K687-M688)</f>
        <v/>
      </c>
      <c r="L688" s="87" t="str">
        <f>IF(N690="","",K687-N688)</f>
        <v/>
      </c>
      <c r="M688" s="85" t="str">
        <f>IF(M690="","",IF(OR($A690="集水",$A690="吸水"),0.4,""))</f>
        <v/>
      </c>
      <c r="N688" s="85" t="str">
        <f>IF(N690="","",IF(OR($A690="集水",$A690="吸水"),0.4,""))</f>
        <v/>
      </c>
      <c r="O688" s="86" t="str">
        <f>IF(L688="","",K688-L688)</f>
        <v/>
      </c>
      <c r="P688" s="83" t="str">
        <f>IF(R690="","",P687-R688)</f>
        <v/>
      </c>
      <c r="Q688" s="84" t="str">
        <f>IF(S690="","",P687-S688)</f>
        <v/>
      </c>
      <c r="R688" s="85" t="str">
        <f>IF(OR($A690="集水",$A690="吸水"),0.4,"")</f>
        <v/>
      </c>
      <c r="S688" s="85" t="str">
        <f>IF(OR($A690="集水",$A690="吸水"),0.4,"")</f>
        <v/>
      </c>
      <c r="T688" s="86" t="str">
        <f>IF(Q688="","",P688-Q688)</f>
        <v/>
      </c>
      <c r="U688" s="88"/>
      <c r="V688" s="89"/>
    </row>
    <row r="689" spans="1:22" ht="9" customHeight="1" x14ac:dyDescent="0.55000000000000004">
      <c r="A689" s="90"/>
      <c r="B689" s="91"/>
      <c r="C689" s="92" t="str">
        <f>IF(B687="","",B689-B687)</f>
        <v/>
      </c>
      <c r="D689" s="91"/>
      <c r="E689" s="93" t="str">
        <f>IF(D687="","",D689-D687)</f>
        <v/>
      </c>
      <c r="F689" s="94"/>
      <c r="G689" s="85"/>
      <c r="H689" s="85"/>
      <c r="I689" s="95"/>
      <c r="J689" s="86"/>
      <c r="K689" s="94"/>
      <c r="L689" s="85"/>
      <c r="M689" s="85"/>
      <c r="N689" s="95"/>
      <c r="O689" s="86"/>
      <c r="P689" s="94"/>
      <c r="Q689" s="85"/>
      <c r="R689" s="85"/>
      <c r="S689" s="95"/>
      <c r="T689" s="86"/>
      <c r="U689" s="96"/>
      <c r="V689" s="97"/>
    </row>
    <row r="690" spans="1:22" ht="9" customHeight="1" x14ac:dyDescent="0.55000000000000004">
      <c r="A690" s="98"/>
      <c r="B690" s="99"/>
      <c r="C690" s="100"/>
      <c r="D690" s="99"/>
      <c r="E690" s="101"/>
      <c r="F690" s="102" t="str">
        <f>IF(H690="","",F687-H690)</f>
        <v/>
      </c>
      <c r="G690" s="103" t="str">
        <f>IF(I690="","",F687-I690)</f>
        <v/>
      </c>
      <c r="H690" s="104"/>
      <c r="I690" s="104"/>
      <c r="J690" s="105"/>
      <c r="K690" s="106" t="str">
        <f>IF(M690="","",K687-M690)</f>
        <v/>
      </c>
      <c r="L690" s="103" t="str">
        <f>IF(N690="","",K687-N690)</f>
        <v/>
      </c>
      <c r="M690" s="104"/>
      <c r="N690" s="107"/>
      <c r="O690" s="105"/>
      <c r="P690" s="102" t="str">
        <f>IF(R690="","",P687-R690)</f>
        <v/>
      </c>
      <c r="Q690" s="103" t="str">
        <f>IF(S690="","",P687-S690)</f>
        <v/>
      </c>
      <c r="R690" s="104"/>
      <c r="S690" s="104"/>
      <c r="T690" s="105"/>
      <c r="U690" s="108"/>
      <c r="V690" s="109"/>
    </row>
    <row r="691" spans="1:22" ht="9" customHeight="1" x14ac:dyDescent="0.55000000000000004">
      <c r="A691" s="19"/>
      <c r="B691" s="69"/>
      <c r="C691" s="70"/>
      <c r="D691" s="69"/>
      <c r="E691" s="71"/>
      <c r="F691" s="72"/>
      <c r="G691" s="73"/>
      <c r="H691" s="74"/>
      <c r="I691" s="75"/>
      <c r="J691" s="76"/>
      <c r="K691" s="72"/>
      <c r="L691" s="73"/>
      <c r="M691" s="74"/>
      <c r="N691" s="75"/>
      <c r="O691" s="76"/>
      <c r="P691" s="72"/>
      <c r="Q691" s="73"/>
      <c r="R691" s="74"/>
      <c r="S691" s="75"/>
      <c r="T691" s="76"/>
      <c r="U691" s="77" t="str">
        <f>IF(OR(F694="",P694=""),"",B691/(F694-P694))</f>
        <v/>
      </c>
      <c r="V691" s="78"/>
    </row>
    <row r="692" spans="1:22" ht="9" customHeight="1" x14ac:dyDescent="0.55000000000000004">
      <c r="A692" s="79"/>
      <c r="B692" s="80"/>
      <c r="C692" s="81"/>
      <c r="D692" s="80"/>
      <c r="E692" s="82"/>
      <c r="F692" s="83" t="str">
        <f>IF(H694="","",F691-H692)</f>
        <v/>
      </c>
      <c r="G692" s="84" t="str">
        <f>IF(I694="","",F691-I692)</f>
        <v/>
      </c>
      <c r="H692" s="85" t="str">
        <f>IF(OR($A694="集水",$A694="吸水"),0.4,"")</f>
        <v/>
      </c>
      <c r="I692" s="85" t="str">
        <f>IF(OR($A694="集水",$A694="吸水"),0.4,"")</f>
        <v/>
      </c>
      <c r="J692" s="86" t="str">
        <f>IF(G692="","",F692-G692)</f>
        <v/>
      </c>
      <c r="K692" s="83" t="str">
        <f>IF(M694="","",K691-M692)</f>
        <v/>
      </c>
      <c r="L692" s="87" t="str">
        <f>IF(N694="","",K691-N692)</f>
        <v/>
      </c>
      <c r="M692" s="85" t="str">
        <f>IF(M694="","",IF(OR($A694="集水",$A694="吸水"),0.4,""))</f>
        <v/>
      </c>
      <c r="N692" s="85" t="str">
        <f>IF(N694="","",IF(OR($A694="集水",$A694="吸水"),0.4,""))</f>
        <v/>
      </c>
      <c r="O692" s="86" t="str">
        <f>IF(L692="","",K692-L692)</f>
        <v/>
      </c>
      <c r="P692" s="83" t="str">
        <f>IF(R694="","",P691-R692)</f>
        <v/>
      </c>
      <c r="Q692" s="84" t="str">
        <f>IF(S694="","",P691-S692)</f>
        <v/>
      </c>
      <c r="R692" s="85" t="str">
        <f>IF(OR($A694="集水",$A694="吸水"),0.4,"")</f>
        <v/>
      </c>
      <c r="S692" s="85" t="str">
        <f>IF(OR($A694="集水",$A694="吸水"),0.4,"")</f>
        <v/>
      </c>
      <c r="T692" s="86" t="str">
        <f>IF(Q692="","",P692-Q692)</f>
        <v/>
      </c>
      <c r="U692" s="88"/>
      <c r="V692" s="89"/>
    </row>
    <row r="693" spans="1:22" ht="9" customHeight="1" x14ac:dyDescent="0.55000000000000004">
      <c r="A693" s="90"/>
      <c r="B693" s="91"/>
      <c r="C693" s="92" t="str">
        <f>IF(B691="","",B693-B691)</f>
        <v/>
      </c>
      <c r="D693" s="91"/>
      <c r="E693" s="93" t="str">
        <f>IF(D691="","",D693-D691)</f>
        <v/>
      </c>
      <c r="F693" s="94"/>
      <c r="G693" s="85"/>
      <c r="H693" s="85"/>
      <c r="I693" s="95"/>
      <c r="J693" s="86"/>
      <c r="K693" s="94"/>
      <c r="L693" s="85"/>
      <c r="M693" s="85"/>
      <c r="N693" s="95"/>
      <c r="O693" s="86"/>
      <c r="P693" s="94"/>
      <c r="Q693" s="85"/>
      <c r="R693" s="85"/>
      <c r="S693" s="95"/>
      <c r="T693" s="86"/>
      <c r="U693" s="96"/>
      <c r="V693" s="97"/>
    </row>
    <row r="694" spans="1:22" ht="9" customHeight="1" x14ac:dyDescent="0.55000000000000004">
      <c r="A694" s="98"/>
      <c r="B694" s="99"/>
      <c r="C694" s="100"/>
      <c r="D694" s="99"/>
      <c r="E694" s="101"/>
      <c r="F694" s="102" t="str">
        <f>IF(H694="","",F691-H694)</f>
        <v/>
      </c>
      <c r="G694" s="103" t="str">
        <f>IF(I694="","",F691-I694)</f>
        <v/>
      </c>
      <c r="H694" s="104"/>
      <c r="I694" s="104"/>
      <c r="J694" s="105"/>
      <c r="K694" s="106" t="str">
        <f>IF(M694="","",K691-M694)</f>
        <v/>
      </c>
      <c r="L694" s="103" t="str">
        <f>IF(N694="","",K691-N694)</f>
        <v/>
      </c>
      <c r="M694" s="104"/>
      <c r="N694" s="107"/>
      <c r="O694" s="105"/>
      <c r="P694" s="102" t="str">
        <f>IF(R694="","",P691-R694)</f>
        <v/>
      </c>
      <c r="Q694" s="103" t="str">
        <f>IF(S694="","",P691-S694)</f>
        <v/>
      </c>
      <c r="R694" s="104"/>
      <c r="S694" s="104"/>
      <c r="T694" s="105"/>
      <c r="U694" s="108"/>
      <c r="V694" s="109"/>
    </row>
    <row r="695" spans="1:22" ht="9" customHeight="1" x14ac:dyDescent="0.55000000000000004">
      <c r="A695" s="19"/>
      <c r="B695" s="69"/>
      <c r="C695" s="70"/>
      <c r="D695" s="69"/>
      <c r="E695" s="71"/>
      <c r="F695" s="72"/>
      <c r="G695" s="73"/>
      <c r="H695" s="74"/>
      <c r="I695" s="75"/>
      <c r="J695" s="76"/>
      <c r="K695" s="72"/>
      <c r="L695" s="73"/>
      <c r="M695" s="74"/>
      <c r="N695" s="75"/>
      <c r="O695" s="76"/>
      <c r="P695" s="72"/>
      <c r="Q695" s="73"/>
      <c r="R695" s="74"/>
      <c r="S695" s="75"/>
      <c r="T695" s="76"/>
      <c r="U695" s="77" t="str">
        <f>IF(OR(F698="",P698=""),"",B695/(F698-P698))</f>
        <v/>
      </c>
      <c r="V695" s="78"/>
    </row>
    <row r="696" spans="1:22" ht="9" customHeight="1" x14ac:dyDescent="0.55000000000000004">
      <c r="A696" s="79"/>
      <c r="B696" s="80"/>
      <c r="C696" s="81"/>
      <c r="D696" s="80"/>
      <c r="E696" s="82"/>
      <c r="F696" s="83" t="str">
        <f>IF(H698="","",F695-H696)</f>
        <v/>
      </c>
      <c r="G696" s="84" t="str">
        <f>IF(I698="","",F695-I696)</f>
        <v/>
      </c>
      <c r="H696" s="85" t="str">
        <f>IF(OR($A698="集水",$A698="吸水"),0.4,"")</f>
        <v/>
      </c>
      <c r="I696" s="85" t="str">
        <f>IF(OR($A698="集水",$A698="吸水"),0.4,"")</f>
        <v/>
      </c>
      <c r="J696" s="86" t="str">
        <f>IF(G696="","",F696-G696)</f>
        <v/>
      </c>
      <c r="K696" s="83" t="str">
        <f>IF(M698="","",K695-M696)</f>
        <v/>
      </c>
      <c r="L696" s="87" t="str">
        <f>IF(N698="","",K695-N696)</f>
        <v/>
      </c>
      <c r="M696" s="85" t="str">
        <f>IF(M698="","",IF(OR($A698="集水",$A698="吸水"),0.4,""))</f>
        <v/>
      </c>
      <c r="N696" s="85" t="str">
        <f>IF(N698="","",IF(OR($A698="集水",$A698="吸水"),0.4,""))</f>
        <v/>
      </c>
      <c r="O696" s="86" t="str">
        <f>IF(L696="","",K696-L696)</f>
        <v/>
      </c>
      <c r="P696" s="83" t="str">
        <f>IF(R698="","",P695-R696)</f>
        <v/>
      </c>
      <c r="Q696" s="84" t="str">
        <f>IF(S698="","",P695-S696)</f>
        <v/>
      </c>
      <c r="R696" s="85" t="str">
        <f>IF(OR($A698="集水",$A698="吸水"),0.4,"")</f>
        <v/>
      </c>
      <c r="S696" s="85" t="str">
        <f>IF(OR($A698="集水",$A698="吸水"),0.4,"")</f>
        <v/>
      </c>
      <c r="T696" s="86" t="str">
        <f>IF(Q696="","",P696-Q696)</f>
        <v/>
      </c>
      <c r="U696" s="88"/>
      <c r="V696" s="89"/>
    </row>
    <row r="697" spans="1:22" ht="9" customHeight="1" x14ac:dyDescent="0.55000000000000004">
      <c r="A697" s="90"/>
      <c r="B697" s="91"/>
      <c r="C697" s="92" t="str">
        <f>IF(B695="","",B697-B695)</f>
        <v/>
      </c>
      <c r="D697" s="91"/>
      <c r="E697" s="93" t="str">
        <f>IF(D695="","",D697-D695)</f>
        <v/>
      </c>
      <c r="F697" s="94"/>
      <c r="G697" s="85"/>
      <c r="H697" s="85"/>
      <c r="I697" s="95"/>
      <c r="J697" s="86"/>
      <c r="K697" s="94"/>
      <c r="L697" s="85"/>
      <c r="M697" s="85"/>
      <c r="N697" s="95"/>
      <c r="O697" s="86"/>
      <c r="P697" s="94"/>
      <c r="Q697" s="85"/>
      <c r="R697" s="85"/>
      <c r="S697" s="95"/>
      <c r="T697" s="86"/>
      <c r="U697" s="96"/>
      <c r="V697" s="97"/>
    </row>
    <row r="698" spans="1:22" ht="9" customHeight="1" x14ac:dyDescent="0.55000000000000004">
      <c r="A698" s="98"/>
      <c r="B698" s="99"/>
      <c r="C698" s="100"/>
      <c r="D698" s="99"/>
      <c r="E698" s="101"/>
      <c r="F698" s="102" t="str">
        <f>IF(H698="","",F695-H698)</f>
        <v/>
      </c>
      <c r="G698" s="103" t="str">
        <f>IF(I698="","",F695-I698)</f>
        <v/>
      </c>
      <c r="H698" s="104"/>
      <c r="I698" s="104"/>
      <c r="J698" s="105"/>
      <c r="K698" s="106" t="str">
        <f>IF(M698="","",K695-M698)</f>
        <v/>
      </c>
      <c r="L698" s="103" t="str">
        <f>IF(N698="","",K695-N698)</f>
        <v/>
      </c>
      <c r="M698" s="104"/>
      <c r="N698" s="107"/>
      <c r="O698" s="105"/>
      <c r="P698" s="102" t="str">
        <f>IF(R698="","",P695-R698)</f>
        <v/>
      </c>
      <c r="Q698" s="103" t="str">
        <f>IF(S698="","",P695-S698)</f>
        <v/>
      </c>
      <c r="R698" s="104"/>
      <c r="S698" s="104"/>
      <c r="T698" s="105"/>
      <c r="U698" s="108"/>
      <c r="V698" s="109"/>
    </row>
    <row r="699" spans="1:22" ht="9" customHeight="1" x14ac:dyDescent="0.55000000000000004">
      <c r="A699" s="19"/>
      <c r="B699" s="69"/>
      <c r="C699" s="70"/>
      <c r="D699" s="69"/>
      <c r="E699" s="71"/>
      <c r="F699" s="72"/>
      <c r="G699" s="73"/>
      <c r="H699" s="74"/>
      <c r="I699" s="75"/>
      <c r="J699" s="76"/>
      <c r="K699" s="72"/>
      <c r="L699" s="73"/>
      <c r="M699" s="74"/>
      <c r="N699" s="75"/>
      <c r="O699" s="76"/>
      <c r="P699" s="72"/>
      <c r="Q699" s="73"/>
      <c r="R699" s="74"/>
      <c r="S699" s="75"/>
      <c r="T699" s="76"/>
      <c r="U699" s="77" t="str">
        <f>IF(OR(F702="",P702=""),"",B699/(F702-P702))</f>
        <v/>
      </c>
      <c r="V699" s="78"/>
    </row>
    <row r="700" spans="1:22" ht="9" customHeight="1" x14ac:dyDescent="0.55000000000000004">
      <c r="A700" s="79"/>
      <c r="B700" s="80"/>
      <c r="C700" s="81"/>
      <c r="D700" s="80"/>
      <c r="E700" s="82"/>
      <c r="F700" s="83" t="str">
        <f>IF(H702="","",F699-H700)</f>
        <v/>
      </c>
      <c r="G700" s="84" t="str">
        <f>IF(I702="","",F699-I700)</f>
        <v/>
      </c>
      <c r="H700" s="85" t="str">
        <f>IF(OR($A702="集水",$A702="吸水"),0.4,"")</f>
        <v/>
      </c>
      <c r="I700" s="85" t="str">
        <f>IF(OR($A702="集水",$A702="吸水"),0.4,"")</f>
        <v/>
      </c>
      <c r="J700" s="86" t="str">
        <f>IF(G700="","",F700-G700)</f>
        <v/>
      </c>
      <c r="K700" s="83" t="str">
        <f>IF(M702="","",K699-M700)</f>
        <v/>
      </c>
      <c r="L700" s="87" t="str">
        <f>IF(N702="","",K699-N700)</f>
        <v/>
      </c>
      <c r="M700" s="85" t="str">
        <f>IF(M702="","",IF(OR($A702="集水",$A702="吸水"),0.4,""))</f>
        <v/>
      </c>
      <c r="N700" s="85" t="str">
        <f>IF(N702="","",IF(OR($A702="集水",$A702="吸水"),0.4,""))</f>
        <v/>
      </c>
      <c r="O700" s="86" t="str">
        <f>IF(L700="","",K700-L700)</f>
        <v/>
      </c>
      <c r="P700" s="83" t="str">
        <f>IF(R702="","",P699-R700)</f>
        <v/>
      </c>
      <c r="Q700" s="84" t="str">
        <f>IF(S702="","",P699-S700)</f>
        <v/>
      </c>
      <c r="R700" s="85" t="str">
        <f>IF(OR($A702="集水",$A702="吸水"),0.4,"")</f>
        <v/>
      </c>
      <c r="S700" s="85" t="str">
        <f>IF(OR($A702="集水",$A702="吸水"),0.4,"")</f>
        <v/>
      </c>
      <c r="T700" s="86" t="str">
        <f>IF(Q700="","",P700-Q700)</f>
        <v/>
      </c>
      <c r="U700" s="88"/>
      <c r="V700" s="89"/>
    </row>
    <row r="701" spans="1:22" ht="9" customHeight="1" x14ac:dyDescent="0.55000000000000004">
      <c r="A701" s="90"/>
      <c r="B701" s="91"/>
      <c r="C701" s="92" t="str">
        <f>IF(B699="","",B701-B699)</f>
        <v/>
      </c>
      <c r="D701" s="91"/>
      <c r="E701" s="93" t="str">
        <f>IF(D699="","",D701-D699)</f>
        <v/>
      </c>
      <c r="F701" s="94"/>
      <c r="G701" s="85"/>
      <c r="H701" s="85"/>
      <c r="I701" s="95"/>
      <c r="J701" s="86"/>
      <c r="K701" s="94"/>
      <c r="L701" s="85"/>
      <c r="M701" s="85"/>
      <c r="N701" s="95"/>
      <c r="O701" s="86"/>
      <c r="P701" s="94"/>
      <c r="Q701" s="85"/>
      <c r="R701" s="85"/>
      <c r="S701" s="95"/>
      <c r="T701" s="86"/>
      <c r="U701" s="96"/>
      <c r="V701" s="97"/>
    </row>
    <row r="702" spans="1:22" ht="9" customHeight="1" x14ac:dyDescent="0.55000000000000004">
      <c r="A702" s="98"/>
      <c r="B702" s="99"/>
      <c r="C702" s="100"/>
      <c r="D702" s="99"/>
      <c r="E702" s="101"/>
      <c r="F702" s="102" t="str">
        <f>IF(H702="","",F699-H702)</f>
        <v/>
      </c>
      <c r="G702" s="103" t="str">
        <f>IF(I702="","",F699-I702)</f>
        <v/>
      </c>
      <c r="H702" s="104"/>
      <c r="I702" s="104"/>
      <c r="J702" s="105"/>
      <c r="K702" s="106" t="str">
        <f>IF(M702="","",K699-M702)</f>
        <v/>
      </c>
      <c r="L702" s="103" t="str">
        <f>IF(N702="","",K699-N702)</f>
        <v/>
      </c>
      <c r="M702" s="104"/>
      <c r="N702" s="107"/>
      <c r="O702" s="105"/>
      <c r="P702" s="102" t="str">
        <f>IF(R702="","",P699-R702)</f>
        <v/>
      </c>
      <c r="Q702" s="103" t="str">
        <f>IF(S702="","",P699-S702)</f>
        <v/>
      </c>
      <c r="R702" s="104"/>
      <c r="S702" s="104"/>
      <c r="T702" s="105"/>
      <c r="U702" s="108"/>
      <c r="V702" s="109"/>
    </row>
    <row r="703" spans="1:22" ht="9" customHeight="1" x14ac:dyDescent="0.55000000000000004">
      <c r="A703" s="19"/>
      <c r="B703" s="69"/>
      <c r="C703" s="70"/>
      <c r="D703" s="69"/>
      <c r="E703" s="71"/>
      <c r="F703" s="72"/>
      <c r="G703" s="73"/>
      <c r="H703" s="74"/>
      <c r="I703" s="75"/>
      <c r="J703" s="76"/>
      <c r="K703" s="72"/>
      <c r="L703" s="73"/>
      <c r="M703" s="74"/>
      <c r="N703" s="75"/>
      <c r="O703" s="76"/>
      <c r="P703" s="72"/>
      <c r="Q703" s="73"/>
      <c r="R703" s="74"/>
      <c r="S703" s="75"/>
      <c r="T703" s="76"/>
      <c r="U703" s="77" t="str">
        <f>IF(OR(F706="",P706=""),"",B703/(F706-P706))</f>
        <v/>
      </c>
      <c r="V703" s="78"/>
    </row>
    <row r="704" spans="1:22" ht="9" customHeight="1" x14ac:dyDescent="0.55000000000000004">
      <c r="A704" s="79"/>
      <c r="B704" s="80"/>
      <c r="C704" s="81"/>
      <c r="D704" s="80"/>
      <c r="E704" s="82"/>
      <c r="F704" s="83" t="str">
        <f>IF(H706="","",F703-H704)</f>
        <v/>
      </c>
      <c r="G704" s="84" t="str">
        <f>IF(I706="","",F703-I704)</f>
        <v/>
      </c>
      <c r="H704" s="85" t="str">
        <f>IF(OR($A706="集水",$A706="吸水"),0.4,"")</f>
        <v/>
      </c>
      <c r="I704" s="85" t="str">
        <f>IF(OR($A706="集水",$A706="吸水"),0.4,"")</f>
        <v/>
      </c>
      <c r="J704" s="86" t="str">
        <f>IF(G704="","",F704-G704)</f>
        <v/>
      </c>
      <c r="K704" s="83" t="str">
        <f>IF(M706="","",K703-M704)</f>
        <v/>
      </c>
      <c r="L704" s="87" t="str">
        <f>IF(N706="","",K703-N704)</f>
        <v/>
      </c>
      <c r="M704" s="85" t="str">
        <f>IF(M706="","",IF(OR($A706="集水",$A706="吸水"),0.4,""))</f>
        <v/>
      </c>
      <c r="N704" s="85" t="str">
        <f>IF(N706="","",IF(OR($A706="集水",$A706="吸水"),0.4,""))</f>
        <v/>
      </c>
      <c r="O704" s="86" t="str">
        <f>IF(L704="","",K704-L704)</f>
        <v/>
      </c>
      <c r="P704" s="83" t="str">
        <f>IF(R706="","",P703-R704)</f>
        <v/>
      </c>
      <c r="Q704" s="84" t="str">
        <f>IF(S706="","",P703-S704)</f>
        <v/>
      </c>
      <c r="R704" s="85" t="str">
        <f>IF(OR($A706="集水",$A706="吸水"),0.4,"")</f>
        <v/>
      </c>
      <c r="S704" s="85" t="str">
        <f>IF(OR($A706="集水",$A706="吸水"),0.4,"")</f>
        <v/>
      </c>
      <c r="T704" s="86" t="str">
        <f>IF(Q704="","",P704-Q704)</f>
        <v/>
      </c>
      <c r="U704" s="88"/>
      <c r="V704" s="89"/>
    </row>
    <row r="705" spans="1:22" ht="9" customHeight="1" x14ac:dyDescent="0.55000000000000004">
      <c r="A705" s="90"/>
      <c r="B705" s="91"/>
      <c r="C705" s="92" t="str">
        <f>IF(B703="","",B705-B703)</f>
        <v/>
      </c>
      <c r="D705" s="91"/>
      <c r="E705" s="93" t="str">
        <f>IF(D703="","",D705-D703)</f>
        <v/>
      </c>
      <c r="F705" s="94"/>
      <c r="G705" s="85"/>
      <c r="H705" s="85"/>
      <c r="I705" s="95"/>
      <c r="J705" s="86"/>
      <c r="K705" s="94"/>
      <c r="L705" s="85"/>
      <c r="M705" s="85"/>
      <c r="N705" s="95"/>
      <c r="O705" s="86"/>
      <c r="P705" s="94"/>
      <c r="Q705" s="85"/>
      <c r="R705" s="85"/>
      <c r="S705" s="95"/>
      <c r="T705" s="86"/>
      <c r="U705" s="96"/>
      <c r="V705" s="97"/>
    </row>
    <row r="706" spans="1:22" ht="9" customHeight="1" x14ac:dyDescent="0.55000000000000004">
      <c r="A706" s="98"/>
      <c r="B706" s="99"/>
      <c r="C706" s="100"/>
      <c r="D706" s="99"/>
      <c r="E706" s="101"/>
      <c r="F706" s="102" t="str">
        <f>IF(H706="","",F703-H706)</f>
        <v/>
      </c>
      <c r="G706" s="103" t="str">
        <f>IF(I706="","",F703-I706)</f>
        <v/>
      </c>
      <c r="H706" s="104"/>
      <c r="I706" s="104"/>
      <c r="J706" s="105"/>
      <c r="K706" s="106" t="str">
        <f>IF(M706="","",K703-M706)</f>
        <v/>
      </c>
      <c r="L706" s="103" t="str">
        <f>IF(N706="","",K703-N706)</f>
        <v/>
      </c>
      <c r="M706" s="104"/>
      <c r="N706" s="107"/>
      <c r="O706" s="105"/>
      <c r="P706" s="102" t="str">
        <f>IF(R706="","",P703-R706)</f>
        <v/>
      </c>
      <c r="Q706" s="103" t="str">
        <f>IF(S706="","",P703-S706)</f>
        <v/>
      </c>
      <c r="R706" s="104"/>
      <c r="S706" s="104"/>
      <c r="T706" s="105"/>
      <c r="U706" s="108"/>
      <c r="V706" s="109"/>
    </row>
    <row r="707" spans="1:22" ht="9" customHeight="1" x14ac:dyDescent="0.55000000000000004">
      <c r="A707" s="19"/>
      <c r="B707" s="69"/>
      <c r="C707" s="70"/>
      <c r="D707" s="69"/>
      <c r="E707" s="71"/>
      <c r="F707" s="72"/>
      <c r="G707" s="73"/>
      <c r="H707" s="74"/>
      <c r="I707" s="75"/>
      <c r="J707" s="76"/>
      <c r="K707" s="72"/>
      <c r="L707" s="73"/>
      <c r="M707" s="74"/>
      <c r="N707" s="75"/>
      <c r="O707" s="76"/>
      <c r="P707" s="72"/>
      <c r="Q707" s="73"/>
      <c r="R707" s="74"/>
      <c r="S707" s="75"/>
      <c r="T707" s="76"/>
      <c r="U707" s="77" t="str">
        <f>IF(OR(F710="",P710=""),"",B707/(F710-P710))</f>
        <v/>
      </c>
      <c r="V707" s="78"/>
    </row>
    <row r="708" spans="1:22" ht="9" customHeight="1" x14ac:dyDescent="0.55000000000000004">
      <c r="A708" s="79"/>
      <c r="B708" s="80"/>
      <c r="C708" s="81"/>
      <c r="D708" s="80"/>
      <c r="E708" s="82"/>
      <c r="F708" s="83" t="str">
        <f>IF(H710="","",F707-H708)</f>
        <v/>
      </c>
      <c r="G708" s="84" t="str">
        <f>IF(I710="","",F707-I708)</f>
        <v/>
      </c>
      <c r="H708" s="85" t="str">
        <f>IF(OR($A710="集水",$A710="吸水"),0.4,"")</f>
        <v/>
      </c>
      <c r="I708" s="85" t="str">
        <f>IF(OR($A710="集水",$A710="吸水"),0.4,"")</f>
        <v/>
      </c>
      <c r="J708" s="86" t="str">
        <f>IF(G708="","",F708-G708)</f>
        <v/>
      </c>
      <c r="K708" s="83" t="str">
        <f>IF(M710="","",K707-M708)</f>
        <v/>
      </c>
      <c r="L708" s="87" t="str">
        <f>IF(N710="","",K707-N708)</f>
        <v/>
      </c>
      <c r="M708" s="85" t="str">
        <f>IF(M710="","",IF(OR($A710="集水",$A710="吸水"),0.4,""))</f>
        <v/>
      </c>
      <c r="N708" s="85" t="str">
        <f>IF(N710="","",IF(OR($A710="集水",$A710="吸水"),0.4,""))</f>
        <v/>
      </c>
      <c r="O708" s="86" t="str">
        <f>IF(L708="","",K708-L708)</f>
        <v/>
      </c>
      <c r="P708" s="83" t="str">
        <f>IF(R710="","",P707-R708)</f>
        <v/>
      </c>
      <c r="Q708" s="84" t="str">
        <f>IF(S710="","",P707-S708)</f>
        <v/>
      </c>
      <c r="R708" s="85" t="str">
        <f>IF(OR($A710="集水",$A710="吸水"),0.4,"")</f>
        <v/>
      </c>
      <c r="S708" s="85" t="str">
        <f>IF(OR($A710="集水",$A710="吸水"),0.4,"")</f>
        <v/>
      </c>
      <c r="T708" s="86" t="str">
        <f>IF(Q708="","",P708-Q708)</f>
        <v/>
      </c>
      <c r="U708" s="88"/>
      <c r="V708" s="89"/>
    </row>
    <row r="709" spans="1:22" ht="9" customHeight="1" x14ac:dyDescent="0.55000000000000004">
      <c r="A709" s="90"/>
      <c r="B709" s="91"/>
      <c r="C709" s="92" t="str">
        <f>IF(B707="","",B709-B707)</f>
        <v/>
      </c>
      <c r="D709" s="91"/>
      <c r="E709" s="93" t="str">
        <f>IF(D707="","",D709-D707)</f>
        <v/>
      </c>
      <c r="F709" s="94"/>
      <c r="G709" s="85"/>
      <c r="H709" s="85"/>
      <c r="I709" s="95"/>
      <c r="J709" s="86"/>
      <c r="K709" s="94"/>
      <c r="L709" s="85"/>
      <c r="M709" s="85"/>
      <c r="N709" s="95"/>
      <c r="O709" s="86"/>
      <c r="P709" s="94"/>
      <c r="Q709" s="85"/>
      <c r="R709" s="85"/>
      <c r="S709" s="95"/>
      <c r="T709" s="86"/>
      <c r="U709" s="96"/>
      <c r="V709" s="97"/>
    </row>
    <row r="710" spans="1:22" ht="9" customHeight="1" x14ac:dyDescent="0.55000000000000004">
      <c r="A710" s="98"/>
      <c r="B710" s="99"/>
      <c r="C710" s="100"/>
      <c r="D710" s="99"/>
      <c r="E710" s="101"/>
      <c r="F710" s="102" t="str">
        <f>IF(H710="","",F707-H710)</f>
        <v/>
      </c>
      <c r="G710" s="103" t="str">
        <f>IF(I710="","",F707-I710)</f>
        <v/>
      </c>
      <c r="H710" s="104"/>
      <c r="I710" s="104"/>
      <c r="J710" s="105"/>
      <c r="K710" s="106" t="str">
        <f>IF(M710="","",K707-M710)</f>
        <v/>
      </c>
      <c r="L710" s="103" t="str">
        <f>IF(N710="","",K707-N710)</f>
        <v/>
      </c>
      <c r="M710" s="104"/>
      <c r="N710" s="107"/>
      <c r="O710" s="105"/>
      <c r="P710" s="102" t="str">
        <f>IF(R710="","",P707-R710)</f>
        <v/>
      </c>
      <c r="Q710" s="103" t="str">
        <f>IF(S710="","",P707-S710)</f>
        <v/>
      </c>
      <c r="R710" s="104"/>
      <c r="S710" s="104"/>
      <c r="T710" s="105"/>
      <c r="U710" s="108"/>
      <c r="V710" s="109"/>
    </row>
    <row r="711" spans="1:22" ht="9" customHeight="1" x14ac:dyDescent="0.55000000000000004">
      <c r="A711" s="19"/>
      <c r="B711" s="69"/>
      <c r="C711" s="70"/>
      <c r="D711" s="69"/>
      <c r="E711" s="71"/>
      <c r="F711" s="72"/>
      <c r="G711" s="73"/>
      <c r="H711" s="74"/>
      <c r="I711" s="75"/>
      <c r="J711" s="76"/>
      <c r="K711" s="72"/>
      <c r="L711" s="73"/>
      <c r="M711" s="74"/>
      <c r="N711" s="75"/>
      <c r="O711" s="76"/>
      <c r="P711" s="72"/>
      <c r="Q711" s="73"/>
      <c r="R711" s="74"/>
      <c r="S711" s="75"/>
      <c r="T711" s="76"/>
      <c r="U711" s="77" t="str">
        <f>IF(OR(F714="",P714=""),"",B711/(F714-P714))</f>
        <v/>
      </c>
      <c r="V711" s="78"/>
    </row>
    <row r="712" spans="1:22" ht="9" customHeight="1" x14ac:dyDescent="0.55000000000000004">
      <c r="A712" s="79"/>
      <c r="B712" s="80"/>
      <c r="C712" s="81"/>
      <c r="D712" s="80"/>
      <c r="E712" s="82"/>
      <c r="F712" s="83" t="str">
        <f>IF(H714="","",F711-H712)</f>
        <v/>
      </c>
      <c r="G712" s="84" t="str">
        <f>IF(I714="","",F711-I712)</f>
        <v/>
      </c>
      <c r="H712" s="85" t="str">
        <f>IF(OR($A714="集水",$A714="吸水"),0.4,"")</f>
        <v/>
      </c>
      <c r="I712" s="85" t="str">
        <f>IF(OR($A714="集水",$A714="吸水"),0.4,"")</f>
        <v/>
      </c>
      <c r="J712" s="86" t="str">
        <f>IF(G712="","",F712-G712)</f>
        <v/>
      </c>
      <c r="K712" s="83" t="str">
        <f>IF(M714="","",K711-M712)</f>
        <v/>
      </c>
      <c r="L712" s="87" t="str">
        <f>IF(N714="","",K711-N712)</f>
        <v/>
      </c>
      <c r="M712" s="85" t="str">
        <f>IF(M714="","",IF(OR($A714="集水",$A714="吸水"),0.4,""))</f>
        <v/>
      </c>
      <c r="N712" s="85" t="str">
        <f>IF(N714="","",IF(OR($A714="集水",$A714="吸水"),0.4,""))</f>
        <v/>
      </c>
      <c r="O712" s="86" t="str">
        <f>IF(L712="","",K712-L712)</f>
        <v/>
      </c>
      <c r="P712" s="83" t="str">
        <f>IF(R714="","",P711-R712)</f>
        <v/>
      </c>
      <c r="Q712" s="84" t="str">
        <f>IF(S714="","",P711-S712)</f>
        <v/>
      </c>
      <c r="R712" s="85" t="str">
        <f>IF(OR($A714="集水",$A714="吸水"),0.4,"")</f>
        <v/>
      </c>
      <c r="S712" s="85" t="str">
        <f>IF(OR($A714="集水",$A714="吸水"),0.4,"")</f>
        <v/>
      </c>
      <c r="T712" s="86" t="str">
        <f>IF(Q712="","",P712-Q712)</f>
        <v/>
      </c>
      <c r="U712" s="88"/>
      <c r="V712" s="89"/>
    </row>
    <row r="713" spans="1:22" ht="9" customHeight="1" x14ac:dyDescent="0.55000000000000004">
      <c r="A713" s="90"/>
      <c r="B713" s="91"/>
      <c r="C713" s="92" t="str">
        <f>IF(B711="","",B713-B711)</f>
        <v/>
      </c>
      <c r="D713" s="91"/>
      <c r="E713" s="93" t="str">
        <f>IF(D711="","",D713-D711)</f>
        <v/>
      </c>
      <c r="F713" s="94"/>
      <c r="G713" s="85"/>
      <c r="H713" s="85"/>
      <c r="I713" s="95"/>
      <c r="J713" s="86"/>
      <c r="K713" s="94"/>
      <c r="L713" s="85"/>
      <c r="M713" s="85"/>
      <c r="N713" s="95"/>
      <c r="O713" s="86"/>
      <c r="P713" s="94"/>
      <c r="Q713" s="85"/>
      <c r="R713" s="85"/>
      <c r="S713" s="95"/>
      <c r="T713" s="86"/>
      <c r="U713" s="96"/>
      <c r="V713" s="97"/>
    </row>
    <row r="714" spans="1:22" ht="9" customHeight="1" x14ac:dyDescent="0.55000000000000004">
      <c r="A714" s="98"/>
      <c r="B714" s="99"/>
      <c r="C714" s="100"/>
      <c r="D714" s="99"/>
      <c r="E714" s="101"/>
      <c r="F714" s="102" t="str">
        <f>IF(H714="","",F711-H714)</f>
        <v/>
      </c>
      <c r="G714" s="103" t="str">
        <f>IF(I714="","",F711-I714)</f>
        <v/>
      </c>
      <c r="H714" s="104"/>
      <c r="I714" s="104"/>
      <c r="J714" s="105"/>
      <c r="K714" s="106" t="str">
        <f>IF(M714="","",K711-M714)</f>
        <v/>
      </c>
      <c r="L714" s="103" t="str">
        <f>IF(N714="","",K711-N714)</f>
        <v/>
      </c>
      <c r="M714" s="104"/>
      <c r="N714" s="107"/>
      <c r="O714" s="105"/>
      <c r="P714" s="102" t="str">
        <f>IF(R714="","",P711-R714)</f>
        <v/>
      </c>
      <c r="Q714" s="103" t="str">
        <f>IF(S714="","",P711-S714)</f>
        <v/>
      </c>
      <c r="R714" s="104"/>
      <c r="S714" s="104"/>
      <c r="T714" s="105"/>
      <c r="U714" s="108"/>
      <c r="V714" s="109"/>
    </row>
    <row r="715" spans="1:22" ht="9" customHeight="1" x14ac:dyDescent="0.55000000000000004">
      <c r="A715" s="19"/>
      <c r="B715" s="69"/>
      <c r="C715" s="70"/>
      <c r="D715" s="69"/>
      <c r="E715" s="71"/>
      <c r="F715" s="72"/>
      <c r="G715" s="73"/>
      <c r="H715" s="74"/>
      <c r="I715" s="75"/>
      <c r="J715" s="76"/>
      <c r="K715" s="72"/>
      <c r="L715" s="73"/>
      <c r="M715" s="74"/>
      <c r="N715" s="75"/>
      <c r="O715" s="76"/>
      <c r="P715" s="72"/>
      <c r="Q715" s="73"/>
      <c r="R715" s="74"/>
      <c r="S715" s="75"/>
      <c r="T715" s="76"/>
      <c r="U715" s="77" t="str">
        <f>IF(OR(F718="",P718=""),"",B715/(F718-P718))</f>
        <v/>
      </c>
      <c r="V715" s="78"/>
    </row>
    <row r="716" spans="1:22" ht="9" customHeight="1" x14ac:dyDescent="0.55000000000000004">
      <c r="A716" s="79"/>
      <c r="B716" s="80"/>
      <c r="C716" s="81"/>
      <c r="D716" s="80"/>
      <c r="E716" s="82"/>
      <c r="F716" s="83" t="str">
        <f>IF(H718="","",F715-H716)</f>
        <v/>
      </c>
      <c r="G716" s="84" t="str">
        <f>IF(I718="","",F715-I716)</f>
        <v/>
      </c>
      <c r="H716" s="85" t="str">
        <f>IF(OR($A718="集水",$A718="吸水"),0.4,"")</f>
        <v/>
      </c>
      <c r="I716" s="85" t="str">
        <f>IF(OR($A718="集水",$A718="吸水"),0.4,"")</f>
        <v/>
      </c>
      <c r="J716" s="86" t="str">
        <f>IF(G716="","",F716-G716)</f>
        <v/>
      </c>
      <c r="K716" s="83" t="str">
        <f>IF(M718="","",K715-M716)</f>
        <v/>
      </c>
      <c r="L716" s="87" t="str">
        <f>IF(N718="","",K715-N716)</f>
        <v/>
      </c>
      <c r="M716" s="85" t="str">
        <f>IF(M718="","",IF(OR($A718="集水",$A718="吸水"),0.4,""))</f>
        <v/>
      </c>
      <c r="N716" s="85" t="str">
        <f>IF(N718="","",IF(OR($A718="集水",$A718="吸水"),0.4,""))</f>
        <v/>
      </c>
      <c r="O716" s="86" t="str">
        <f>IF(L716="","",K716-L716)</f>
        <v/>
      </c>
      <c r="P716" s="83" t="str">
        <f>IF(R718="","",P715-R716)</f>
        <v/>
      </c>
      <c r="Q716" s="84" t="str">
        <f>IF(S718="","",P715-S716)</f>
        <v/>
      </c>
      <c r="R716" s="85" t="str">
        <f>IF(OR($A718="集水",$A718="吸水"),0.4,"")</f>
        <v/>
      </c>
      <c r="S716" s="85" t="str">
        <f>IF(OR($A718="集水",$A718="吸水"),0.4,"")</f>
        <v/>
      </c>
      <c r="T716" s="86" t="str">
        <f>IF(Q716="","",P716-Q716)</f>
        <v/>
      </c>
      <c r="U716" s="88"/>
      <c r="V716" s="89"/>
    </row>
    <row r="717" spans="1:22" ht="9" customHeight="1" x14ac:dyDescent="0.55000000000000004">
      <c r="A717" s="90"/>
      <c r="B717" s="91"/>
      <c r="C717" s="92" t="str">
        <f>IF(B715="","",B717-B715)</f>
        <v/>
      </c>
      <c r="D717" s="91"/>
      <c r="E717" s="93" t="str">
        <f>IF(D715="","",D717-D715)</f>
        <v/>
      </c>
      <c r="F717" s="94"/>
      <c r="G717" s="85"/>
      <c r="H717" s="85"/>
      <c r="I717" s="95"/>
      <c r="J717" s="86"/>
      <c r="K717" s="94"/>
      <c r="L717" s="85"/>
      <c r="M717" s="85"/>
      <c r="N717" s="95"/>
      <c r="O717" s="86"/>
      <c r="P717" s="94"/>
      <c r="Q717" s="85"/>
      <c r="R717" s="85"/>
      <c r="S717" s="95"/>
      <c r="T717" s="86"/>
      <c r="U717" s="96"/>
      <c r="V717" s="97"/>
    </row>
    <row r="718" spans="1:22" ht="9" customHeight="1" x14ac:dyDescent="0.55000000000000004">
      <c r="A718" s="98"/>
      <c r="B718" s="99"/>
      <c r="C718" s="100"/>
      <c r="D718" s="99"/>
      <c r="E718" s="101"/>
      <c r="F718" s="102" t="str">
        <f>IF(H718="","",F715-H718)</f>
        <v/>
      </c>
      <c r="G718" s="103" t="str">
        <f>IF(I718="","",F715-I718)</f>
        <v/>
      </c>
      <c r="H718" s="104"/>
      <c r="I718" s="104"/>
      <c r="J718" s="105"/>
      <c r="K718" s="106" t="str">
        <f>IF(M718="","",K715-M718)</f>
        <v/>
      </c>
      <c r="L718" s="103" t="str">
        <f>IF(N718="","",K715-N718)</f>
        <v/>
      </c>
      <c r="M718" s="104"/>
      <c r="N718" s="107"/>
      <c r="O718" s="105"/>
      <c r="P718" s="102" t="str">
        <f>IF(R718="","",P715-R718)</f>
        <v/>
      </c>
      <c r="Q718" s="103" t="str">
        <f>IF(S718="","",P715-S718)</f>
        <v/>
      </c>
      <c r="R718" s="104"/>
      <c r="S718" s="104"/>
      <c r="T718" s="105"/>
      <c r="U718" s="108"/>
      <c r="V718" s="109"/>
    </row>
    <row r="719" spans="1:22" ht="9" customHeight="1" x14ac:dyDescent="0.55000000000000004">
      <c r="A719" s="19"/>
      <c r="B719" s="69"/>
      <c r="C719" s="70"/>
      <c r="D719" s="69"/>
      <c r="E719" s="71"/>
      <c r="F719" s="72"/>
      <c r="G719" s="73"/>
      <c r="H719" s="74"/>
      <c r="I719" s="75"/>
      <c r="J719" s="76"/>
      <c r="K719" s="72"/>
      <c r="L719" s="73"/>
      <c r="M719" s="74"/>
      <c r="N719" s="75"/>
      <c r="O719" s="76"/>
      <c r="P719" s="72"/>
      <c r="Q719" s="73"/>
      <c r="R719" s="74"/>
      <c r="S719" s="75"/>
      <c r="T719" s="76"/>
      <c r="U719" s="77" t="str">
        <f>IF(OR(F722="",P722=""),"",B719/(F722-P722))</f>
        <v/>
      </c>
      <c r="V719" s="78"/>
    </row>
    <row r="720" spans="1:22" ht="9" customHeight="1" x14ac:dyDescent="0.55000000000000004">
      <c r="A720" s="79"/>
      <c r="B720" s="80"/>
      <c r="C720" s="81"/>
      <c r="D720" s="80"/>
      <c r="E720" s="82"/>
      <c r="F720" s="83" t="str">
        <f>IF(H722="","",F719-H720)</f>
        <v/>
      </c>
      <c r="G720" s="84" t="str">
        <f>IF(I722="","",F719-I720)</f>
        <v/>
      </c>
      <c r="H720" s="85" t="str">
        <f>IF(OR($A722="集水",$A722="吸水"),0.4,"")</f>
        <v/>
      </c>
      <c r="I720" s="85" t="str">
        <f>IF(OR($A722="集水",$A722="吸水"),0.4,"")</f>
        <v/>
      </c>
      <c r="J720" s="86" t="str">
        <f>IF(G720="","",F720-G720)</f>
        <v/>
      </c>
      <c r="K720" s="83" t="str">
        <f>IF(M722="","",K719-M720)</f>
        <v/>
      </c>
      <c r="L720" s="87" t="str">
        <f>IF(N722="","",K719-N720)</f>
        <v/>
      </c>
      <c r="M720" s="85" t="str">
        <f>IF(M722="","",IF(OR($A722="集水",$A722="吸水"),0.4,""))</f>
        <v/>
      </c>
      <c r="N720" s="85" t="str">
        <f>IF(N722="","",IF(OR($A722="集水",$A722="吸水"),0.4,""))</f>
        <v/>
      </c>
      <c r="O720" s="86" t="str">
        <f>IF(L720="","",K720-L720)</f>
        <v/>
      </c>
      <c r="P720" s="83" t="str">
        <f>IF(R722="","",P719-R720)</f>
        <v/>
      </c>
      <c r="Q720" s="84" t="str">
        <f>IF(S722="","",P719-S720)</f>
        <v/>
      </c>
      <c r="R720" s="85" t="str">
        <f>IF(OR($A722="集水",$A722="吸水"),0.4,"")</f>
        <v/>
      </c>
      <c r="S720" s="85" t="str">
        <f>IF(OR($A722="集水",$A722="吸水"),0.4,"")</f>
        <v/>
      </c>
      <c r="T720" s="86" t="str">
        <f>IF(Q720="","",P720-Q720)</f>
        <v/>
      </c>
      <c r="U720" s="88"/>
      <c r="V720" s="89"/>
    </row>
    <row r="721" spans="1:22" ht="9" customHeight="1" x14ac:dyDescent="0.55000000000000004">
      <c r="A721" s="90"/>
      <c r="B721" s="91"/>
      <c r="C721" s="92" t="str">
        <f>IF(B719="","",B721-B719)</f>
        <v/>
      </c>
      <c r="D721" s="91"/>
      <c r="E721" s="93" t="str">
        <f>IF(D719="","",D721-D719)</f>
        <v/>
      </c>
      <c r="F721" s="94"/>
      <c r="G721" s="85"/>
      <c r="H721" s="85"/>
      <c r="I721" s="95"/>
      <c r="J721" s="86"/>
      <c r="K721" s="94"/>
      <c r="L721" s="85"/>
      <c r="M721" s="85"/>
      <c r="N721" s="95"/>
      <c r="O721" s="86"/>
      <c r="P721" s="94"/>
      <c r="Q721" s="85"/>
      <c r="R721" s="85"/>
      <c r="S721" s="95"/>
      <c r="T721" s="86"/>
      <c r="U721" s="96"/>
      <c r="V721" s="97"/>
    </row>
    <row r="722" spans="1:22" ht="9" customHeight="1" x14ac:dyDescent="0.55000000000000004">
      <c r="A722" s="98"/>
      <c r="B722" s="99"/>
      <c r="C722" s="100"/>
      <c r="D722" s="99"/>
      <c r="E722" s="101"/>
      <c r="F722" s="102" t="str">
        <f>IF(H722="","",F719-H722)</f>
        <v/>
      </c>
      <c r="G722" s="103" t="str">
        <f>IF(I722="","",F719-I722)</f>
        <v/>
      </c>
      <c r="H722" s="104"/>
      <c r="I722" s="104"/>
      <c r="J722" s="105"/>
      <c r="K722" s="106" t="str">
        <f>IF(M722="","",K719-M722)</f>
        <v/>
      </c>
      <c r="L722" s="103" t="str">
        <f>IF(N722="","",K719-N722)</f>
        <v/>
      </c>
      <c r="M722" s="104"/>
      <c r="N722" s="107"/>
      <c r="O722" s="105"/>
      <c r="P722" s="102" t="str">
        <f>IF(R722="","",P719-R722)</f>
        <v/>
      </c>
      <c r="Q722" s="103" t="str">
        <f>IF(S722="","",P719-S722)</f>
        <v/>
      </c>
      <c r="R722" s="104"/>
      <c r="S722" s="104"/>
      <c r="T722" s="105"/>
      <c r="U722" s="108"/>
      <c r="V722" s="109"/>
    </row>
    <row r="723" spans="1:22" ht="9" customHeight="1" x14ac:dyDescent="0.55000000000000004">
      <c r="A723" s="19"/>
      <c r="B723" s="69"/>
      <c r="C723" s="70"/>
      <c r="D723" s="69"/>
      <c r="E723" s="71"/>
      <c r="F723" s="72"/>
      <c r="G723" s="73"/>
      <c r="H723" s="74"/>
      <c r="I723" s="75"/>
      <c r="J723" s="76"/>
      <c r="K723" s="72"/>
      <c r="L723" s="73"/>
      <c r="M723" s="74"/>
      <c r="N723" s="75"/>
      <c r="O723" s="76"/>
      <c r="P723" s="72"/>
      <c r="Q723" s="73"/>
      <c r="R723" s="74"/>
      <c r="S723" s="75"/>
      <c r="T723" s="76"/>
      <c r="U723" s="77" t="str">
        <f>IF(OR(F726="",P726=""),"",B723/(F726-P726))</f>
        <v/>
      </c>
      <c r="V723" s="78"/>
    </row>
    <row r="724" spans="1:22" ht="9" customHeight="1" x14ac:dyDescent="0.55000000000000004">
      <c r="A724" s="79"/>
      <c r="B724" s="80"/>
      <c r="C724" s="81"/>
      <c r="D724" s="80"/>
      <c r="E724" s="82"/>
      <c r="F724" s="83" t="str">
        <f>IF(H726="","",F723-H724)</f>
        <v/>
      </c>
      <c r="G724" s="84" t="str">
        <f>IF(I726="","",F723-I724)</f>
        <v/>
      </c>
      <c r="H724" s="85" t="str">
        <f>IF(OR($A726="集水",$A726="吸水"),0.4,"")</f>
        <v/>
      </c>
      <c r="I724" s="85" t="str">
        <f>IF(OR($A726="集水",$A726="吸水"),0.4,"")</f>
        <v/>
      </c>
      <c r="J724" s="86" t="str">
        <f>IF(G724="","",F724-G724)</f>
        <v/>
      </c>
      <c r="K724" s="83" t="str">
        <f>IF(M726="","",K723-M724)</f>
        <v/>
      </c>
      <c r="L724" s="87" t="str">
        <f>IF(N726="","",K723-N724)</f>
        <v/>
      </c>
      <c r="M724" s="85" t="str">
        <f>IF(M726="","",IF(OR($A726="集水",$A726="吸水"),0.4,""))</f>
        <v/>
      </c>
      <c r="N724" s="85" t="str">
        <f>IF(N726="","",IF(OR($A726="集水",$A726="吸水"),0.4,""))</f>
        <v/>
      </c>
      <c r="O724" s="86" t="str">
        <f>IF(L724="","",K724-L724)</f>
        <v/>
      </c>
      <c r="P724" s="83" t="str">
        <f>IF(R726="","",P723-R724)</f>
        <v/>
      </c>
      <c r="Q724" s="84" t="str">
        <f>IF(S726="","",P723-S724)</f>
        <v/>
      </c>
      <c r="R724" s="85" t="str">
        <f>IF(OR($A726="集水",$A726="吸水"),0.4,"")</f>
        <v/>
      </c>
      <c r="S724" s="85" t="str">
        <f>IF(OR($A726="集水",$A726="吸水"),0.4,"")</f>
        <v/>
      </c>
      <c r="T724" s="86" t="str">
        <f>IF(Q724="","",P724-Q724)</f>
        <v/>
      </c>
      <c r="U724" s="88"/>
      <c r="V724" s="89"/>
    </row>
    <row r="725" spans="1:22" ht="9" customHeight="1" x14ac:dyDescent="0.55000000000000004">
      <c r="A725" s="90"/>
      <c r="B725" s="91"/>
      <c r="C725" s="92" t="str">
        <f>IF(B723="","",B725-B723)</f>
        <v/>
      </c>
      <c r="D725" s="91"/>
      <c r="E725" s="93" t="str">
        <f>IF(D723="","",D725-D723)</f>
        <v/>
      </c>
      <c r="F725" s="94"/>
      <c r="G725" s="85"/>
      <c r="H725" s="85"/>
      <c r="I725" s="95"/>
      <c r="J725" s="86"/>
      <c r="K725" s="94"/>
      <c r="L725" s="85"/>
      <c r="M725" s="85"/>
      <c r="N725" s="95"/>
      <c r="O725" s="86"/>
      <c r="P725" s="94"/>
      <c r="Q725" s="85"/>
      <c r="R725" s="85"/>
      <c r="S725" s="95"/>
      <c r="T725" s="86"/>
      <c r="U725" s="96"/>
      <c r="V725" s="97"/>
    </row>
    <row r="726" spans="1:22" ht="9" customHeight="1" x14ac:dyDescent="0.55000000000000004">
      <c r="A726" s="98"/>
      <c r="B726" s="99"/>
      <c r="C726" s="100"/>
      <c r="D726" s="99"/>
      <c r="E726" s="101"/>
      <c r="F726" s="102" t="str">
        <f>IF(H726="","",F723-H726)</f>
        <v/>
      </c>
      <c r="G726" s="103" t="str">
        <f>IF(I726="","",F723-I726)</f>
        <v/>
      </c>
      <c r="H726" s="104"/>
      <c r="I726" s="104"/>
      <c r="J726" s="105"/>
      <c r="K726" s="106" t="str">
        <f>IF(M726="","",K723-M726)</f>
        <v/>
      </c>
      <c r="L726" s="103" t="str">
        <f>IF(N726="","",K723-N726)</f>
        <v/>
      </c>
      <c r="M726" s="104"/>
      <c r="N726" s="107"/>
      <c r="O726" s="105"/>
      <c r="P726" s="102" t="str">
        <f>IF(R726="","",P723-R726)</f>
        <v/>
      </c>
      <c r="Q726" s="103" t="str">
        <f>IF(S726="","",P723-S726)</f>
        <v/>
      </c>
      <c r="R726" s="104"/>
      <c r="S726" s="104"/>
      <c r="T726" s="105"/>
      <c r="U726" s="108"/>
      <c r="V726" s="109"/>
    </row>
    <row r="727" spans="1:22" ht="9" customHeight="1" x14ac:dyDescent="0.55000000000000004">
      <c r="A727" s="19"/>
      <c r="B727" s="69"/>
      <c r="C727" s="70"/>
      <c r="D727" s="69"/>
      <c r="E727" s="71"/>
      <c r="F727" s="72"/>
      <c r="G727" s="73"/>
      <c r="H727" s="74"/>
      <c r="I727" s="75"/>
      <c r="J727" s="76"/>
      <c r="K727" s="72"/>
      <c r="L727" s="73"/>
      <c r="M727" s="74"/>
      <c r="N727" s="75"/>
      <c r="O727" s="76"/>
      <c r="P727" s="72"/>
      <c r="Q727" s="73"/>
      <c r="R727" s="74"/>
      <c r="S727" s="75"/>
      <c r="T727" s="76"/>
      <c r="U727" s="77" t="str">
        <f>IF(OR(F730="",P730=""),"",B727/(F730-P730))</f>
        <v/>
      </c>
      <c r="V727" s="78"/>
    </row>
    <row r="728" spans="1:22" ht="9" customHeight="1" x14ac:dyDescent="0.55000000000000004">
      <c r="A728" s="79"/>
      <c r="B728" s="80"/>
      <c r="C728" s="81"/>
      <c r="D728" s="80"/>
      <c r="E728" s="82"/>
      <c r="F728" s="83" t="str">
        <f>IF(H730="","",F727-H728)</f>
        <v/>
      </c>
      <c r="G728" s="84" t="str">
        <f>IF(I730="","",F727-I728)</f>
        <v/>
      </c>
      <c r="H728" s="85" t="str">
        <f>IF(OR($A730="集水",$A730="吸水"),0.4,"")</f>
        <v/>
      </c>
      <c r="I728" s="85" t="str">
        <f>IF(OR($A730="集水",$A730="吸水"),0.4,"")</f>
        <v/>
      </c>
      <c r="J728" s="86" t="str">
        <f>IF(G728="","",F728-G728)</f>
        <v/>
      </c>
      <c r="K728" s="83" t="str">
        <f>IF(M730="","",K727-M728)</f>
        <v/>
      </c>
      <c r="L728" s="87" t="str">
        <f>IF(N730="","",K727-N728)</f>
        <v/>
      </c>
      <c r="M728" s="85" t="str">
        <f>IF(M730="","",IF(OR($A730="集水",$A730="吸水"),0.4,""))</f>
        <v/>
      </c>
      <c r="N728" s="85" t="str">
        <f>IF(N730="","",IF(OR($A730="集水",$A730="吸水"),0.4,""))</f>
        <v/>
      </c>
      <c r="O728" s="86" t="str">
        <f>IF(L728="","",K728-L728)</f>
        <v/>
      </c>
      <c r="P728" s="83" t="str">
        <f>IF(R730="","",P727-R728)</f>
        <v/>
      </c>
      <c r="Q728" s="84" t="str">
        <f>IF(S730="","",P727-S728)</f>
        <v/>
      </c>
      <c r="R728" s="85" t="str">
        <f>IF(OR($A730="集水",$A730="吸水"),0.4,"")</f>
        <v/>
      </c>
      <c r="S728" s="85" t="str">
        <f>IF(OR($A730="集水",$A730="吸水"),0.4,"")</f>
        <v/>
      </c>
      <c r="T728" s="86" t="str">
        <f>IF(Q728="","",P728-Q728)</f>
        <v/>
      </c>
      <c r="U728" s="88"/>
      <c r="V728" s="89"/>
    </row>
    <row r="729" spans="1:22" ht="9" customHeight="1" x14ac:dyDescent="0.55000000000000004">
      <c r="A729" s="90"/>
      <c r="B729" s="91"/>
      <c r="C729" s="92" t="str">
        <f>IF(B727="","",B729-B727)</f>
        <v/>
      </c>
      <c r="D729" s="91"/>
      <c r="E729" s="93" t="str">
        <f>IF(D727="","",D729-D727)</f>
        <v/>
      </c>
      <c r="F729" s="94"/>
      <c r="G729" s="85"/>
      <c r="H729" s="85"/>
      <c r="I729" s="95"/>
      <c r="J729" s="86"/>
      <c r="K729" s="94"/>
      <c r="L729" s="85"/>
      <c r="M729" s="85"/>
      <c r="N729" s="95"/>
      <c r="O729" s="86"/>
      <c r="P729" s="94"/>
      <c r="Q729" s="85"/>
      <c r="R729" s="85"/>
      <c r="S729" s="95"/>
      <c r="T729" s="86"/>
      <c r="U729" s="96"/>
      <c r="V729" s="97"/>
    </row>
    <row r="730" spans="1:22" ht="9" customHeight="1" x14ac:dyDescent="0.55000000000000004">
      <c r="A730" s="98"/>
      <c r="B730" s="99"/>
      <c r="C730" s="100"/>
      <c r="D730" s="99"/>
      <c r="E730" s="101"/>
      <c r="F730" s="102" t="str">
        <f>IF(H730="","",F727-H730)</f>
        <v/>
      </c>
      <c r="G730" s="103" t="str">
        <f>IF(I730="","",F727-I730)</f>
        <v/>
      </c>
      <c r="H730" s="104"/>
      <c r="I730" s="104"/>
      <c r="J730" s="105"/>
      <c r="K730" s="106" t="str">
        <f>IF(M730="","",K727-M730)</f>
        <v/>
      </c>
      <c r="L730" s="103" t="str">
        <f>IF(N730="","",K727-N730)</f>
        <v/>
      </c>
      <c r="M730" s="104"/>
      <c r="N730" s="107"/>
      <c r="O730" s="105"/>
      <c r="P730" s="102" t="str">
        <f>IF(R730="","",P727-R730)</f>
        <v/>
      </c>
      <c r="Q730" s="103" t="str">
        <f>IF(S730="","",P727-S730)</f>
        <v/>
      </c>
      <c r="R730" s="104"/>
      <c r="S730" s="104"/>
      <c r="T730" s="105"/>
      <c r="U730" s="108"/>
      <c r="V730" s="109"/>
    </row>
    <row r="731" spans="1:22" ht="9" customHeight="1" x14ac:dyDescent="0.55000000000000004">
      <c r="A731" s="19"/>
      <c r="B731" s="69"/>
      <c r="C731" s="70"/>
      <c r="D731" s="69"/>
      <c r="E731" s="71"/>
      <c r="F731" s="72"/>
      <c r="G731" s="73"/>
      <c r="H731" s="74"/>
      <c r="I731" s="75"/>
      <c r="J731" s="76"/>
      <c r="K731" s="72"/>
      <c r="L731" s="73"/>
      <c r="M731" s="74"/>
      <c r="N731" s="75"/>
      <c r="O731" s="76"/>
      <c r="P731" s="72"/>
      <c r="Q731" s="73"/>
      <c r="R731" s="74"/>
      <c r="S731" s="75"/>
      <c r="T731" s="76"/>
      <c r="U731" s="77" t="str">
        <f>IF(OR(F734="",P734=""),"",B731/(F734-P734))</f>
        <v/>
      </c>
      <c r="V731" s="78"/>
    </row>
    <row r="732" spans="1:22" ht="9" customHeight="1" x14ac:dyDescent="0.55000000000000004">
      <c r="A732" s="79"/>
      <c r="B732" s="80"/>
      <c r="C732" s="81"/>
      <c r="D732" s="80"/>
      <c r="E732" s="82"/>
      <c r="F732" s="83" t="str">
        <f>IF(H734="","",F731-H732)</f>
        <v/>
      </c>
      <c r="G732" s="84" t="str">
        <f>IF(I734="","",F731-I732)</f>
        <v/>
      </c>
      <c r="H732" s="85" t="str">
        <f>IF(OR($A734="集水",$A734="吸水"),0.4,"")</f>
        <v/>
      </c>
      <c r="I732" s="85" t="str">
        <f>IF(OR($A734="集水",$A734="吸水"),0.4,"")</f>
        <v/>
      </c>
      <c r="J732" s="86" t="str">
        <f>IF(G732="","",F732-G732)</f>
        <v/>
      </c>
      <c r="K732" s="83" t="str">
        <f>IF(M734="","",K731-M732)</f>
        <v/>
      </c>
      <c r="L732" s="87" t="str">
        <f>IF(N734="","",K731-N732)</f>
        <v/>
      </c>
      <c r="M732" s="85" t="str">
        <f>IF(M734="","",IF(OR($A734="集水",$A734="吸水"),0.4,""))</f>
        <v/>
      </c>
      <c r="N732" s="85" t="str">
        <f>IF(N734="","",IF(OR($A734="集水",$A734="吸水"),0.4,""))</f>
        <v/>
      </c>
      <c r="O732" s="86" t="str">
        <f>IF(L732="","",K732-L732)</f>
        <v/>
      </c>
      <c r="P732" s="83" t="str">
        <f>IF(R734="","",P731-R732)</f>
        <v/>
      </c>
      <c r="Q732" s="84" t="str">
        <f>IF(S734="","",P731-S732)</f>
        <v/>
      </c>
      <c r="R732" s="85" t="str">
        <f>IF(OR($A734="集水",$A734="吸水"),0.4,"")</f>
        <v/>
      </c>
      <c r="S732" s="85" t="str">
        <f>IF(OR($A734="集水",$A734="吸水"),0.4,"")</f>
        <v/>
      </c>
      <c r="T732" s="86" t="str">
        <f>IF(Q732="","",P732-Q732)</f>
        <v/>
      </c>
      <c r="U732" s="88"/>
      <c r="V732" s="89"/>
    </row>
    <row r="733" spans="1:22" ht="9" customHeight="1" x14ac:dyDescent="0.55000000000000004">
      <c r="A733" s="90"/>
      <c r="B733" s="91"/>
      <c r="C733" s="92" t="str">
        <f>IF(B731="","",B733-B731)</f>
        <v/>
      </c>
      <c r="D733" s="91"/>
      <c r="E733" s="93" t="str">
        <f>IF(D731="","",D733-D731)</f>
        <v/>
      </c>
      <c r="F733" s="94"/>
      <c r="G733" s="85"/>
      <c r="H733" s="85"/>
      <c r="I733" s="95"/>
      <c r="J733" s="86"/>
      <c r="K733" s="94"/>
      <c r="L733" s="85"/>
      <c r="M733" s="85"/>
      <c r="N733" s="95"/>
      <c r="O733" s="86"/>
      <c r="P733" s="94"/>
      <c r="Q733" s="85"/>
      <c r="R733" s="85"/>
      <c r="S733" s="95"/>
      <c r="T733" s="86"/>
      <c r="U733" s="96"/>
      <c r="V733" s="97"/>
    </row>
    <row r="734" spans="1:22" ht="9" customHeight="1" x14ac:dyDescent="0.55000000000000004">
      <c r="A734" s="98"/>
      <c r="B734" s="99"/>
      <c r="C734" s="100"/>
      <c r="D734" s="99"/>
      <c r="E734" s="101"/>
      <c r="F734" s="102" t="str">
        <f>IF(H734="","",F731-H734)</f>
        <v/>
      </c>
      <c r="G734" s="103" t="str">
        <f>IF(I734="","",F731-I734)</f>
        <v/>
      </c>
      <c r="H734" s="104"/>
      <c r="I734" s="104"/>
      <c r="J734" s="105"/>
      <c r="K734" s="106" t="str">
        <f>IF(M734="","",K731-M734)</f>
        <v/>
      </c>
      <c r="L734" s="103" t="str">
        <f>IF(N734="","",K731-N734)</f>
        <v/>
      </c>
      <c r="M734" s="104"/>
      <c r="N734" s="107"/>
      <c r="O734" s="105"/>
      <c r="P734" s="102" t="str">
        <f>IF(R734="","",P731-R734)</f>
        <v/>
      </c>
      <c r="Q734" s="103" t="str">
        <f>IF(S734="","",P731-S734)</f>
        <v/>
      </c>
      <c r="R734" s="104"/>
      <c r="S734" s="104"/>
      <c r="T734" s="105"/>
      <c r="U734" s="108"/>
      <c r="V734" s="109"/>
    </row>
    <row r="735" spans="1:22" ht="9" customHeight="1" x14ac:dyDescent="0.55000000000000004">
      <c r="A735" s="19"/>
      <c r="B735" s="69"/>
      <c r="C735" s="70"/>
      <c r="D735" s="69"/>
      <c r="E735" s="71"/>
      <c r="F735" s="72"/>
      <c r="G735" s="73"/>
      <c r="H735" s="74"/>
      <c r="I735" s="75"/>
      <c r="J735" s="76"/>
      <c r="K735" s="72"/>
      <c r="L735" s="73"/>
      <c r="M735" s="74"/>
      <c r="N735" s="75"/>
      <c r="O735" s="76"/>
      <c r="P735" s="72"/>
      <c r="Q735" s="73"/>
      <c r="R735" s="74"/>
      <c r="S735" s="75"/>
      <c r="T735" s="76"/>
      <c r="U735" s="77" t="str">
        <f>IF(OR(F738="",P738=""),"",B735/(F738-P738))</f>
        <v/>
      </c>
      <c r="V735" s="78"/>
    </row>
    <row r="736" spans="1:22" ht="9" customHeight="1" x14ac:dyDescent="0.55000000000000004">
      <c r="A736" s="79"/>
      <c r="B736" s="80"/>
      <c r="C736" s="81"/>
      <c r="D736" s="80"/>
      <c r="E736" s="82"/>
      <c r="F736" s="83" t="str">
        <f>IF(H738="","",F735-H736)</f>
        <v/>
      </c>
      <c r="G736" s="84" t="str">
        <f>IF(I738="","",F735-I736)</f>
        <v/>
      </c>
      <c r="H736" s="85" t="str">
        <f>IF(OR($A738="集水",$A738="吸水"),0.4,"")</f>
        <v/>
      </c>
      <c r="I736" s="85" t="str">
        <f>IF(OR($A738="集水",$A738="吸水"),0.4,"")</f>
        <v/>
      </c>
      <c r="J736" s="86" t="str">
        <f>IF(G736="","",F736-G736)</f>
        <v/>
      </c>
      <c r="K736" s="83" t="str">
        <f>IF(M738="","",K735-M736)</f>
        <v/>
      </c>
      <c r="L736" s="87" t="str">
        <f>IF(N738="","",K735-N736)</f>
        <v/>
      </c>
      <c r="M736" s="85" t="str">
        <f>IF(M738="","",IF(OR($A738="集水",$A738="吸水"),0.4,""))</f>
        <v/>
      </c>
      <c r="N736" s="85" t="str">
        <f>IF(N738="","",IF(OR($A738="集水",$A738="吸水"),0.4,""))</f>
        <v/>
      </c>
      <c r="O736" s="86" t="str">
        <f>IF(L736="","",K736-L736)</f>
        <v/>
      </c>
      <c r="P736" s="83" t="str">
        <f>IF(R738="","",P735-R736)</f>
        <v/>
      </c>
      <c r="Q736" s="84" t="str">
        <f>IF(S738="","",P735-S736)</f>
        <v/>
      </c>
      <c r="R736" s="85" t="str">
        <f>IF(OR($A738="集水",$A738="吸水"),0.4,"")</f>
        <v/>
      </c>
      <c r="S736" s="85" t="str">
        <f>IF(OR($A738="集水",$A738="吸水"),0.4,"")</f>
        <v/>
      </c>
      <c r="T736" s="86" t="str">
        <f>IF(Q736="","",P736-Q736)</f>
        <v/>
      </c>
      <c r="U736" s="88"/>
      <c r="V736" s="89"/>
    </row>
    <row r="737" spans="1:22" ht="9" customHeight="1" x14ac:dyDescent="0.55000000000000004">
      <c r="A737" s="90"/>
      <c r="B737" s="91"/>
      <c r="C737" s="92" t="str">
        <f>IF(B735="","",B737-B735)</f>
        <v/>
      </c>
      <c r="D737" s="91"/>
      <c r="E737" s="93" t="str">
        <f>IF(D735="","",D737-D735)</f>
        <v/>
      </c>
      <c r="F737" s="94"/>
      <c r="G737" s="85"/>
      <c r="H737" s="85"/>
      <c r="I737" s="95"/>
      <c r="J737" s="86"/>
      <c r="K737" s="94"/>
      <c r="L737" s="85"/>
      <c r="M737" s="85"/>
      <c r="N737" s="95"/>
      <c r="O737" s="86"/>
      <c r="P737" s="94"/>
      <c r="Q737" s="85"/>
      <c r="R737" s="85"/>
      <c r="S737" s="95"/>
      <c r="T737" s="86"/>
      <c r="U737" s="96"/>
      <c r="V737" s="97"/>
    </row>
    <row r="738" spans="1:22" ht="9" customHeight="1" x14ac:dyDescent="0.55000000000000004">
      <c r="A738" s="98"/>
      <c r="B738" s="99"/>
      <c r="C738" s="100"/>
      <c r="D738" s="99"/>
      <c r="E738" s="101"/>
      <c r="F738" s="102" t="str">
        <f>IF(H738="","",F735-H738)</f>
        <v/>
      </c>
      <c r="G738" s="103" t="str">
        <f>IF(I738="","",F735-I738)</f>
        <v/>
      </c>
      <c r="H738" s="104"/>
      <c r="I738" s="104"/>
      <c r="J738" s="105"/>
      <c r="K738" s="106" t="str">
        <f>IF(M738="","",K735-M738)</f>
        <v/>
      </c>
      <c r="L738" s="103" t="str">
        <f>IF(N738="","",K735-N738)</f>
        <v/>
      </c>
      <c r="M738" s="104"/>
      <c r="N738" s="107"/>
      <c r="O738" s="105"/>
      <c r="P738" s="102" t="str">
        <f>IF(R738="","",P735-R738)</f>
        <v/>
      </c>
      <c r="Q738" s="103" t="str">
        <f>IF(S738="","",P735-S738)</f>
        <v/>
      </c>
      <c r="R738" s="104"/>
      <c r="S738" s="104"/>
      <c r="T738" s="105"/>
      <c r="U738" s="108"/>
      <c r="V738" s="109"/>
    </row>
    <row r="739" spans="1:22" ht="9" customHeight="1" x14ac:dyDescent="0.55000000000000004">
      <c r="A739" s="19"/>
      <c r="B739" s="69"/>
      <c r="C739" s="70"/>
      <c r="D739" s="69"/>
      <c r="E739" s="71"/>
      <c r="F739" s="72"/>
      <c r="G739" s="73"/>
      <c r="H739" s="74"/>
      <c r="I739" s="75"/>
      <c r="J739" s="76"/>
      <c r="K739" s="72"/>
      <c r="L739" s="73"/>
      <c r="M739" s="74"/>
      <c r="N739" s="75"/>
      <c r="O739" s="76"/>
      <c r="P739" s="72"/>
      <c r="Q739" s="73"/>
      <c r="R739" s="74"/>
      <c r="S739" s="75"/>
      <c r="T739" s="76"/>
      <c r="U739" s="77" t="str">
        <f>IF(OR(F742="",P742=""),"",B739/(F742-P742))</f>
        <v/>
      </c>
      <c r="V739" s="78"/>
    </row>
    <row r="740" spans="1:22" ht="9" customHeight="1" x14ac:dyDescent="0.55000000000000004">
      <c r="A740" s="79"/>
      <c r="B740" s="80"/>
      <c r="C740" s="81"/>
      <c r="D740" s="80"/>
      <c r="E740" s="82"/>
      <c r="F740" s="83" t="str">
        <f>IF(H742="","",F739-H740)</f>
        <v/>
      </c>
      <c r="G740" s="84" t="str">
        <f>IF(I742="","",F739-I740)</f>
        <v/>
      </c>
      <c r="H740" s="85" t="str">
        <f>IF(OR($A742="集水",$A742="吸水"),0.4,"")</f>
        <v/>
      </c>
      <c r="I740" s="85" t="str">
        <f>IF(OR($A742="集水",$A742="吸水"),0.4,"")</f>
        <v/>
      </c>
      <c r="J740" s="86" t="str">
        <f>IF(G740="","",F740-G740)</f>
        <v/>
      </c>
      <c r="K740" s="83" t="str">
        <f>IF(M742="","",K739-M740)</f>
        <v/>
      </c>
      <c r="L740" s="87" t="str">
        <f>IF(N742="","",K739-N740)</f>
        <v/>
      </c>
      <c r="M740" s="85" t="str">
        <f>IF(M742="","",IF(OR($A742="集水",$A742="吸水"),0.4,""))</f>
        <v/>
      </c>
      <c r="N740" s="85" t="str">
        <f>IF(N742="","",IF(OR($A742="集水",$A742="吸水"),0.4,""))</f>
        <v/>
      </c>
      <c r="O740" s="86" t="str">
        <f>IF(L740="","",K740-L740)</f>
        <v/>
      </c>
      <c r="P740" s="83" t="str">
        <f>IF(R742="","",P739-R740)</f>
        <v/>
      </c>
      <c r="Q740" s="84" t="str">
        <f>IF(S742="","",P739-S740)</f>
        <v/>
      </c>
      <c r="R740" s="85" t="str">
        <f>IF(OR($A742="集水",$A742="吸水"),0.4,"")</f>
        <v/>
      </c>
      <c r="S740" s="85" t="str">
        <f>IF(OR($A742="集水",$A742="吸水"),0.4,"")</f>
        <v/>
      </c>
      <c r="T740" s="86" t="str">
        <f>IF(Q740="","",P740-Q740)</f>
        <v/>
      </c>
      <c r="U740" s="88"/>
      <c r="V740" s="89"/>
    </row>
    <row r="741" spans="1:22" ht="9" customHeight="1" x14ac:dyDescent="0.55000000000000004">
      <c r="A741" s="90"/>
      <c r="B741" s="91"/>
      <c r="C741" s="92" t="str">
        <f>IF(B739="","",B741-B739)</f>
        <v/>
      </c>
      <c r="D741" s="91"/>
      <c r="E741" s="93" t="str">
        <f>IF(D739="","",D741-D739)</f>
        <v/>
      </c>
      <c r="F741" s="94"/>
      <c r="G741" s="85"/>
      <c r="H741" s="85"/>
      <c r="I741" s="95"/>
      <c r="J741" s="86"/>
      <c r="K741" s="94"/>
      <c r="L741" s="85"/>
      <c r="M741" s="85"/>
      <c r="N741" s="95"/>
      <c r="O741" s="86"/>
      <c r="P741" s="94"/>
      <c r="Q741" s="85"/>
      <c r="R741" s="85"/>
      <c r="S741" s="95"/>
      <c r="T741" s="86"/>
      <c r="U741" s="96"/>
      <c r="V741" s="97"/>
    </row>
    <row r="742" spans="1:22" ht="9" customHeight="1" x14ac:dyDescent="0.55000000000000004">
      <c r="A742" s="98"/>
      <c r="B742" s="99"/>
      <c r="C742" s="100"/>
      <c r="D742" s="99"/>
      <c r="E742" s="101"/>
      <c r="F742" s="102" t="str">
        <f>IF(H742="","",F739-H742)</f>
        <v/>
      </c>
      <c r="G742" s="103" t="str">
        <f>IF(I742="","",F739-I742)</f>
        <v/>
      </c>
      <c r="H742" s="104"/>
      <c r="I742" s="104"/>
      <c r="J742" s="105"/>
      <c r="K742" s="106" t="str">
        <f>IF(M742="","",K739-M742)</f>
        <v/>
      </c>
      <c r="L742" s="103" t="str">
        <f>IF(N742="","",K739-N742)</f>
        <v/>
      </c>
      <c r="M742" s="104"/>
      <c r="N742" s="107"/>
      <c r="O742" s="105"/>
      <c r="P742" s="102" t="str">
        <f>IF(R742="","",P739-R742)</f>
        <v/>
      </c>
      <c r="Q742" s="103" t="str">
        <f>IF(S742="","",P739-S742)</f>
        <v/>
      </c>
      <c r="R742" s="104"/>
      <c r="S742" s="104"/>
      <c r="T742" s="105"/>
      <c r="U742" s="108"/>
      <c r="V742" s="109"/>
    </row>
    <row r="743" spans="1:22" ht="9" customHeight="1" x14ac:dyDescent="0.55000000000000004">
      <c r="A743" s="19"/>
      <c r="B743" s="69"/>
      <c r="C743" s="70"/>
      <c r="D743" s="69"/>
      <c r="E743" s="71"/>
      <c r="F743" s="72"/>
      <c r="G743" s="73"/>
      <c r="H743" s="74"/>
      <c r="I743" s="75"/>
      <c r="J743" s="76"/>
      <c r="K743" s="72"/>
      <c r="L743" s="73"/>
      <c r="M743" s="74"/>
      <c r="N743" s="75"/>
      <c r="O743" s="76"/>
      <c r="P743" s="72"/>
      <c r="Q743" s="73"/>
      <c r="R743" s="74"/>
      <c r="S743" s="75"/>
      <c r="T743" s="76"/>
      <c r="U743" s="77" t="str">
        <f>IF(OR(F746="",P746=""),"",B743/(F746-P746))</f>
        <v/>
      </c>
      <c r="V743" s="78"/>
    </row>
    <row r="744" spans="1:22" ht="9" customHeight="1" x14ac:dyDescent="0.55000000000000004">
      <c r="A744" s="79"/>
      <c r="B744" s="80"/>
      <c r="C744" s="81"/>
      <c r="D744" s="80"/>
      <c r="E744" s="82"/>
      <c r="F744" s="83" t="str">
        <f>IF(H746="","",F743-H744)</f>
        <v/>
      </c>
      <c r="G744" s="84" t="str">
        <f>IF(I746="","",F743-I744)</f>
        <v/>
      </c>
      <c r="H744" s="85" t="str">
        <f>IF(OR($A746="集水",$A746="吸水"),0.4,"")</f>
        <v/>
      </c>
      <c r="I744" s="85" t="str">
        <f>IF(OR($A746="集水",$A746="吸水"),0.4,"")</f>
        <v/>
      </c>
      <c r="J744" s="86" t="str">
        <f>IF(G744="","",F744-G744)</f>
        <v/>
      </c>
      <c r="K744" s="83" t="str">
        <f>IF(M746="","",K743-M744)</f>
        <v/>
      </c>
      <c r="L744" s="87" t="str">
        <f>IF(N746="","",K743-N744)</f>
        <v/>
      </c>
      <c r="M744" s="85" t="str">
        <f>IF(M746="","",IF(OR($A746="集水",$A746="吸水"),0.4,""))</f>
        <v/>
      </c>
      <c r="N744" s="85" t="str">
        <f>IF(N746="","",IF(OR($A746="集水",$A746="吸水"),0.4,""))</f>
        <v/>
      </c>
      <c r="O744" s="86" t="str">
        <f>IF(L744="","",K744-L744)</f>
        <v/>
      </c>
      <c r="P744" s="83" t="str">
        <f>IF(R746="","",P743-R744)</f>
        <v/>
      </c>
      <c r="Q744" s="84" t="str">
        <f>IF(S746="","",P743-S744)</f>
        <v/>
      </c>
      <c r="R744" s="85" t="str">
        <f>IF(OR($A746="集水",$A746="吸水"),0.4,"")</f>
        <v/>
      </c>
      <c r="S744" s="85" t="str">
        <f>IF(OR($A746="集水",$A746="吸水"),0.4,"")</f>
        <v/>
      </c>
      <c r="T744" s="86" t="str">
        <f>IF(Q744="","",P744-Q744)</f>
        <v/>
      </c>
      <c r="U744" s="88"/>
      <c r="V744" s="89"/>
    </row>
    <row r="745" spans="1:22" ht="9" customHeight="1" x14ac:dyDescent="0.55000000000000004">
      <c r="A745" s="90"/>
      <c r="B745" s="91"/>
      <c r="C745" s="92" t="str">
        <f>IF(B743="","",B745-B743)</f>
        <v/>
      </c>
      <c r="D745" s="91"/>
      <c r="E745" s="93" t="str">
        <f>IF(D743="","",D745-D743)</f>
        <v/>
      </c>
      <c r="F745" s="94"/>
      <c r="G745" s="85"/>
      <c r="H745" s="85"/>
      <c r="I745" s="95"/>
      <c r="J745" s="86"/>
      <c r="K745" s="94"/>
      <c r="L745" s="85"/>
      <c r="M745" s="85"/>
      <c r="N745" s="95"/>
      <c r="O745" s="86"/>
      <c r="P745" s="94"/>
      <c r="Q745" s="85"/>
      <c r="R745" s="85"/>
      <c r="S745" s="95"/>
      <c r="T745" s="86"/>
      <c r="U745" s="96"/>
      <c r="V745" s="97"/>
    </row>
    <row r="746" spans="1:22" ht="9" customHeight="1" x14ac:dyDescent="0.55000000000000004">
      <c r="A746" s="98"/>
      <c r="B746" s="99"/>
      <c r="C746" s="100"/>
      <c r="D746" s="99"/>
      <c r="E746" s="101"/>
      <c r="F746" s="102" t="str">
        <f>IF(H746="","",F743-H746)</f>
        <v/>
      </c>
      <c r="G746" s="103" t="str">
        <f>IF(I746="","",F743-I746)</f>
        <v/>
      </c>
      <c r="H746" s="104"/>
      <c r="I746" s="104"/>
      <c r="J746" s="105"/>
      <c r="K746" s="106" t="str">
        <f>IF(M746="","",K743-M746)</f>
        <v/>
      </c>
      <c r="L746" s="103" t="str">
        <f>IF(N746="","",K743-N746)</f>
        <v/>
      </c>
      <c r="M746" s="104"/>
      <c r="N746" s="107"/>
      <c r="O746" s="105"/>
      <c r="P746" s="102" t="str">
        <f>IF(R746="","",P743-R746)</f>
        <v/>
      </c>
      <c r="Q746" s="103" t="str">
        <f>IF(S746="","",P743-S746)</f>
        <v/>
      </c>
      <c r="R746" s="104"/>
      <c r="S746" s="104"/>
      <c r="T746" s="105"/>
      <c r="U746" s="108"/>
      <c r="V746" s="109"/>
    </row>
    <row r="747" spans="1:22" ht="9" customHeight="1" x14ac:dyDescent="0.55000000000000004">
      <c r="A747" s="19"/>
      <c r="B747" s="69"/>
      <c r="C747" s="70"/>
      <c r="D747" s="69"/>
      <c r="E747" s="71"/>
      <c r="F747" s="72"/>
      <c r="G747" s="73"/>
      <c r="H747" s="74"/>
      <c r="I747" s="75"/>
      <c r="J747" s="76"/>
      <c r="K747" s="72"/>
      <c r="L747" s="73"/>
      <c r="M747" s="74"/>
      <c r="N747" s="75"/>
      <c r="O747" s="76"/>
      <c r="P747" s="72"/>
      <c r="Q747" s="73"/>
      <c r="R747" s="74"/>
      <c r="S747" s="75"/>
      <c r="T747" s="76"/>
      <c r="U747" s="77" t="str">
        <f>IF(OR(F750="",P750=""),"",B747/(F750-P750))</f>
        <v/>
      </c>
      <c r="V747" s="78"/>
    </row>
    <row r="748" spans="1:22" ht="9" customHeight="1" x14ac:dyDescent="0.55000000000000004">
      <c r="A748" s="79"/>
      <c r="B748" s="80"/>
      <c r="C748" s="81"/>
      <c r="D748" s="80"/>
      <c r="E748" s="82"/>
      <c r="F748" s="83" t="str">
        <f>IF(H750="","",F747-H748)</f>
        <v/>
      </c>
      <c r="G748" s="84" t="str">
        <f>IF(I750="","",F747-I748)</f>
        <v/>
      </c>
      <c r="H748" s="85" t="str">
        <f>IF(OR($A750="集水",$A750="吸水"),0.4,"")</f>
        <v/>
      </c>
      <c r="I748" s="85" t="str">
        <f>IF(OR($A750="集水",$A750="吸水"),0.4,"")</f>
        <v/>
      </c>
      <c r="J748" s="86" t="str">
        <f>IF(G748="","",F748-G748)</f>
        <v/>
      </c>
      <c r="K748" s="83" t="str">
        <f>IF(M750="","",K747-M748)</f>
        <v/>
      </c>
      <c r="L748" s="87" t="str">
        <f>IF(N750="","",K747-N748)</f>
        <v/>
      </c>
      <c r="M748" s="85" t="str">
        <f>IF(M750="","",IF(OR($A750="集水",$A750="吸水"),0.4,""))</f>
        <v/>
      </c>
      <c r="N748" s="85" t="str">
        <f>IF(N750="","",IF(OR($A750="集水",$A750="吸水"),0.4,""))</f>
        <v/>
      </c>
      <c r="O748" s="86" t="str">
        <f>IF(L748="","",K748-L748)</f>
        <v/>
      </c>
      <c r="P748" s="83" t="str">
        <f>IF(R750="","",P747-R748)</f>
        <v/>
      </c>
      <c r="Q748" s="84" t="str">
        <f>IF(S750="","",P747-S748)</f>
        <v/>
      </c>
      <c r="R748" s="85" t="str">
        <f>IF(OR($A750="集水",$A750="吸水"),0.4,"")</f>
        <v/>
      </c>
      <c r="S748" s="85" t="str">
        <f>IF(OR($A750="集水",$A750="吸水"),0.4,"")</f>
        <v/>
      </c>
      <c r="T748" s="86" t="str">
        <f>IF(Q748="","",P748-Q748)</f>
        <v/>
      </c>
      <c r="U748" s="88"/>
      <c r="V748" s="89"/>
    </row>
    <row r="749" spans="1:22" ht="9" customHeight="1" x14ac:dyDescent="0.55000000000000004">
      <c r="A749" s="90"/>
      <c r="B749" s="91"/>
      <c r="C749" s="92" t="str">
        <f>IF(B747="","",B749-B747)</f>
        <v/>
      </c>
      <c r="D749" s="91"/>
      <c r="E749" s="93" t="str">
        <f>IF(D747="","",D749-D747)</f>
        <v/>
      </c>
      <c r="F749" s="94"/>
      <c r="G749" s="85"/>
      <c r="H749" s="85"/>
      <c r="I749" s="95"/>
      <c r="J749" s="86"/>
      <c r="K749" s="94"/>
      <c r="L749" s="85"/>
      <c r="M749" s="85"/>
      <c r="N749" s="95"/>
      <c r="O749" s="86"/>
      <c r="P749" s="94"/>
      <c r="Q749" s="85"/>
      <c r="R749" s="85"/>
      <c r="S749" s="95"/>
      <c r="T749" s="86"/>
      <c r="U749" s="96"/>
      <c r="V749" s="97"/>
    </row>
    <row r="750" spans="1:22" ht="9" customHeight="1" x14ac:dyDescent="0.55000000000000004">
      <c r="A750" s="98"/>
      <c r="B750" s="99"/>
      <c r="C750" s="100"/>
      <c r="D750" s="99"/>
      <c r="E750" s="101"/>
      <c r="F750" s="102" t="str">
        <f>IF(H750="","",F747-H750)</f>
        <v/>
      </c>
      <c r="G750" s="103" t="str">
        <f>IF(I750="","",F747-I750)</f>
        <v/>
      </c>
      <c r="H750" s="104"/>
      <c r="I750" s="104"/>
      <c r="J750" s="105"/>
      <c r="K750" s="106" t="str">
        <f>IF(M750="","",K747-M750)</f>
        <v/>
      </c>
      <c r="L750" s="103" t="str">
        <f>IF(N750="","",K747-N750)</f>
        <v/>
      </c>
      <c r="M750" s="104"/>
      <c r="N750" s="107"/>
      <c r="O750" s="105"/>
      <c r="P750" s="102" t="str">
        <f>IF(R750="","",P747-R750)</f>
        <v/>
      </c>
      <c r="Q750" s="103" t="str">
        <f>IF(S750="","",P747-S750)</f>
        <v/>
      </c>
      <c r="R750" s="104"/>
      <c r="S750" s="104"/>
      <c r="T750" s="105"/>
      <c r="U750" s="108"/>
      <c r="V750" s="109"/>
    </row>
    <row r="751" spans="1:22" ht="9" customHeight="1" x14ac:dyDescent="0.55000000000000004">
      <c r="A751" s="19"/>
      <c r="B751" s="69"/>
      <c r="C751" s="70"/>
      <c r="D751" s="69"/>
      <c r="E751" s="71"/>
      <c r="F751" s="72"/>
      <c r="G751" s="73"/>
      <c r="H751" s="74"/>
      <c r="I751" s="75"/>
      <c r="J751" s="76"/>
      <c r="K751" s="72"/>
      <c r="L751" s="73"/>
      <c r="M751" s="74"/>
      <c r="N751" s="75"/>
      <c r="O751" s="76"/>
      <c r="P751" s="72"/>
      <c r="Q751" s="73"/>
      <c r="R751" s="74"/>
      <c r="S751" s="75"/>
      <c r="T751" s="76"/>
      <c r="U751" s="77" t="str">
        <f>IF(OR(F754="",P754=""),"",B751/(F754-P754))</f>
        <v/>
      </c>
      <c r="V751" s="78"/>
    </row>
    <row r="752" spans="1:22" ht="9" customHeight="1" x14ac:dyDescent="0.55000000000000004">
      <c r="A752" s="79"/>
      <c r="B752" s="80"/>
      <c r="C752" s="81"/>
      <c r="D752" s="80"/>
      <c r="E752" s="82"/>
      <c r="F752" s="83" t="str">
        <f>IF(H754="","",F751-H752)</f>
        <v/>
      </c>
      <c r="G752" s="84" t="str">
        <f>IF(I754="","",F751-I752)</f>
        <v/>
      </c>
      <c r="H752" s="85" t="str">
        <f>IF(OR($A754="集水",$A754="吸水"),0.4,"")</f>
        <v/>
      </c>
      <c r="I752" s="85" t="str">
        <f>IF(OR($A754="集水",$A754="吸水"),0.4,"")</f>
        <v/>
      </c>
      <c r="J752" s="86" t="str">
        <f>IF(G752="","",F752-G752)</f>
        <v/>
      </c>
      <c r="K752" s="83" t="str">
        <f>IF(M754="","",K751-M752)</f>
        <v/>
      </c>
      <c r="L752" s="87" t="str">
        <f>IF(N754="","",K751-N752)</f>
        <v/>
      </c>
      <c r="M752" s="85" t="str">
        <f>IF(M754="","",IF(OR($A754="集水",$A754="吸水"),0.4,""))</f>
        <v/>
      </c>
      <c r="N752" s="85" t="str">
        <f>IF(N754="","",IF(OR($A754="集水",$A754="吸水"),0.4,""))</f>
        <v/>
      </c>
      <c r="O752" s="86" t="str">
        <f>IF(L752="","",K752-L752)</f>
        <v/>
      </c>
      <c r="P752" s="83" t="str">
        <f>IF(R754="","",P751-R752)</f>
        <v/>
      </c>
      <c r="Q752" s="84" t="str">
        <f>IF(S754="","",P751-S752)</f>
        <v/>
      </c>
      <c r="R752" s="85" t="str">
        <f>IF(OR($A754="集水",$A754="吸水"),0.4,"")</f>
        <v/>
      </c>
      <c r="S752" s="85" t="str">
        <f>IF(OR($A754="集水",$A754="吸水"),0.4,"")</f>
        <v/>
      </c>
      <c r="T752" s="86" t="str">
        <f>IF(Q752="","",P752-Q752)</f>
        <v/>
      </c>
      <c r="U752" s="88"/>
      <c r="V752" s="89"/>
    </row>
    <row r="753" spans="1:22" ht="9" customHeight="1" x14ac:dyDescent="0.55000000000000004">
      <c r="A753" s="90"/>
      <c r="B753" s="91"/>
      <c r="C753" s="92" t="str">
        <f>IF(B751="","",B753-B751)</f>
        <v/>
      </c>
      <c r="D753" s="91"/>
      <c r="E753" s="93" t="str">
        <f>IF(D751="","",D753-D751)</f>
        <v/>
      </c>
      <c r="F753" s="94"/>
      <c r="G753" s="85"/>
      <c r="H753" s="85"/>
      <c r="I753" s="95"/>
      <c r="J753" s="86"/>
      <c r="K753" s="94"/>
      <c r="L753" s="85"/>
      <c r="M753" s="85"/>
      <c r="N753" s="95"/>
      <c r="O753" s="86"/>
      <c r="P753" s="94"/>
      <c r="Q753" s="85"/>
      <c r="R753" s="85"/>
      <c r="S753" s="95"/>
      <c r="T753" s="86"/>
      <c r="U753" s="96"/>
      <c r="V753" s="97"/>
    </row>
    <row r="754" spans="1:22" ht="9" customHeight="1" x14ac:dyDescent="0.55000000000000004">
      <c r="A754" s="98"/>
      <c r="B754" s="99"/>
      <c r="C754" s="100"/>
      <c r="D754" s="99"/>
      <c r="E754" s="101"/>
      <c r="F754" s="102" t="str">
        <f>IF(H754="","",F751-H754)</f>
        <v/>
      </c>
      <c r="G754" s="103" t="str">
        <f>IF(I754="","",F751-I754)</f>
        <v/>
      </c>
      <c r="H754" s="104"/>
      <c r="I754" s="104"/>
      <c r="J754" s="105"/>
      <c r="K754" s="106" t="str">
        <f>IF(M754="","",K751-M754)</f>
        <v/>
      </c>
      <c r="L754" s="103" t="str">
        <f>IF(N754="","",K751-N754)</f>
        <v/>
      </c>
      <c r="M754" s="104"/>
      <c r="N754" s="107"/>
      <c r="O754" s="105"/>
      <c r="P754" s="102" t="str">
        <f>IF(R754="","",P751-R754)</f>
        <v/>
      </c>
      <c r="Q754" s="103" t="str">
        <f>IF(S754="","",P751-S754)</f>
        <v/>
      </c>
      <c r="R754" s="104"/>
      <c r="S754" s="104"/>
      <c r="T754" s="105"/>
      <c r="U754" s="108"/>
      <c r="V754" s="109"/>
    </row>
    <row r="755" spans="1:22" ht="9" customHeight="1" x14ac:dyDescent="0.55000000000000004">
      <c r="A755" s="19"/>
      <c r="B755" s="69"/>
      <c r="C755" s="70"/>
      <c r="D755" s="69"/>
      <c r="E755" s="71"/>
      <c r="F755" s="72"/>
      <c r="G755" s="73"/>
      <c r="H755" s="74"/>
      <c r="I755" s="75"/>
      <c r="J755" s="76"/>
      <c r="K755" s="72"/>
      <c r="L755" s="73"/>
      <c r="M755" s="74"/>
      <c r="N755" s="75"/>
      <c r="O755" s="76"/>
      <c r="P755" s="72"/>
      <c r="Q755" s="73"/>
      <c r="R755" s="74"/>
      <c r="S755" s="75"/>
      <c r="T755" s="76"/>
      <c r="U755" s="77" t="str">
        <f>IF(OR(F758="",P758=""),"",B755/(F758-P758))</f>
        <v/>
      </c>
      <c r="V755" s="78"/>
    </row>
    <row r="756" spans="1:22" ht="9" customHeight="1" x14ac:dyDescent="0.55000000000000004">
      <c r="A756" s="79"/>
      <c r="B756" s="80"/>
      <c r="C756" s="81"/>
      <c r="D756" s="80"/>
      <c r="E756" s="82"/>
      <c r="F756" s="83" t="str">
        <f>IF(H758="","",F755-H756)</f>
        <v/>
      </c>
      <c r="G756" s="84" t="str">
        <f>IF(I758="","",F755-I756)</f>
        <v/>
      </c>
      <c r="H756" s="85" t="str">
        <f>IF(OR($A758="集水",$A758="吸水"),0.4,"")</f>
        <v/>
      </c>
      <c r="I756" s="85" t="str">
        <f>IF(OR($A758="集水",$A758="吸水"),0.4,"")</f>
        <v/>
      </c>
      <c r="J756" s="86" t="str">
        <f>IF(G756="","",F756-G756)</f>
        <v/>
      </c>
      <c r="K756" s="83" t="str">
        <f>IF(M758="","",K755-M756)</f>
        <v/>
      </c>
      <c r="L756" s="87" t="str">
        <f>IF(N758="","",K755-N756)</f>
        <v/>
      </c>
      <c r="M756" s="85" t="str">
        <f>IF(M758="","",IF(OR($A758="集水",$A758="吸水"),0.4,""))</f>
        <v/>
      </c>
      <c r="N756" s="85" t="str">
        <f>IF(N758="","",IF(OR($A758="集水",$A758="吸水"),0.4,""))</f>
        <v/>
      </c>
      <c r="O756" s="86" t="str">
        <f>IF(L756="","",K756-L756)</f>
        <v/>
      </c>
      <c r="P756" s="83" t="str">
        <f>IF(R758="","",P755-R756)</f>
        <v/>
      </c>
      <c r="Q756" s="84" t="str">
        <f>IF(S758="","",P755-S756)</f>
        <v/>
      </c>
      <c r="R756" s="85" t="str">
        <f>IF(OR($A758="集水",$A758="吸水"),0.4,"")</f>
        <v/>
      </c>
      <c r="S756" s="85" t="str">
        <f>IF(OR($A758="集水",$A758="吸水"),0.4,"")</f>
        <v/>
      </c>
      <c r="T756" s="86" t="str">
        <f>IF(Q756="","",P756-Q756)</f>
        <v/>
      </c>
      <c r="U756" s="88"/>
      <c r="V756" s="89"/>
    </row>
    <row r="757" spans="1:22" ht="9" customHeight="1" x14ac:dyDescent="0.55000000000000004">
      <c r="A757" s="90"/>
      <c r="B757" s="91"/>
      <c r="C757" s="92" t="str">
        <f>IF(B755="","",B757-B755)</f>
        <v/>
      </c>
      <c r="D757" s="91"/>
      <c r="E757" s="93" t="str">
        <f>IF(D755="","",D757-D755)</f>
        <v/>
      </c>
      <c r="F757" s="94"/>
      <c r="G757" s="85"/>
      <c r="H757" s="85"/>
      <c r="I757" s="95"/>
      <c r="J757" s="86"/>
      <c r="K757" s="94"/>
      <c r="L757" s="85"/>
      <c r="M757" s="85"/>
      <c r="N757" s="95"/>
      <c r="O757" s="86"/>
      <c r="P757" s="94"/>
      <c r="Q757" s="85"/>
      <c r="R757" s="85"/>
      <c r="S757" s="95"/>
      <c r="T757" s="86"/>
      <c r="U757" s="96"/>
      <c r="V757" s="97"/>
    </row>
    <row r="758" spans="1:22" ht="9" customHeight="1" x14ac:dyDescent="0.55000000000000004">
      <c r="A758" s="98"/>
      <c r="B758" s="99"/>
      <c r="C758" s="100"/>
      <c r="D758" s="99"/>
      <c r="E758" s="101"/>
      <c r="F758" s="102" t="str">
        <f>IF(H758="","",F755-H758)</f>
        <v/>
      </c>
      <c r="G758" s="103" t="str">
        <f>IF(I758="","",F755-I758)</f>
        <v/>
      </c>
      <c r="H758" s="104"/>
      <c r="I758" s="104"/>
      <c r="J758" s="105"/>
      <c r="K758" s="106" t="str">
        <f>IF(M758="","",K755-M758)</f>
        <v/>
      </c>
      <c r="L758" s="103" t="str">
        <f>IF(N758="","",K755-N758)</f>
        <v/>
      </c>
      <c r="M758" s="104"/>
      <c r="N758" s="107"/>
      <c r="O758" s="105"/>
      <c r="P758" s="102" t="str">
        <f>IF(R758="","",P755-R758)</f>
        <v/>
      </c>
      <c r="Q758" s="103" t="str">
        <f>IF(S758="","",P755-S758)</f>
        <v/>
      </c>
      <c r="R758" s="104"/>
      <c r="S758" s="104"/>
      <c r="T758" s="105"/>
      <c r="U758" s="108"/>
      <c r="V758" s="109"/>
    </row>
    <row r="759" spans="1:22" ht="9" customHeight="1" x14ac:dyDescent="0.55000000000000004">
      <c r="A759" s="19"/>
      <c r="B759" s="69"/>
      <c r="C759" s="70"/>
      <c r="D759" s="69"/>
      <c r="E759" s="71"/>
      <c r="F759" s="72"/>
      <c r="G759" s="73"/>
      <c r="H759" s="74"/>
      <c r="I759" s="75"/>
      <c r="J759" s="76"/>
      <c r="K759" s="72"/>
      <c r="L759" s="73"/>
      <c r="M759" s="74"/>
      <c r="N759" s="75"/>
      <c r="O759" s="76"/>
      <c r="P759" s="72"/>
      <c r="Q759" s="73"/>
      <c r="R759" s="74"/>
      <c r="S759" s="75"/>
      <c r="T759" s="76"/>
      <c r="U759" s="77" t="str">
        <f>IF(OR(F762="",P762=""),"",B759/(F762-P762))</f>
        <v/>
      </c>
      <c r="V759" s="78"/>
    </row>
    <row r="760" spans="1:22" ht="9" customHeight="1" x14ac:dyDescent="0.55000000000000004">
      <c r="A760" s="79"/>
      <c r="B760" s="80"/>
      <c r="C760" s="81"/>
      <c r="D760" s="80"/>
      <c r="E760" s="82"/>
      <c r="F760" s="83" t="str">
        <f>IF(H762="","",F759-H760)</f>
        <v/>
      </c>
      <c r="G760" s="84" t="str">
        <f>IF(I762="","",F759-I760)</f>
        <v/>
      </c>
      <c r="H760" s="85" t="str">
        <f>IF(OR($A762="集水",$A762="吸水"),0.4,"")</f>
        <v/>
      </c>
      <c r="I760" s="85" t="str">
        <f>IF(OR($A762="集水",$A762="吸水"),0.4,"")</f>
        <v/>
      </c>
      <c r="J760" s="86" t="str">
        <f>IF(G760="","",F760-G760)</f>
        <v/>
      </c>
      <c r="K760" s="83" t="str">
        <f>IF(M762="","",K759-M760)</f>
        <v/>
      </c>
      <c r="L760" s="87" t="str">
        <f>IF(N762="","",K759-N760)</f>
        <v/>
      </c>
      <c r="M760" s="85" t="str">
        <f>IF(M762="","",IF(OR($A762="集水",$A762="吸水"),0.4,""))</f>
        <v/>
      </c>
      <c r="N760" s="85" t="str">
        <f>IF(N762="","",IF(OR($A762="集水",$A762="吸水"),0.4,""))</f>
        <v/>
      </c>
      <c r="O760" s="86" t="str">
        <f>IF(L760="","",K760-L760)</f>
        <v/>
      </c>
      <c r="P760" s="83" t="str">
        <f>IF(R762="","",P759-R760)</f>
        <v/>
      </c>
      <c r="Q760" s="84" t="str">
        <f>IF(S762="","",P759-S760)</f>
        <v/>
      </c>
      <c r="R760" s="85" t="str">
        <f>IF(OR($A762="集水",$A762="吸水"),0.4,"")</f>
        <v/>
      </c>
      <c r="S760" s="85" t="str">
        <f>IF(OR($A762="集水",$A762="吸水"),0.4,"")</f>
        <v/>
      </c>
      <c r="T760" s="86" t="str">
        <f>IF(Q760="","",P760-Q760)</f>
        <v/>
      </c>
      <c r="U760" s="88"/>
      <c r="V760" s="89"/>
    </row>
    <row r="761" spans="1:22" ht="9" customHeight="1" x14ac:dyDescent="0.55000000000000004">
      <c r="A761" s="90"/>
      <c r="B761" s="91"/>
      <c r="C761" s="92" t="str">
        <f>IF(B759="","",B761-B759)</f>
        <v/>
      </c>
      <c r="D761" s="91"/>
      <c r="E761" s="93" t="str">
        <f>IF(D759="","",D761-D759)</f>
        <v/>
      </c>
      <c r="F761" s="94"/>
      <c r="G761" s="85"/>
      <c r="H761" s="85"/>
      <c r="I761" s="95"/>
      <c r="J761" s="86"/>
      <c r="K761" s="94"/>
      <c r="L761" s="85"/>
      <c r="M761" s="85"/>
      <c r="N761" s="95"/>
      <c r="O761" s="86"/>
      <c r="P761" s="94"/>
      <c r="Q761" s="85"/>
      <c r="R761" s="85"/>
      <c r="S761" s="95"/>
      <c r="T761" s="86"/>
      <c r="U761" s="96"/>
      <c r="V761" s="97"/>
    </row>
    <row r="762" spans="1:22" ht="9" customHeight="1" x14ac:dyDescent="0.55000000000000004">
      <c r="A762" s="98"/>
      <c r="B762" s="99"/>
      <c r="C762" s="100"/>
      <c r="D762" s="99"/>
      <c r="E762" s="101"/>
      <c r="F762" s="102" t="str">
        <f>IF(H762="","",F759-H762)</f>
        <v/>
      </c>
      <c r="G762" s="103" t="str">
        <f>IF(I762="","",F759-I762)</f>
        <v/>
      </c>
      <c r="H762" s="104"/>
      <c r="I762" s="104"/>
      <c r="J762" s="105"/>
      <c r="K762" s="106" t="str">
        <f>IF(M762="","",K759-M762)</f>
        <v/>
      </c>
      <c r="L762" s="103" t="str">
        <f>IF(N762="","",K759-N762)</f>
        <v/>
      </c>
      <c r="M762" s="104"/>
      <c r="N762" s="107"/>
      <c r="O762" s="105"/>
      <c r="P762" s="102" t="str">
        <f>IF(R762="","",P759-R762)</f>
        <v/>
      </c>
      <c r="Q762" s="103" t="str">
        <f>IF(S762="","",P759-S762)</f>
        <v/>
      </c>
      <c r="R762" s="104"/>
      <c r="S762" s="104"/>
      <c r="T762" s="105"/>
      <c r="U762" s="108"/>
      <c r="V762" s="109"/>
    </row>
    <row r="763" spans="1:22" ht="9" customHeight="1" x14ac:dyDescent="0.55000000000000004">
      <c r="A763" s="19"/>
      <c r="B763" s="69"/>
      <c r="C763" s="70"/>
      <c r="D763" s="69"/>
      <c r="E763" s="71"/>
      <c r="F763" s="72"/>
      <c r="G763" s="73"/>
      <c r="H763" s="74"/>
      <c r="I763" s="75"/>
      <c r="J763" s="76"/>
      <c r="K763" s="72"/>
      <c r="L763" s="73"/>
      <c r="M763" s="74"/>
      <c r="N763" s="75"/>
      <c r="O763" s="76"/>
      <c r="P763" s="72"/>
      <c r="Q763" s="73"/>
      <c r="R763" s="74"/>
      <c r="S763" s="75"/>
      <c r="T763" s="76"/>
      <c r="U763" s="77" t="str">
        <f>IF(OR(F766="",P766=""),"",B763/(F766-P766))</f>
        <v/>
      </c>
      <c r="V763" s="78"/>
    </row>
    <row r="764" spans="1:22" ht="9" customHeight="1" x14ac:dyDescent="0.55000000000000004">
      <c r="A764" s="79"/>
      <c r="B764" s="80"/>
      <c r="C764" s="81"/>
      <c r="D764" s="80"/>
      <c r="E764" s="82"/>
      <c r="F764" s="83" t="str">
        <f>IF(H766="","",F763-H764)</f>
        <v/>
      </c>
      <c r="G764" s="84" t="str">
        <f>IF(I766="","",F763-I764)</f>
        <v/>
      </c>
      <c r="H764" s="85" t="str">
        <f>IF(OR($A766="集水",$A766="吸水"),0.4,"")</f>
        <v/>
      </c>
      <c r="I764" s="85" t="str">
        <f>IF(OR($A766="集水",$A766="吸水"),0.4,"")</f>
        <v/>
      </c>
      <c r="J764" s="86" t="str">
        <f>IF(G764="","",F764-G764)</f>
        <v/>
      </c>
      <c r="K764" s="83" t="str">
        <f>IF(M766="","",K763-M764)</f>
        <v/>
      </c>
      <c r="L764" s="87" t="str">
        <f>IF(N766="","",K763-N764)</f>
        <v/>
      </c>
      <c r="M764" s="85" t="str">
        <f>IF(M766="","",IF(OR($A766="集水",$A766="吸水"),0.4,""))</f>
        <v/>
      </c>
      <c r="N764" s="85" t="str">
        <f>IF(N766="","",IF(OR($A766="集水",$A766="吸水"),0.4,""))</f>
        <v/>
      </c>
      <c r="O764" s="86" t="str">
        <f>IF(L764="","",K764-L764)</f>
        <v/>
      </c>
      <c r="P764" s="83" t="str">
        <f>IF(R766="","",P763-R764)</f>
        <v/>
      </c>
      <c r="Q764" s="84" t="str">
        <f>IF(S766="","",P763-S764)</f>
        <v/>
      </c>
      <c r="R764" s="85" t="str">
        <f>IF(OR($A766="集水",$A766="吸水"),0.4,"")</f>
        <v/>
      </c>
      <c r="S764" s="85" t="str">
        <f>IF(OR($A766="集水",$A766="吸水"),0.4,"")</f>
        <v/>
      </c>
      <c r="T764" s="86" t="str">
        <f>IF(Q764="","",P764-Q764)</f>
        <v/>
      </c>
      <c r="U764" s="88"/>
      <c r="V764" s="89"/>
    </row>
    <row r="765" spans="1:22" ht="9" customHeight="1" x14ac:dyDescent="0.55000000000000004">
      <c r="A765" s="90"/>
      <c r="B765" s="91"/>
      <c r="C765" s="92" t="str">
        <f>IF(B763="","",B765-B763)</f>
        <v/>
      </c>
      <c r="D765" s="91"/>
      <c r="E765" s="93" t="str">
        <f>IF(D763="","",D765-D763)</f>
        <v/>
      </c>
      <c r="F765" s="94"/>
      <c r="G765" s="85"/>
      <c r="H765" s="85"/>
      <c r="I765" s="95"/>
      <c r="J765" s="86"/>
      <c r="K765" s="94"/>
      <c r="L765" s="85"/>
      <c r="M765" s="85"/>
      <c r="N765" s="95"/>
      <c r="O765" s="86"/>
      <c r="P765" s="94"/>
      <c r="Q765" s="85"/>
      <c r="R765" s="85"/>
      <c r="S765" s="95"/>
      <c r="T765" s="86"/>
      <c r="U765" s="96"/>
      <c r="V765" s="97"/>
    </row>
    <row r="766" spans="1:22" ht="9" customHeight="1" x14ac:dyDescent="0.55000000000000004">
      <c r="A766" s="98"/>
      <c r="B766" s="99"/>
      <c r="C766" s="100"/>
      <c r="D766" s="99"/>
      <c r="E766" s="101"/>
      <c r="F766" s="102" t="str">
        <f>IF(H766="","",F763-H766)</f>
        <v/>
      </c>
      <c r="G766" s="103" t="str">
        <f>IF(I766="","",F763-I766)</f>
        <v/>
      </c>
      <c r="H766" s="104"/>
      <c r="I766" s="104"/>
      <c r="J766" s="105"/>
      <c r="K766" s="106" t="str">
        <f>IF(M766="","",K763-M766)</f>
        <v/>
      </c>
      <c r="L766" s="103" t="str">
        <f>IF(N766="","",K763-N766)</f>
        <v/>
      </c>
      <c r="M766" s="104"/>
      <c r="N766" s="107"/>
      <c r="O766" s="105"/>
      <c r="P766" s="102" t="str">
        <f>IF(R766="","",P763-R766)</f>
        <v/>
      </c>
      <c r="Q766" s="103" t="str">
        <f>IF(S766="","",P763-S766)</f>
        <v/>
      </c>
      <c r="R766" s="104"/>
      <c r="S766" s="104"/>
      <c r="T766" s="105"/>
      <c r="U766" s="108"/>
      <c r="V766" s="109"/>
    </row>
    <row r="767" spans="1:22" ht="9" customHeight="1" x14ac:dyDescent="0.55000000000000004">
      <c r="A767" s="19"/>
      <c r="B767" s="69"/>
      <c r="C767" s="70"/>
      <c r="D767" s="69"/>
      <c r="E767" s="71"/>
      <c r="F767" s="72"/>
      <c r="G767" s="73"/>
      <c r="H767" s="74"/>
      <c r="I767" s="75"/>
      <c r="J767" s="76"/>
      <c r="K767" s="72"/>
      <c r="L767" s="73"/>
      <c r="M767" s="74"/>
      <c r="N767" s="75"/>
      <c r="O767" s="76"/>
      <c r="P767" s="72"/>
      <c r="Q767" s="73"/>
      <c r="R767" s="74"/>
      <c r="S767" s="75"/>
      <c r="T767" s="76"/>
      <c r="U767" s="77" t="str">
        <f>IF(OR(F770="",P770=""),"",B767/(F770-P770))</f>
        <v/>
      </c>
      <c r="V767" s="78"/>
    </row>
    <row r="768" spans="1:22" ht="9" customHeight="1" x14ac:dyDescent="0.55000000000000004">
      <c r="A768" s="79"/>
      <c r="B768" s="80"/>
      <c r="C768" s="81"/>
      <c r="D768" s="80"/>
      <c r="E768" s="82"/>
      <c r="F768" s="83" t="str">
        <f>IF(H770="","",F767-H768)</f>
        <v/>
      </c>
      <c r="G768" s="84" t="str">
        <f>IF(I770="","",F767-I768)</f>
        <v/>
      </c>
      <c r="H768" s="85" t="str">
        <f>IF(OR($A770="集水",$A770="吸水"),0.4,"")</f>
        <v/>
      </c>
      <c r="I768" s="85" t="str">
        <f>IF(OR($A770="集水",$A770="吸水"),0.4,"")</f>
        <v/>
      </c>
      <c r="J768" s="86" t="str">
        <f>IF(G768="","",F768-G768)</f>
        <v/>
      </c>
      <c r="K768" s="83" t="str">
        <f>IF(M770="","",K767-M768)</f>
        <v/>
      </c>
      <c r="L768" s="87" t="str">
        <f>IF(N770="","",K767-N768)</f>
        <v/>
      </c>
      <c r="M768" s="85" t="str">
        <f>IF(M770="","",IF(OR($A770="集水",$A770="吸水"),0.4,""))</f>
        <v/>
      </c>
      <c r="N768" s="85" t="str">
        <f>IF(N770="","",IF(OR($A770="集水",$A770="吸水"),0.4,""))</f>
        <v/>
      </c>
      <c r="O768" s="86" t="str">
        <f>IF(L768="","",K768-L768)</f>
        <v/>
      </c>
      <c r="P768" s="83" t="str">
        <f>IF(R770="","",P767-R768)</f>
        <v/>
      </c>
      <c r="Q768" s="84" t="str">
        <f>IF(S770="","",P767-S768)</f>
        <v/>
      </c>
      <c r="R768" s="85" t="str">
        <f>IF(OR($A770="集水",$A770="吸水"),0.4,"")</f>
        <v/>
      </c>
      <c r="S768" s="85" t="str">
        <f>IF(OR($A770="集水",$A770="吸水"),0.4,"")</f>
        <v/>
      </c>
      <c r="T768" s="86" t="str">
        <f>IF(Q768="","",P768-Q768)</f>
        <v/>
      </c>
      <c r="U768" s="88"/>
      <c r="V768" s="89"/>
    </row>
    <row r="769" spans="1:22" ht="9" customHeight="1" x14ac:dyDescent="0.55000000000000004">
      <c r="A769" s="90"/>
      <c r="B769" s="91"/>
      <c r="C769" s="92" t="str">
        <f>IF(B767="","",B769-B767)</f>
        <v/>
      </c>
      <c r="D769" s="91"/>
      <c r="E769" s="93" t="str">
        <f>IF(D767="","",D769-D767)</f>
        <v/>
      </c>
      <c r="F769" s="94"/>
      <c r="G769" s="85"/>
      <c r="H769" s="85"/>
      <c r="I769" s="95"/>
      <c r="J769" s="86"/>
      <c r="K769" s="94"/>
      <c r="L769" s="85"/>
      <c r="M769" s="85"/>
      <c r="N769" s="95"/>
      <c r="O769" s="86"/>
      <c r="P769" s="94"/>
      <c r="Q769" s="85"/>
      <c r="R769" s="85"/>
      <c r="S769" s="95"/>
      <c r="T769" s="86"/>
      <c r="U769" s="96"/>
      <c r="V769" s="97"/>
    </row>
    <row r="770" spans="1:22" ht="9" customHeight="1" x14ac:dyDescent="0.55000000000000004">
      <c r="A770" s="98"/>
      <c r="B770" s="99"/>
      <c r="C770" s="100"/>
      <c r="D770" s="99"/>
      <c r="E770" s="101"/>
      <c r="F770" s="102" t="str">
        <f>IF(H770="","",F767-H770)</f>
        <v/>
      </c>
      <c r="G770" s="103" t="str">
        <f>IF(I770="","",F767-I770)</f>
        <v/>
      </c>
      <c r="H770" s="104"/>
      <c r="I770" s="104"/>
      <c r="J770" s="105"/>
      <c r="K770" s="106" t="str">
        <f>IF(M770="","",K767-M770)</f>
        <v/>
      </c>
      <c r="L770" s="103" t="str">
        <f>IF(N770="","",K767-N770)</f>
        <v/>
      </c>
      <c r="M770" s="104"/>
      <c r="N770" s="107"/>
      <c r="O770" s="105"/>
      <c r="P770" s="102" t="str">
        <f>IF(R770="","",P767-R770)</f>
        <v/>
      </c>
      <c r="Q770" s="103" t="str">
        <f>IF(S770="","",P767-S770)</f>
        <v/>
      </c>
      <c r="R770" s="104"/>
      <c r="S770" s="104"/>
      <c r="T770" s="105"/>
      <c r="U770" s="108"/>
      <c r="V770" s="109"/>
    </row>
    <row r="771" spans="1:22" ht="9" customHeight="1" x14ac:dyDescent="0.55000000000000004">
      <c r="A771" s="19"/>
      <c r="B771" s="69"/>
      <c r="C771" s="70"/>
      <c r="D771" s="69"/>
      <c r="E771" s="71"/>
      <c r="F771" s="72"/>
      <c r="G771" s="73"/>
      <c r="H771" s="74"/>
      <c r="I771" s="75"/>
      <c r="J771" s="76"/>
      <c r="K771" s="72"/>
      <c r="L771" s="73"/>
      <c r="M771" s="74"/>
      <c r="N771" s="75"/>
      <c r="O771" s="76"/>
      <c r="P771" s="72"/>
      <c r="Q771" s="73"/>
      <c r="R771" s="74"/>
      <c r="S771" s="75"/>
      <c r="T771" s="76"/>
      <c r="U771" s="77" t="str">
        <f>IF(OR(F774="",P774=""),"",B771/(F774-P774))</f>
        <v/>
      </c>
      <c r="V771" s="78"/>
    </row>
    <row r="772" spans="1:22" ht="9" customHeight="1" x14ac:dyDescent="0.55000000000000004">
      <c r="A772" s="79"/>
      <c r="B772" s="80"/>
      <c r="C772" s="81"/>
      <c r="D772" s="80"/>
      <c r="E772" s="82"/>
      <c r="F772" s="83" t="str">
        <f>IF(H774="","",F771-H772)</f>
        <v/>
      </c>
      <c r="G772" s="84" t="str">
        <f>IF(I774="","",F771-I772)</f>
        <v/>
      </c>
      <c r="H772" s="85" t="str">
        <f>IF(OR($A774="集水",$A774="吸水"),0.4,"")</f>
        <v/>
      </c>
      <c r="I772" s="85" t="str">
        <f>IF(OR($A774="集水",$A774="吸水"),0.4,"")</f>
        <v/>
      </c>
      <c r="J772" s="86" t="str">
        <f>IF(G772="","",F772-G772)</f>
        <v/>
      </c>
      <c r="K772" s="83" t="str">
        <f>IF(M774="","",K771-M772)</f>
        <v/>
      </c>
      <c r="L772" s="87" t="str">
        <f>IF(N774="","",K771-N772)</f>
        <v/>
      </c>
      <c r="M772" s="85" t="str">
        <f>IF(M774="","",IF(OR($A774="集水",$A774="吸水"),0.4,""))</f>
        <v/>
      </c>
      <c r="N772" s="85" t="str">
        <f>IF(N774="","",IF(OR($A774="集水",$A774="吸水"),0.4,""))</f>
        <v/>
      </c>
      <c r="O772" s="86" t="str">
        <f>IF(L772="","",K772-L772)</f>
        <v/>
      </c>
      <c r="P772" s="83" t="str">
        <f>IF(R774="","",P771-R772)</f>
        <v/>
      </c>
      <c r="Q772" s="84" t="str">
        <f>IF(S774="","",P771-S772)</f>
        <v/>
      </c>
      <c r="R772" s="85" t="str">
        <f>IF(OR($A774="集水",$A774="吸水"),0.4,"")</f>
        <v/>
      </c>
      <c r="S772" s="85" t="str">
        <f>IF(OR($A774="集水",$A774="吸水"),0.4,"")</f>
        <v/>
      </c>
      <c r="T772" s="86" t="str">
        <f>IF(Q772="","",P772-Q772)</f>
        <v/>
      </c>
      <c r="U772" s="88"/>
      <c r="V772" s="89"/>
    </row>
    <row r="773" spans="1:22" ht="9" customHeight="1" x14ac:dyDescent="0.55000000000000004">
      <c r="A773" s="90"/>
      <c r="B773" s="91"/>
      <c r="C773" s="92" t="str">
        <f>IF(B771="","",B773-B771)</f>
        <v/>
      </c>
      <c r="D773" s="91"/>
      <c r="E773" s="93" t="str">
        <f>IF(D771="","",D773-D771)</f>
        <v/>
      </c>
      <c r="F773" s="94"/>
      <c r="G773" s="85"/>
      <c r="H773" s="85"/>
      <c r="I773" s="95"/>
      <c r="J773" s="86"/>
      <c r="K773" s="94"/>
      <c r="L773" s="85"/>
      <c r="M773" s="85"/>
      <c r="N773" s="95"/>
      <c r="O773" s="86"/>
      <c r="P773" s="94"/>
      <c r="Q773" s="85"/>
      <c r="R773" s="85"/>
      <c r="S773" s="95"/>
      <c r="T773" s="86"/>
      <c r="U773" s="96"/>
      <c r="V773" s="97"/>
    </row>
    <row r="774" spans="1:22" ht="9" customHeight="1" x14ac:dyDescent="0.55000000000000004">
      <c r="A774" s="98"/>
      <c r="B774" s="99"/>
      <c r="C774" s="100"/>
      <c r="D774" s="99"/>
      <c r="E774" s="101"/>
      <c r="F774" s="102" t="str">
        <f>IF(H774="","",F771-H774)</f>
        <v/>
      </c>
      <c r="G774" s="103" t="str">
        <f>IF(I774="","",F771-I774)</f>
        <v/>
      </c>
      <c r="H774" s="104"/>
      <c r="I774" s="104"/>
      <c r="J774" s="105"/>
      <c r="K774" s="106" t="str">
        <f>IF(M774="","",K771-M774)</f>
        <v/>
      </c>
      <c r="L774" s="103" t="str">
        <f>IF(N774="","",K771-N774)</f>
        <v/>
      </c>
      <c r="M774" s="104"/>
      <c r="N774" s="107"/>
      <c r="O774" s="105"/>
      <c r="P774" s="102" t="str">
        <f>IF(R774="","",P771-R774)</f>
        <v/>
      </c>
      <c r="Q774" s="103" t="str">
        <f>IF(S774="","",P771-S774)</f>
        <v/>
      </c>
      <c r="R774" s="104"/>
      <c r="S774" s="104"/>
      <c r="T774" s="105"/>
      <c r="U774" s="108"/>
      <c r="V774" s="109"/>
    </row>
    <row r="775" spans="1:22" ht="9" customHeight="1" x14ac:dyDescent="0.55000000000000004">
      <c r="A775" s="19"/>
      <c r="B775" s="69"/>
      <c r="C775" s="70"/>
      <c r="D775" s="69"/>
      <c r="E775" s="71"/>
      <c r="F775" s="72"/>
      <c r="G775" s="73"/>
      <c r="H775" s="74"/>
      <c r="I775" s="75"/>
      <c r="J775" s="76"/>
      <c r="K775" s="72"/>
      <c r="L775" s="73"/>
      <c r="M775" s="74"/>
      <c r="N775" s="75"/>
      <c r="O775" s="76"/>
      <c r="P775" s="72"/>
      <c r="Q775" s="73"/>
      <c r="R775" s="74"/>
      <c r="S775" s="75"/>
      <c r="T775" s="76"/>
      <c r="U775" s="77" t="str">
        <f>IF(OR(F778="",P778=""),"",B775/(F778-P778))</f>
        <v/>
      </c>
      <c r="V775" s="78"/>
    </row>
    <row r="776" spans="1:22" ht="9" customHeight="1" x14ac:dyDescent="0.55000000000000004">
      <c r="A776" s="79"/>
      <c r="B776" s="80"/>
      <c r="C776" s="81"/>
      <c r="D776" s="80"/>
      <c r="E776" s="82"/>
      <c r="F776" s="83" t="str">
        <f>IF(H778="","",F775-H776)</f>
        <v/>
      </c>
      <c r="G776" s="84" t="str">
        <f>IF(I778="","",F775-I776)</f>
        <v/>
      </c>
      <c r="H776" s="85" t="str">
        <f>IF(OR($A778="集水",$A778="吸水"),0.4,"")</f>
        <v/>
      </c>
      <c r="I776" s="85" t="str">
        <f>IF(OR($A778="集水",$A778="吸水"),0.4,"")</f>
        <v/>
      </c>
      <c r="J776" s="86" t="str">
        <f>IF(G776="","",F776-G776)</f>
        <v/>
      </c>
      <c r="K776" s="83" t="str">
        <f>IF(M778="","",K775-M776)</f>
        <v/>
      </c>
      <c r="L776" s="87" t="str">
        <f>IF(N778="","",K775-N776)</f>
        <v/>
      </c>
      <c r="M776" s="85" t="str">
        <f>IF(M778="","",IF(OR($A778="集水",$A778="吸水"),0.4,""))</f>
        <v/>
      </c>
      <c r="N776" s="85" t="str">
        <f>IF(N778="","",IF(OR($A778="集水",$A778="吸水"),0.4,""))</f>
        <v/>
      </c>
      <c r="O776" s="86" t="str">
        <f>IF(L776="","",K776-L776)</f>
        <v/>
      </c>
      <c r="P776" s="83" t="str">
        <f>IF(R778="","",P775-R776)</f>
        <v/>
      </c>
      <c r="Q776" s="84" t="str">
        <f>IF(S778="","",P775-S776)</f>
        <v/>
      </c>
      <c r="R776" s="85" t="str">
        <f>IF(OR($A778="集水",$A778="吸水"),0.4,"")</f>
        <v/>
      </c>
      <c r="S776" s="85" t="str">
        <f>IF(OR($A778="集水",$A778="吸水"),0.4,"")</f>
        <v/>
      </c>
      <c r="T776" s="86" t="str">
        <f>IF(Q776="","",P776-Q776)</f>
        <v/>
      </c>
      <c r="U776" s="88"/>
      <c r="V776" s="89"/>
    </row>
    <row r="777" spans="1:22" ht="9" customHeight="1" x14ac:dyDescent="0.55000000000000004">
      <c r="A777" s="90"/>
      <c r="B777" s="91"/>
      <c r="C777" s="92" t="str">
        <f>IF(B775="","",B777-B775)</f>
        <v/>
      </c>
      <c r="D777" s="91"/>
      <c r="E777" s="93" t="str">
        <f>IF(D775="","",D777-D775)</f>
        <v/>
      </c>
      <c r="F777" s="94"/>
      <c r="G777" s="85"/>
      <c r="H777" s="85"/>
      <c r="I777" s="95"/>
      <c r="J777" s="86"/>
      <c r="K777" s="94"/>
      <c r="L777" s="85"/>
      <c r="M777" s="85"/>
      <c r="N777" s="95"/>
      <c r="O777" s="86"/>
      <c r="P777" s="94"/>
      <c r="Q777" s="85"/>
      <c r="R777" s="85"/>
      <c r="S777" s="95"/>
      <c r="T777" s="86"/>
      <c r="U777" s="96"/>
      <c r="V777" s="97"/>
    </row>
    <row r="778" spans="1:22" ht="9" customHeight="1" x14ac:dyDescent="0.55000000000000004">
      <c r="A778" s="98"/>
      <c r="B778" s="99"/>
      <c r="C778" s="100"/>
      <c r="D778" s="99"/>
      <c r="E778" s="101"/>
      <c r="F778" s="102" t="str">
        <f>IF(H778="","",F775-H778)</f>
        <v/>
      </c>
      <c r="G778" s="103" t="str">
        <f>IF(I778="","",F775-I778)</f>
        <v/>
      </c>
      <c r="H778" s="104"/>
      <c r="I778" s="104"/>
      <c r="J778" s="105"/>
      <c r="K778" s="106" t="str">
        <f>IF(M778="","",K775-M778)</f>
        <v/>
      </c>
      <c r="L778" s="103" t="str">
        <f>IF(N778="","",K775-N778)</f>
        <v/>
      </c>
      <c r="M778" s="104"/>
      <c r="N778" s="107"/>
      <c r="O778" s="105"/>
      <c r="P778" s="102" t="str">
        <f>IF(R778="","",P775-R778)</f>
        <v/>
      </c>
      <c r="Q778" s="103" t="str">
        <f>IF(S778="","",P775-S778)</f>
        <v/>
      </c>
      <c r="R778" s="104"/>
      <c r="S778" s="104"/>
      <c r="T778" s="105"/>
      <c r="U778" s="108"/>
      <c r="V778" s="109"/>
    </row>
    <row r="779" spans="1:22" ht="9" customHeight="1" x14ac:dyDescent="0.55000000000000004">
      <c r="A779" s="19"/>
      <c r="B779" s="69"/>
      <c r="C779" s="70"/>
      <c r="D779" s="69"/>
      <c r="E779" s="71"/>
      <c r="F779" s="72"/>
      <c r="G779" s="73"/>
      <c r="H779" s="74"/>
      <c r="I779" s="75"/>
      <c r="J779" s="76"/>
      <c r="K779" s="72"/>
      <c r="L779" s="73"/>
      <c r="M779" s="74"/>
      <c r="N779" s="75"/>
      <c r="O779" s="76"/>
      <c r="P779" s="72"/>
      <c r="Q779" s="73"/>
      <c r="R779" s="74"/>
      <c r="S779" s="75"/>
      <c r="T779" s="76"/>
      <c r="U779" s="77" t="str">
        <f>IF(OR(F782="",P782=""),"",B779/(F782-P782))</f>
        <v/>
      </c>
      <c r="V779" s="78"/>
    </row>
    <row r="780" spans="1:22" ht="9" customHeight="1" x14ac:dyDescent="0.55000000000000004">
      <c r="A780" s="79"/>
      <c r="B780" s="80"/>
      <c r="C780" s="81"/>
      <c r="D780" s="80"/>
      <c r="E780" s="82"/>
      <c r="F780" s="83" t="str">
        <f>IF(H782="","",F779-H780)</f>
        <v/>
      </c>
      <c r="G780" s="84" t="str">
        <f>IF(I782="","",F779-I780)</f>
        <v/>
      </c>
      <c r="H780" s="85" t="str">
        <f>IF(OR($A782="集水",$A782="吸水"),0.4,"")</f>
        <v/>
      </c>
      <c r="I780" s="85" t="str">
        <f>IF(OR($A782="集水",$A782="吸水"),0.4,"")</f>
        <v/>
      </c>
      <c r="J780" s="86" t="str">
        <f>IF(G780="","",F780-G780)</f>
        <v/>
      </c>
      <c r="K780" s="83" t="str">
        <f>IF(M782="","",K779-M780)</f>
        <v/>
      </c>
      <c r="L780" s="87" t="str">
        <f>IF(N782="","",K779-N780)</f>
        <v/>
      </c>
      <c r="M780" s="85" t="str">
        <f>IF(M782="","",IF(OR($A782="集水",$A782="吸水"),0.4,""))</f>
        <v/>
      </c>
      <c r="N780" s="85" t="str">
        <f>IF(N782="","",IF(OR($A782="集水",$A782="吸水"),0.4,""))</f>
        <v/>
      </c>
      <c r="O780" s="86" t="str">
        <f>IF(L780="","",K780-L780)</f>
        <v/>
      </c>
      <c r="P780" s="83" t="str">
        <f>IF(R782="","",P779-R780)</f>
        <v/>
      </c>
      <c r="Q780" s="84" t="str">
        <f>IF(S782="","",P779-S780)</f>
        <v/>
      </c>
      <c r="R780" s="85" t="str">
        <f>IF(OR($A782="集水",$A782="吸水"),0.4,"")</f>
        <v/>
      </c>
      <c r="S780" s="85" t="str">
        <f>IF(OR($A782="集水",$A782="吸水"),0.4,"")</f>
        <v/>
      </c>
      <c r="T780" s="86" t="str">
        <f>IF(Q780="","",P780-Q780)</f>
        <v/>
      </c>
      <c r="U780" s="88"/>
      <c r="V780" s="89"/>
    </row>
    <row r="781" spans="1:22" ht="9" customHeight="1" x14ac:dyDescent="0.55000000000000004">
      <c r="A781" s="90"/>
      <c r="B781" s="91"/>
      <c r="C781" s="92" t="str">
        <f>IF(B779="","",B781-B779)</f>
        <v/>
      </c>
      <c r="D781" s="91"/>
      <c r="E781" s="93" t="str">
        <f>IF(D779="","",D781-D779)</f>
        <v/>
      </c>
      <c r="F781" s="94"/>
      <c r="G781" s="85"/>
      <c r="H781" s="85"/>
      <c r="I781" s="95"/>
      <c r="J781" s="86"/>
      <c r="K781" s="94"/>
      <c r="L781" s="85"/>
      <c r="M781" s="85"/>
      <c r="N781" s="95"/>
      <c r="O781" s="86"/>
      <c r="P781" s="94"/>
      <c r="Q781" s="85"/>
      <c r="R781" s="85"/>
      <c r="S781" s="95"/>
      <c r="T781" s="86"/>
      <c r="U781" s="96"/>
      <c r="V781" s="97"/>
    </row>
    <row r="782" spans="1:22" ht="9" customHeight="1" x14ac:dyDescent="0.55000000000000004">
      <c r="A782" s="98"/>
      <c r="B782" s="99"/>
      <c r="C782" s="100"/>
      <c r="D782" s="99"/>
      <c r="E782" s="101"/>
      <c r="F782" s="102" t="str">
        <f>IF(H782="","",F779-H782)</f>
        <v/>
      </c>
      <c r="G782" s="103" t="str">
        <f>IF(I782="","",F779-I782)</f>
        <v/>
      </c>
      <c r="H782" s="104"/>
      <c r="I782" s="104"/>
      <c r="J782" s="105"/>
      <c r="K782" s="106" t="str">
        <f>IF(M782="","",K779-M782)</f>
        <v/>
      </c>
      <c r="L782" s="103" t="str">
        <f>IF(N782="","",K779-N782)</f>
        <v/>
      </c>
      <c r="M782" s="104"/>
      <c r="N782" s="107"/>
      <c r="O782" s="105"/>
      <c r="P782" s="102" t="str">
        <f>IF(R782="","",P779-R782)</f>
        <v/>
      </c>
      <c r="Q782" s="103" t="str">
        <f>IF(S782="","",P779-S782)</f>
        <v/>
      </c>
      <c r="R782" s="104"/>
      <c r="S782" s="104"/>
      <c r="T782" s="105"/>
      <c r="U782" s="108"/>
      <c r="V782" s="109"/>
    </row>
    <row r="783" spans="1:22" ht="9" customHeight="1" x14ac:dyDescent="0.55000000000000004">
      <c r="A783" s="19"/>
      <c r="B783" s="69"/>
      <c r="C783" s="70"/>
      <c r="D783" s="69"/>
      <c r="E783" s="71"/>
      <c r="F783" s="72"/>
      <c r="G783" s="73"/>
      <c r="H783" s="74"/>
      <c r="I783" s="75"/>
      <c r="J783" s="76"/>
      <c r="K783" s="72"/>
      <c r="L783" s="73"/>
      <c r="M783" s="74"/>
      <c r="N783" s="75"/>
      <c r="O783" s="76"/>
      <c r="P783" s="72"/>
      <c r="Q783" s="73"/>
      <c r="R783" s="74"/>
      <c r="S783" s="75"/>
      <c r="T783" s="76"/>
      <c r="U783" s="77" t="str">
        <f>IF(OR(F786="",P786=""),"",B783/(F786-P786))</f>
        <v/>
      </c>
      <c r="V783" s="78"/>
    </row>
    <row r="784" spans="1:22" ht="9" customHeight="1" x14ac:dyDescent="0.55000000000000004">
      <c r="A784" s="79"/>
      <c r="B784" s="80"/>
      <c r="C784" s="81"/>
      <c r="D784" s="80"/>
      <c r="E784" s="82"/>
      <c r="F784" s="83" t="str">
        <f>IF(H786="","",F783-H784)</f>
        <v/>
      </c>
      <c r="G784" s="84" t="str">
        <f>IF(I786="","",F783-I784)</f>
        <v/>
      </c>
      <c r="H784" s="85" t="str">
        <f>IF(OR($A786="集水",$A786="吸水"),0.4,"")</f>
        <v/>
      </c>
      <c r="I784" s="85" t="str">
        <f>IF(OR($A786="集水",$A786="吸水"),0.4,"")</f>
        <v/>
      </c>
      <c r="J784" s="86" t="str">
        <f>IF(G784="","",F784-G784)</f>
        <v/>
      </c>
      <c r="K784" s="83" t="str">
        <f>IF(M786="","",K783-M784)</f>
        <v/>
      </c>
      <c r="L784" s="87" t="str">
        <f>IF(N786="","",K783-N784)</f>
        <v/>
      </c>
      <c r="M784" s="85" t="str">
        <f>IF(M786="","",IF(OR($A786="集水",$A786="吸水"),0.4,""))</f>
        <v/>
      </c>
      <c r="N784" s="85" t="str">
        <f>IF(N786="","",IF(OR($A786="集水",$A786="吸水"),0.4,""))</f>
        <v/>
      </c>
      <c r="O784" s="86" t="str">
        <f>IF(L784="","",K784-L784)</f>
        <v/>
      </c>
      <c r="P784" s="83" t="str">
        <f>IF(R786="","",P783-R784)</f>
        <v/>
      </c>
      <c r="Q784" s="84" t="str">
        <f>IF(S786="","",P783-S784)</f>
        <v/>
      </c>
      <c r="R784" s="85" t="str">
        <f>IF(OR($A786="集水",$A786="吸水"),0.4,"")</f>
        <v/>
      </c>
      <c r="S784" s="85" t="str">
        <f>IF(OR($A786="集水",$A786="吸水"),0.4,"")</f>
        <v/>
      </c>
      <c r="T784" s="86" t="str">
        <f>IF(Q784="","",P784-Q784)</f>
        <v/>
      </c>
      <c r="U784" s="88"/>
      <c r="V784" s="89"/>
    </row>
    <row r="785" spans="1:22" ht="9" customHeight="1" x14ac:dyDescent="0.55000000000000004">
      <c r="A785" s="90"/>
      <c r="B785" s="91"/>
      <c r="C785" s="92" t="str">
        <f>IF(B783="","",B785-B783)</f>
        <v/>
      </c>
      <c r="D785" s="91"/>
      <c r="E785" s="93" t="str">
        <f>IF(D783="","",D785-D783)</f>
        <v/>
      </c>
      <c r="F785" s="94"/>
      <c r="G785" s="85"/>
      <c r="H785" s="85"/>
      <c r="I785" s="95"/>
      <c r="J785" s="86"/>
      <c r="K785" s="94"/>
      <c r="L785" s="85"/>
      <c r="M785" s="85"/>
      <c r="N785" s="95"/>
      <c r="O785" s="86"/>
      <c r="P785" s="94"/>
      <c r="Q785" s="85"/>
      <c r="R785" s="85"/>
      <c r="S785" s="95"/>
      <c r="T785" s="86"/>
      <c r="U785" s="96"/>
      <c r="V785" s="97"/>
    </row>
    <row r="786" spans="1:22" ht="9" customHeight="1" x14ac:dyDescent="0.55000000000000004">
      <c r="A786" s="98"/>
      <c r="B786" s="99"/>
      <c r="C786" s="100"/>
      <c r="D786" s="99"/>
      <c r="E786" s="101"/>
      <c r="F786" s="102" t="str">
        <f>IF(H786="","",F783-H786)</f>
        <v/>
      </c>
      <c r="G786" s="103" t="str">
        <f>IF(I786="","",F783-I786)</f>
        <v/>
      </c>
      <c r="H786" s="104"/>
      <c r="I786" s="104"/>
      <c r="J786" s="105"/>
      <c r="K786" s="106" t="str">
        <f>IF(M786="","",K783-M786)</f>
        <v/>
      </c>
      <c r="L786" s="103" t="str">
        <f>IF(N786="","",K783-N786)</f>
        <v/>
      </c>
      <c r="M786" s="104"/>
      <c r="N786" s="107"/>
      <c r="O786" s="105"/>
      <c r="P786" s="102" t="str">
        <f>IF(R786="","",P783-R786)</f>
        <v/>
      </c>
      <c r="Q786" s="103" t="str">
        <f>IF(S786="","",P783-S786)</f>
        <v/>
      </c>
      <c r="R786" s="104"/>
      <c r="S786" s="104"/>
      <c r="T786" s="105"/>
      <c r="U786" s="108"/>
      <c r="V786" s="109"/>
    </row>
    <row r="787" spans="1:22" ht="9" customHeight="1" x14ac:dyDescent="0.55000000000000004">
      <c r="A787" s="19"/>
      <c r="B787" s="69"/>
      <c r="C787" s="70"/>
      <c r="D787" s="69"/>
      <c r="E787" s="71"/>
      <c r="F787" s="72"/>
      <c r="G787" s="73"/>
      <c r="H787" s="74"/>
      <c r="I787" s="75"/>
      <c r="J787" s="76"/>
      <c r="K787" s="72"/>
      <c r="L787" s="73"/>
      <c r="M787" s="74"/>
      <c r="N787" s="75"/>
      <c r="O787" s="76"/>
      <c r="P787" s="72"/>
      <c r="Q787" s="73"/>
      <c r="R787" s="74"/>
      <c r="S787" s="75"/>
      <c r="T787" s="76"/>
      <c r="U787" s="77" t="str">
        <f>IF(OR(F790="",P790=""),"",B787/(F790-P790))</f>
        <v/>
      </c>
      <c r="V787" s="78"/>
    </row>
    <row r="788" spans="1:22" ht="9" customHeight="1" x14ac:dyDescent="0.55000000000000004">
      <c r="A788" s="79"/>
      <c r="B788" s="80"/>
      <c r="C788" s="81"/>
      <c r="D788" s="80"/>
      <c r="E788" s="82"/>
      <c r="F788" s="83" t="str">
        <f>IF(H790="","",F787-H788)</f>
        <v/>
      </c>
      <c r="G788" s="84" t="str">
        <f>IF(I790="","",F787-I788)</f>
        <v/>
      </c>
      <c r="H788" s="85" t="str">
        <f>IF(OR($A790="集水",$A790="吸水"),0.4,"")</f>
        <v/>
      </c>
      <c r="I788" s="85" t="str">
        <f>IF(OR($A790="集水",$A790="吸水"),0.4,"")</f>
        <v/>
      </c>
      <c r="J788" s="86" t="str">
        <f>IF(G788="","",F788-G788)</f>
        <v/>
      </c>
      <c r="K788" s="83" t="str">
        <f>IF(M790="","",K787-M788)</f>
        <v/>
      </c>
      <c r="L788" s="87" t="str">
        <f>IF(N790="","",K787-N788)</f>
        <v/>
      </c>
      <c r="M788" s="85" t="str">
        <f>IF(M790="","",IF(OR($A790="集水",$A790="吸水"),0.4,""))</f>
        <v/>
      </c>
      <c r="N788" s="85" t="str">
        <f>IF(N790="","",IF(OR($A790="集水",$A790="吸水"),0.4,""))</f>
        <v/>
      </c>
      <c r="O788" s="86" t="str">
        <f>IF(L788="","",K788-L788)</f>
        <v/>
      </c>
      <c r="P788" s="83" t="str">
        <f>IF(R790="","",P787-R788)</f>
        <v/>
      </c>
      <c r="Q788" s="84" t="str">
        <f>IF(S790="","",P787-S788)</f>
        <v/>
      </c>
      <c r="R788" s="85" t="str">
        <f>IF(OR($A790="集水",$A790="吸水"),0.4,"")</f>
        <v/>
      </c>
      <c r="S788" s="85" t="str">
        <f>IF(OR($A790="集水",$A790="吸水"),0.4,"")</f>
        <v/>
      </c>
      <c r="T788" s="86" t="str">
        <f>IF(Q788="","",P788-Q788)</f>
        <v/>
      </c>
      <c r="U788" s="88"/>
      <c r="V788" s="89"/>
    </row>
    <row r="789" spans="1:22" ht="9" customHeight="1" x14ac:dyDescent="0.55000000000000004">
      <c r="A789" s="90"/>
      <c r="B789" s="91"/>
      <c r="C789" s="92" t="str">
        <f>IF(B787="","",B789-B787)</f>
        <v/>
      </c>
      <c r="D789" s="91"/>
      <c r="E789" s="93" t="str">
        <f>IF(D787="","",D789-D787)</f>
        <v/>
      </c>
      <c r="F789" s="94"/>
      <c r="G789" s="85"/>
      <c r="H789" s="85"/>
      <c r="I789" s="95"/>
      <c r="J789" s="86"/>
      <c r="K789" s="94"/>
      <c r="L789" s="85"/>
      <c r="M789" s="85"/>
      <c r="N789" s="95"/>
      <c r="O789" s="86"/>
      <c r="P789" s="94"/>
      <c r="Q789" s="85"/>
      <c r="R789" s="85"/>
      <c r="S789" s="95"/>
      <c r="T789" s="86"/>
      <c r="U789" s="96"/>
      <c r="V789" s="97"/>
    </row>
    <row r="790" spans="1:22" ht="9" customHeight="1" x14ac:dyDescent="0.55000000000000004">
      <c r="A790" s="98"/>
      <c r="B790" s="99"/>
      <c r="C790" s="100"/>
      <c r="D790" s="99"/>
      <c r="E790" s="101"/>
      <c r="F790" s="102" t="str">
        <f>IF(H790="","",F787-H790)</f>
        <v/>
      </c>
      <c r="G790" s="103" t="str">
        <f>IF(I790="","",F787-I790)</f>
        <v/>
      </c>
      <c r="H790" s="104"/>
      <c r="I790" s="104"/>
      <c r="J790" s="105"/>
      <c r="K790" s="106" t="str">
        <f>IF(M790="","",K787-M790)</f>
        <v/>
      </c>
      <c r="L790" s="103" t="str">
        <f>IF(N790="","",K787-N790)</f>
        <v/>
      </c>
      <c r="M790" s="104"/>
      <c r="N790" s="107"/>
      <c r="O790" s="105"/>
      <c r="P790" s="102" t="str">
        <f>IF(R790="","",P787-R790)</f>
        <v/>
      </c>
      <c r="Q790" s="103" t="str">
        <f>IF(S790="","",P787-S790)</f>
        <v/>
      </c>
      <c r="R790" s="104"/>
      <c r="S790" s="104"/>
      <c r="T790" s="105"/>
      <c r="U790" s="108"/>
      <c r="V790" s="109"/>
    </row>
    <row r="791" spans="1:22" ht="9" customHeight="1" x14ac:dyDescent="0.55000000000000004">
      <c r="A791" s="19"/>
      <c r="B791" s="69"/>
      <c r="C791" s="70"/>
      <c r="D791" s="69"/>
      <c r="E791" s="71"/>
      <c r="F791" s="72"/>
      <c r="G791" s="73"/>
      <c r="H791" s="74"/>
      <c r="I791" s="75"/>
      <c r="J791" s="76"/>
      <c r="K791" s="72"/>
      <c r="L791" s="73"/>
      <c r="M791" s="74"/>
      <c r="N791" s="75"/>
      <c r="O791" s="76"/>
      <c r="P791" s="72"/>
      <c r="Q791" s="73"/>
      <c r="R791" s="74"/>
      <c r="S791" s="75"/>
      <c r="T791" s="76"/>
      <c r="U791" s="77" t="str">
        <f>IF(OR(F794="",P794=""),"",B791/(F794-P794))</f>
        <v/>
      </c>
      <c r="V791" s="78"/>
    </row>
    <row r="792" spans="1:22" ht="9" customHeight="1" x14ac:dyDescent="0.55000000000000004">
      <c r="A792" s="79"/>
      <c r="B792" s="80"/>
      <c r="C792" s="81"/>
      <c r="D792" s="80"/>
      <c r="E792" s="82"/>
      <c r="F792" s="83" t="str">
        <f>IF(H794="","",F791-H792)</f>
        <v/>
      </c>
      <c r="G792" s="84" t="str">
        <f>IF(I794="","",F791-I792)</f>
        <v/>
      </c>
      <c r="H792" s="85" t="str">
        <f>IF(OR($A794="集水",$A794="吸水"),0.4,"")</f>
        <v/>
      </c>
      <c r="I792" s="85" t="str">
        <f>IF(OR($A794="集水",$A794="吸水"),0.4,"")</f>
        <v/>
      </c>
      <c r="J792" s="86" t="str">
        <f>IF(G792="","",F792-G792)</f>
        <v/>
      </c>
      <c r="K792" s="83" t="str">
        <f>IF(M794="","",K791-M792)</f>
        <v/>
      </c>
      <c r="L792" s="87" t="str">
        <f>IF(N794="","",K791-N792)</f>
        <v/>
      </c>
      <c r="M792" s="85" t="str">
        <f>IF(M794="","",IF(OR($A794="集水",$A794="吸水"),0.4,""))</f>
        <v/>
      </c>
      <c r="N792" s="85" t="str">
        <f>IF(N794="","",IF(OR($A794="集水",$A794="吸水"),0.4,""))</f>
        <v/>
      </c>
      <c r="O792" s="86" t="str">
        <f>IF(L792="","",K792-L792)</f>
        <v/>
      </c>
      <c r="P792" s="83" t="str">
        <f>IF(R794="","",P791-R792)</f>
        <v/>
      </c>
      <c r="Q792" s="84" t="str">
        <f>IF(S794="","",P791-S792)</f>
        <v/>
      </c>
      <c r="R792" s="85" t="str">
        <f>IF(OR($A794="集水",$A794="吸水"),0.4,"")</f>
        <v/>
      </c>
      <c r="S792" s="85" t="str">
        <f>IF(OR($A794="集水",$A794="吸水"),0.4,"")</f>
        <v/>
      </c>
      <c r="T792" s="86" t="str">
        <f>IF(Q792="","",P792-Q792)</f>
        <v/>
      </c>
      <c r="U792" s="88"/>
      <c r="V792" s="89"/>
    </row>
    <row r="793" spans="1:22" ht="9" customHeight="1" x14ac:dyDescent="0.55000000000000004">
      <c r="A793" s="90"/>
      <c r="B793" s="91"/>
      <c r="C793" s="92" t="str">
        <f>IF(B791="","",B793-B791)</f>
        <v/>
      </c>
      <c r="D793" s="91"/>
      <c r="E793" s="93" t="str">
        <f>IF(D791="","",D793-D791)</f>
        <v/>
      </c>
      <c r="F793" s="94"/>
      <c r="G793" s="85"/>
      <c r="H793" s="85"/>
      <c r="I793" s="95"/>
      <c r="J793" s="86"/>
      <c r="K793" s="94"/>
      <c r="L793" s="85"/>
      <c r="M793" s="85"/>
      <c r="N793" s="95"/>
      <c r="O793" s="86"/>
      <c r="P793" s="94"/>
      <c r="Q793" s="85"/>
      <c r="R793" s="85"/>
      <c r="S793" s="95"/>
      <c r="T793" s="86"/>
      <c r="U793" s="96"/>
      <c r="V793" s="97"/>
    </row>
    <row r="794" spans="1:22" ht="9" customHeight="1" x14ac:dyDescent="0.55000000000000004">
      <c r="A794" s="98"/>
      <c r="B794" s="99"/>
      <c r="C794" s="100"/>
      <c r="D794" s="99"/>
      <c r="E794" s="101"/>
      <c r="F794" s="102" t="str">
        <f>IF(H794="","",F791-H794)</f>
        <v/>
      </c>
      <c r="G794" s="103" t="str">
        <f>IF(I794="","",F791-I794)</f>
        <v/>
      </c>
      <c r="H794" s="104"/>
      <c r="I794" s="104"/>
      <c r="J794" s="105"/>
      <c r="K794" s="106" t="str">
        <f>IF(M794="","",K791-M794)</f>
        <v/>
      </c>
      <c r="L794" s="103" t="str">
        <f>IF(N794="","",K791-N794)</f>
        <v/>
      </c>
      <c r="M794" s="104"/>
      <c r="N794" s="107"/>
      <c r="O794" s="105"/>
      <c r="P794" s="102" t="str">
        <f>IF(R794="","",P791-R794)</f>
        <v/>
      </c>
      <c r="Q794" s="103" t="str">
        <f>IF(S794="","",P791-S794)</f>
        <v/>
      </c>
      <c r="R794" s="104"/>
      <c r="S794" s="104"/>
      <c r="T794" s="105"/>
      <c r="U794" s="108"/>
      <c r="V794" s="109"/>
    </row>
    <row r="795" spans="1:22" ht="9" customHeight="1" x14ac:dyDescent="0.55000000000000004">
      <c r="A795" s="19"/>
      <c r="B795" s="69"/>
      <c r="C795" s="70"/>
      <c r="D795" s="69"/>
      <c r="E795" s="71"/>
      <c r="F795" s="72"/>
      <c r="G795" s="73"/>
      <c r="H795" s="74"/>
      <c r="I795" s="75"/>
      <c r="J795" s="76"/>
      <c r="K795" s="72"/>
      <c r="L795" s="73"/>
      <c r="M795" s="74"/>
      <c r="N795" s="75"/>
      <c r="O795" s="76"/>
      <c r="P795" s="72"/>
      <c r="Q795" s="73"/>
      <c r="R795" s="74"/>
      <c r="S795" s="75"/>
      <c r="T795" s="76"/>
      <c r="U795" s="77" t="str">
        <f>IF(OR(F798="",P798=""),"",B795/(F798-P798))</f>
        <v/>
      </c>
      <c r="V795" s="78"/>
    </row>
    <row r="796" spans="1:22" ht="9" customHeight="1" x14ac:dyDescent="0.55000000000000004">
      <c r="A796" s="79"/>
      <c r="B796" s="80"/>
      <c r="C796" s="81"/>
      <c r="D796" s="80"/>
      <c r="E796" s="82"/>
      <c r="F796" s="83" t="str">
        <f>IF(H798="","",F795-H796)</f>
        <v/>
      </c>
      <c r="G796" s="84" t="str">
        <f>IF(I798="","",F795-I796)</f>
        <v/>
      </c>
      <c r="H796" s="85" t="str">
        <f>IF(OR($A798="集水",$A798="吸水"),0.4,"")</f>
        <v/>
      </c>
      <c r="I796" s="85" t="str">
        <f>IF(OR($A798="集水",$A798="吸水"),0.4,"")</f>
        <v/>
      </c>
      <c r="J796" s="86" t="str">
        <f>IF(G796="","",F796-G796)</f>
        <v/>
      </c>
      <c r="K796" s="83" t="str">
        <f>IF(M798="","",K795-M796)</f>
        <v/>
      </c>
      <c r="L796" s="87" t="str">
        <f>IF(N798="","",K795-N796)</f>
        <v/>
      </c>
      <c r="M796" s="85" t="str">
        <f>IF(M798="","",IF(OR($A798="集水",$A798="吸水"),0.4,""))</f>
        <v/>
      </c>
      <c r="N796" s="85" t="str">
        <f>IF(N798="","",IF(OR($A798="集水",$A798="吸水"),0.4,""))</f>
        <v/>
      </c>
      <c r="O796" s="86" t="str">
        <f>IF(L796="","",K796-L796)</f>
        <v/>
      </c>
      <c r="P796" s="83" t="str">
        <f>IF(R798="","",P795-R796)</f>
        <v/>
      </c>
      <c r="Q796" s="84" t="str">
        <f>IF(S798="","",P795-S796)</f>
        <v/>
      </c>
      <c r="R796" s="85" t="str">
        <f>IF(OR($A798="集水",$A798="吸水"),0.4,"")</f>
        <v/>
      </c>
      <c r="S796" s="85" t="str">
        <f>IF(OR($A798="集水",$A798="吸水"),0.4,"")</f>
        <v/>
      </c>
      <c r="T796" s="86" t="str">
        <f>IF(Q796="","",P796-Q796)</f>
        <v/>
      </c>
      <c r="U796" s="88"/>
      <c r="V796" s="89"/>
    </row>
    <row r="797" spans="1:22" ht="9" customHeight="1" x14ac:dyDescent="0.55000000000000004">
      <c r="A797" s="90"/>
      <c r="B797" s="91"/>
      <c r="C797" s="92" t="str">
        <f>IF(B795="","",B797-B795)</f>
        <v/>
      </c>
      <c r="D797" s="91"/>
      <c r="E797" s="93" t="str">
        <f>IF(D795="","",D797-D795)</f>
        <v/>
      </c>
      <c r="F797" s="94"/>
      <c r="G797" s="85"/>
      <c r="H797" s="85"/>
      <c r="I797" s="95"/>
      <c r="J797" s="86"/>
      <c r="K797" s="94"/>
      <c r="L797" s="85"/>
      <c r="M797" s="85"/>
      <c r="N797" s="95"/>
      <c r="O797" s="86"/>
      <c r="P797" s="94"/>
      <c r="Q797" s="85"/>
      <c r="R797" s="85"/>
      <c r="S797" s="95"/>
      <c r="T797" s="86"/>
      <c r="U797" s="96"/>
      <c r="V797" s="97"/>
    </row>
    <row r="798" spans="1:22" ht="9" customHeight="1" x14ac:dyDescent="0.55000000000000004">
      <c r="A798" s="98"/>
      <c r="B798" s="99"/>
      <c r="C798" s="100"/>
      <c r="D798" s="99"/>
      <c r="E798" s="101"/>
      <c r="F798" s="102" t="str">
        <f>IF(H798="","",F795-H798)</f>
        <v/>
      </c>
      <c r="G798" s="103" t="str">
        <f>IF(I798="","",F795-I798)</f>
        <v/>
      </c>
      <c r="H798" s="104"/>
      <c r="I798" s="104"/>
      <c r="J798" s="105"/>
      <c r="K798" s="106" t="str">
        <f>IF(M798="","",K795-M798)</f>
        <v/>
      </c>
      <c r="L798" s="103" t="str">
        <f>IF(N798="","",K795-N798)</f>
        <v/>
      </c>
      <c r="M798" s="104"/>
      <c r="N798" s="107"/>
      <c r="O798" s="105"/>
      <c r="P798" s="102" t="str">
        <f>IF(R798="","",P795-R798)</f>
        <v/>
      </c>
      <c r="Q798" s="103" t="str">
        <f>IF(S798="","",P795-S798)</f>
        <v/>
      </c>
      <c r="R798" s="104"/>
      <c r="S798" s="104"/>
      <c r="T798" s="105"/>
      <c r="U798" s="108"/>
      <c r="V798" s="109"/>
    </row>
    <row r="799" spans="1:22" ht="9" customHeight="1" x14ac:dyDescent="0.55000000000000004">
      <c r="A799" s="19"/>
      <c r="B799" s="69"/>
      <c r="C799" s="70"/>
      <c r="D799" s="69"/>
      <c r="E799" s="71"/>
      <c r="F799" s="72"/>
      <c r="G799" s="73"/>
      <c r="H799" s="74"/>
      <c r="I799" s="75"/>
      <c r="J799" s="76"/>
      <c r="K799" s="72"/>
      <c r="L799" s="73"/>
      <c r="M799" s="74"/>
      <c r="N799" s="75"/>
      <c r="O799" s="76"/>
      <c r="P799" s="72"/>
      <c r="Q799" s="73"/>
      <c r="R799" s="74"/>
      <c r="S799" s="75"/>
      <c r="T799" s="76"/>
      <c r="U799" s="77" t="str">
        <f>IF(OR(F802="",P802=""),"",B799/(F802-P802))</f>
        <v/>
      </c>
      <c r="V799" s="78"/>
    </row>
    <row r="800" spans="1:22" ht="9" customHeight="1" x14ac:dyDescent="0.55000000000000004">
      <c r="A800" s="79"/>
      <c r="B800" s="80"/>
      <c r="C800" s="81"/>
      <c r="D800" s="80"/>
      <c r="E800" s="82"/>
      <c r="F800" s="83" t="str">
        <f>IF(H802="","",F799-H800)</f>
        <v/>
      </c>
      <c r="G800" s="84" t="str">
        <f>IF(I802="","",F799-I800)</f>
        <v/>
      </c>
      <c r="H800" s="85" t="str">
        <f>IF(OR($A802="集水",$A802="吸水"),0.4,"")</f>
        <v/>
      </c>
      <c r="I800" s="85" t="str">
        <f>IF(OR($A802="集水",$A802="吸水"),0.4,"")</f>
        <v/>
      </c>
      <c r="J800" s="86" t="str">
        <f>IF(G800="","",F800-G800)</f>
        <v/>
      </c>
      <c r="K800" s="83" t="str">
        <f>IF(M802="","",K799-M800)</f>
        <v/>
      </c>
      <c r="L800" s="87" t="str">
        <f>IF(N802="","",K799-N800)</f>
        <v/>
      </c>
      <c r="M800" s="85" t="str">
        <f>IF(M802="","",IF(OR($A802="集水",$A802="吸水"),0.4,""))</f>
        <v/>
      </c>
      <c r="N800" s="85" t="str">
        <f>IF(N802="","",IF(OR($A802="集水",$A802="吸水"),0.4,""))</f>
        <v/>
      </c>
      <c r="O800" s="86" t="str">
        <f>IF(L800="","",K800-L800)</f>
        <v/>
      </c>
      <c r="P800" s="83" t="str">
        <f>IF(R802="","",P799-R800)</f>
        <v/>
      </c>
      <c r="Q800" s="84" t="str">
        <f>IF(S802="","",P799-S800)</f>
        <v/>
      </c>
      <c r="R800" s="85" t="str">
        <f>IF(OR($A802="集水",$A802="吸水"),0.4,"")</f>
        <v/>
      </c>
      <c r="S800" s="85" t="str">
        <f>IF(OR($A802="集水",$A802="吸水"),0.4,"")</f>
        <v/>
      </c>
      <c r="T800" s="86" t="str">
        <f>IF(Q800="","",P800-Q800)</f>
        <v/>
      </c>
      <c r="U800" s="88"/>
      <c r="V800" s="89"/>
    </row>
    <row r="801" spans="1:22" ht="9" customHeight="1" x14ac:dyDescent="0.55000000000000004">
      <c r="A801" s="90"/>
      <c r="B801" s="91"/>
      <c r="C801" s="92" t="str">
        <f>IF(B799="","",B801-B799)</f>
        <v/>
      </c>
      <c r="D801" s="91"/>
      <c r="E801" s="93" t="str">
        <f>IF(D799="","",D801-D799)</f>
        <v/>
      </c>
      <c r="F801" s="94"/>
      <c r="G801" s="85"/>
      <c r="H801" s="85"/>
      <c r="I801" s="95"/>
      <c r="J801" s="86"/>
      <c r="K801" s="94"/>
      <c r="L801" s="85"/>
      <c r="M801" s="85"/>
      <c r="N801" s="95"/>
      <c r="O801" s="86"/>
      <c r="P801" s="94"/>
      <c r="Q801" s="85"/>
      <c r="R801" s="85"/>
      <c r="S801" s="95"/>
      <c r="T801" s="86"/>
      <c r="U801" s="96"/>
      <c r="V801" s="97"/>
    </row>
    <row r="802" spans="1:22" ht="9" customHeight="1" x14ac:dyDescent="0.55000000000000004">
      <c r="A802" s="98"/>
      <c r="B802" s="99"/>
      <c r="C802" s="100"/>
      <c r="D802" s="99"/>
      <c r="E802" s="101"/>
      <c r="F802" s="102" t="str">
        <f>IF(H802="","",F799-H802)</f>
        <v/>
      </c>
      <c r="G802" s="103" t="str">
        <f>IF(I802="","",F799-I802)</f>
        <v/>
      </c>
      <c r="H802" s="104"/>
      <c r="I802" s="104"/>
      <c r="J802" s="105"/>
      <c r="K802" s="106" t="str">
        <f>IF(M802="","",K799-M802)</f>
        <v/>
      </c>
      <c r="L802" s="103" t="str">
        <f>IF(N802="","",K799-N802)</f>
        <v/>
      </c>
      <c r="M802" s="104"/>
      <c r="N802" s="107"/>
      <c r="O802" s="105"/>
      <c r="P802" s="102" t="str">
        <f>IF(R802="","",P799-R802)</f>
        <v/>
      </c>
      <c r="Q802" s="103" t="str">
        <f>IF(S802="","",P799-S802)</f>
        <v/>
      </c>
      <c r="R802" s="104"/>
      <c r="S802" s="104"/>
      <c r="T802" s="105"/>
      <c r="U802" s="108"/>
      <c r="V802" s="109"/>
    </row>
    <row r="803" spans="1:22" ht="9" customHeight="1" x14ac:dyDescent="0.55000000000000004">
      <c r="A803" s="19"/>
      <c r="B803" s="69"/>
      <c r="C803" s="70"/>
      <c r="D803" s="69"/>
      <c r="E803" s="71"/>
      <c r="F803" s="72"/>
      <c r="G803" s="73"/>
      <c r="H803" s="74"/>
      <c r="I803" s="75"/>
      <c r="J803" s="76"/>
      <c r="K803" s="72"/>
      <c r="L803" s="73"/>
      <c r="M803" s="74"/>
      <c r="N803" s="75"/>
      <c r="O803" s="76"/>
      <c r="P803" s="72"/>
      <c r="Q803" s="73"/>
      <c r="R803" s="74"/>
      <c r="S803" s="75"/>
      <c r="T803" s="76"/>
      <c r="U803" s="77" t="str">
        <f>IF(OR(F806="",P806=""),"",B803/(F806-P806))</f>
        <v/>
      </c>
      <c r="V803" s="78"/>
    </row>
    <row r="804" spans="1:22" ht="9" customHeight="1" x14ac:dyDescent="0.55000000000000004">
      <c r="A804" s="79"/>
      <c r="B804" s="80"/>
      <c r="C804" s="81"/>
      <c r="D804" s="80"/>
      <c r="E804" s="82"/>
      <c r="F804" s="83" t="str">
        <f>IF(H806="","",F803-H804)</f>
        <v/>
      </c>
      <c r="G804" s="84" t="str">
        <f>IF(I806="","",F803-I804)</f>
        <v/>
      </c>
      <c r="H804" s="85" t="str">
        <f>IF(OR($A806="集水",$A806="吸水"),0.4,"")</f>
        <v/>
      </c>
      <c r="I804" s="85" t="str">
        <f>IF(OR($A806="集水",$A806="吸水"),0.4,"")</f>
        <v/>
      </c>
      <c r="J804" s="86" t="str">
        <f>IF(G804="","",F804-G804)</f>
        <v/>
      </c>
      <c r="K804" s="83" t="str">
        <f>IF(M806="","",K803-M804)</f>
        <v/>
      </c>
      <c r="L804" s="87" t="str">
        <f>IF(N806="","",K803-N804)</f>
        <v/>
      </c>
      <c r="M804" s="85" t="str">
        <f>IF(M806="","",IF(OR($A806="集水",$A806="吸水"),0.4,""))</f>
        <v/>
      </c>
      <c r="N804" s="85" t="str">
        <f>IF(N806="","",IF(OR($A806="集水",$A806="吸水"),0.4,""))</f>
        <v/>
      </c>
      <c r="O804" s="86" t="str">
        <f>IF(L804="","",K804-L804)</f>
        <v/>
      </c>
      <c r="P804" s="83" t="str">
        <f>IF(R806="","",P803-R804)</f>
        <v/>
      </c>
      <c r="Q804" s="84" t="str">
        <f>IF(S806="","",P803-S804)</f>
        <v/>
      </c>
      <c r="R804" s="85" t="str">
        <f>IF(OR($A806="集水",$A806="吸水"),0.4,"")</f>
        <v/>
      </c>
      <c r="S804" s="85" t="str">
        <f>IF(OR($A806="集水",$A806="吸水"),0.4,"")</f>
        <v/>
      </c>
      <c r="T804" s="86" t="str">
        <f>IF(Q804="","",P804-Q804)</f>
        <v/>
      </c>
      <c r="U804" s="88"/>
      <c r="V804" s="89"/>
    </row>
    <row r="805" spans="1:22" ht="9" customHeight="1" x14ac:dyDescent="0.55000000000000004">
      <c r="A805" s="90"/>
      <c r="B805" s="91"/>
      <c r="C805" s="92" t="str">
        <f>IF(B803="","",B805-B803)</f>
        <v/>
      </c>
      <c r="D805" s="91"/>
      <c r="E805" s="93" t="str">
        <f>IF(D803="","",D805-D803)</f>
        <v/>
      </c>
      <c r="F805" s="94"/>
      <c r="G805" s="85"/>
      <c r="H805" s="85"/>
      <c r="I805" s="95"/>
      <c r="J805" s="86"/>
      <c r="K805" s="94"/>
      <c r="L805" s="85"/>
      <c r="M805" s="85"/>
      <c r="N805" s="95"/>
      <c r="O805" s="86"/>
      <c r="P805" s="94"/>
      <c r="Q805" s="85"/>
      <c r="R805" s="85"/>
      <c r="S805" s="95"/>
      <c r="T805" s="86"/>
      <c r="U805" s="96"/>
      <c r="V805" s="97"/>
    </row>
    <row r="806" spans="1:22" ht="9" customHeight="1" x14ac:dyDescent="0.55000000000000004">
      <c r="A806" s="98"/>
      <c r="B806" s="99"/>
      <c r="C806" s="100"/>
      <c r="D806" s="99"/>
      <c r="E806" s="101"/>
      <c r="F806" s="102" t="str">
        <f>IF(H806="","",F803-H806)</f>
        <v/>
      </c>
      <c r="G806" s="103" t="str">
        <f>IF(I806="","",F803-I806)</f>
        <v/>
      </c>
      <c r="H806" s="104"/>
      <c r="I806" s="104"/>
      <c r="J806" s="105"/>
      <c r="K806" s="106" t="str">
        <f>IF(M806="","",K803-M806)</f>
        <v/>
      </c>
      <c r="L806" s="103" t="str">
        <f>IF(N806="","",K803-N806)</f>
        <v/>
      </c>
      <c r="M806" s="104"/>
      <c r="N806" s="107"/>
      <c r="O806" s="105"/>
      <c r="P806" s="102" t="str">
        <f>IF(R806="","",P803-R806)</f>
        <v/>
      </c>
      <c r="Q806" s="103" t="str">
        <f>IF(S806="","",P803-S806)</f>
        <v/>
      </c>
      <c r="R806" s="104"/>
      <c r="S806" s="104"/>
      <c r="T806" s="105"/>
      <c r="U806" s="108"/>
      <c r="V806" s="109"/>
    </row>
    <row r="807" spans="1:22" ht="9" customHeight="1" x14ac:dyDescent="0.55000000000000004">
      <c r="A807" s="19"/>
      <c r="B807" s="69"/>
      <c r="C807" s="70"/>
      <c r="D807" s="69"/>
      <c r="E807" s="71"/>
      <c r="F807" s="72"/>
      <c r="G807" s="73"/>
      <c r="H807" s="74"/>
      <c r="I807" s="75"/>
      <c r="J807" s="76"/>
      <c r="K807" s="72"/>
      <c r="L807" s="73"/>
      <c r="M807" s="74"/>
      <c r="N807" s="75"/>
      <c r="O807" s="76"/>
      <c r="P807" s="72"/>
      <c r="Q807" s="73"/>
      <c r="R807" s="74"/>
      <c r="S807" s="75"/>
      <c r="T807" s="76"/>
      <c r="U807" s="77" t="str">
        <f>IF(OR(F810="",P810=""),"",B807/(F810-P810))</f>
        <v/>
      </c>
      <c r="V807" s="78"/>
    </row>
    <row r="808" spans="1:22" ht="9" customHeight="1" x14ac:dyDescent="0.55000000000000004">
      <c r="A808" s="79"/>
      <c r="B808" s="80"/>
      <c r="C808" s="81"/>
      <c r="D808" s="80"/>
      <c r="E808" s="82"/>
      <c r="F808" s="83" t="str">
        <f>IF(H810="","",F807-H808)</f>
        <v/>
      </c>
      <c r="G808" s="84" t="str">
        <f>IF(I810="","",F807-I808)</f>
        <v/>
      </c>
      <c r="H808" s="85" t="str">
        <f>IF(OR($A810="集水",$A810="吸水"),0.4,"")</f>
        <v/>
      </c>
      <c r="I808" s="85" t="str">
        <f>IF(OR($A810="集水",$A810="吸水"),0.4,"")</f>
        <v/>
      </c>
      <c r="J808" s="86" t="str">
        <f>IF(G808="","",F808-G808)</f>
        <v/>
      </c>
      <c r="K808" s="83" t="str">
        <f>IF(M810="","",K807-M808)</f>
        <v/>
      </c>
      <c r="L808" s="87" t="str">
        <f>IF(N810="","",K807-N808)</f>
        <v/>
      </c>
      <c r="M808" s="85" t="str">
        <f>IF(M810="","",IF(OR($A810="集水",$A810="吸水"),0.4,""))</f>
        <v/>
      </c>
      <c r="N808" s="85" t="str">
        <f>IF(N810="","",IF(OR($A810="集水",$A810="吸水"),0.4,""))</f>
        <v/>
      </c>
      <c r="O808" s="86" t="str">
        <f>IF(L808="","",K808-L808)</f>
        <v/>
      </c>
      <c r="P808" s="83" t="str">
        <f>IF(R810="","",P807-R808)</f>
        <v/>
      </c>
      <c r="Q808" s="84" t="str">
        <f>IF(S810="","",P807-S808)</f>
        <v/>
      </c>
      <c r="R808" s="85" t="str">
        <f>IF(OR($A810="集水",$A810="吸水"),0.4,"")</f>
        <v/>
      </c>
      <c r="S808" s="85" t="str">
        <f>IF(OR($A810="集水",$A810="吸水"),0.4,"")</f>
        <v/>
      </c>
      <c r="T808" s="86" t="str">
        <f>IF(Q808="","",P808-Q808)</f>
        <v/>
      </c>
      <c r="U808" s="88"/>
      <c r="V808" s="89"/>
    </row>
    <row r="809" spans="1:22" ht="9" customHeight="1" x14ac:dyDescent="0.55000000000000004">
      <c r="A809" s="90"/>
      <c r="B809" s="91"/>
      <c r="C809" s="92" t="str">
        <f>IF(B807="","",B809-B807)</f>
        <v/>
      </c>
      <c r="D809" s="91"/>
      <c r="E809" s="93" t="str">
        <f>IF(D807="","",D809-D807)</f>
        <v/>
      </c>
      <c r="F809" s="94"/>
      <c r="G809" s="85"/>
      <c r="H809" s="85"/>
      <c r="I809" s="95"/>
      <c r="J809" s="86"/>
      <c r="K809" s="94"/>
      <c r="L809" s="85"/>
      <c r="M809" s="85"/>
      <c r="N809" s="95"/>
      <c r="O809" s="86"/>
      <c r="P809" s="94"/>
      <c r="Q809" s="85"/>
      <c r="R809" s="85"/>
      <c r="S809" s="95"/>
      <c r="T809" s="86"/>
      <c r="U809" s="96"/>
      <c r="V809" s="97"/>
    </row>
    <row r="810" spans="1:22" ht="9" customHeight="1" x14ac:dyDescent="0.55000000000000004">
      <c r="A810" s="98"/>
      <c r="B810" s="99"/>
      <c r="C810" s="100"/>
      <c r="D810" s="99"/>
      <c r="E810" s="101"/>
      <c r="F810" s="102" t="str">
        <f>IF(H810="","",F807-H810)</f>
        <v/>
      </c>
      <c r="G810" s="103" t="str">
        <f>IF(I810="","",F807-I810)</f>
        <v/>
      </c>
      <c r="H810" s="104"/>
      <c r="I810" s="104"/>
      <c r="J810" s="105"/>
      <c r="K810" s="106" t="str">
        <f>IF(M810="","",K807-M810)</f>
        <v/>
      </c>
      <c r="L810" s="103" t="str">
        <f>IF(N810="","",K807-N810)</f>
        <v/>
      </c>
      <c r="M810" s="104"/>
      <c r="N810" s="107"/>
      <c r="O810" s="105"/>
      <c r="P810" s="102" t="str">
        <f>IF(R810="","",P807-R810)</f>
        <v/>
      </c>
      <c r="Q810" s="103" t="str">
        <f>IF(S810="","",P807-S810)</f>
        <v/>
      </c>
      <c r="R810" s="104"/>
      <c r="S810" s="104"/>
      <c r="T810" s="105"/>
      <c r="U810" s="108"/>
      <c r="V810" s="109"/>
    </row>
    <row r="811" spans="1:22" ht="9" customHeight="1" x14ac:dyDescent="0.55000000000000004">
      <c r="A811" s="19"/>
      <c r="B811" s="69"/>
      <c r="C811" s="70"/>
      <c r="D811" s="69"/>
      <c r="E811" s="71"/>
      <c r="F811" s="72"/>
      <c r="G811" s="73"/>
      <c r="H811" s="74"/>
      <c r="I811" s="75"/>
      <c r="J811" s="76"/>
      <c r="K811" s="72"/>
      <c r="L811" s="73"/>
      <c r="M811" s="74"/>
      <c r="N811" s="75"/>
      <c r="O811" s="76"/>
      <c r="P811" s="72"/>
      <c r="Q811" s="73"/>
      <c r="R811" s="74"/>
      <c r="S811" s="75"/>
      <c r="T811" s="76"/>
      <c r="U811" s="77" t="str">
        <f>IF(OR(F814="",P814=""),"",B811/(F814-P814))</f>
        <v/>
      </c>
      <c r="V811" s="78"/>
    </row>
    <row r="812" spans="1:22" ht="9" customHeight="1" x14ac:dyDescent="0.55000000000000004">
      <c r="A812" s="79"/>
      <c r="B812" s="80"/>
      <c r="C812" s="81"/>
      <c r="D812" s="80"/>
      <c r="E812" s="82"/>
      <c r="F812" s="83" t="str">
        <f>IF(H814="","",F811-H812)</f>
        <v/>
      </c>
      <c r="G812" s="84" t="str">
        <f>IF(I814="","",F811-I812)</f>
        <v/>
      </c>
      <c r="H812" s="85" t="str">
        <f>IF(OR($A814="集水",$A814="吸水"),0.4,"")</f>
        <v/>
      </c>
      <c r="I812" s="85" t="str">
        <f>IF(OR($A814="集水",$A814="吸水"),0.4,"")</f>
        <v/>
      </c>
      <c r="J812" s="86" t="str">
        <f>IF(G812="","",F812-G812)</f>
        <v/>
      </c>
      <c r="K812" s="83" t="str">
        <f>IF(M814="","",K811-M812)</f>
        <v/>
      </c>
      <c r="L812" s="87" t="str">
        <f>IF(N814="","",K811-N812)</f>
        <v/>
      </c>
      <c r="M812" s="85" t="str">
        <f>IF(M814="","",IF(OR($A814="集水",$A814="吸水"),0.4,""))</f>
        <v/>
      </c>
      <c r="N812" s="85" t="str">
        <f>IF(N814="","",IF(OR($A814="集水",$A814="吸水"),0.4,""))</f>
        <v/>
      </c>
      <c r="O812" s="86" t="str">
        <f>IF(L812="","",K812-L812)</f>
        <v/>
      </c>
      <c r="P812" s="83" t="str">
        <f>IF(R814="","",P811-R812)</f>
        <v/>
      </c>
      <c r="Q812" s="84" t="str">
        <f>IF(S814="","",P811-S812)</f>
        <v/>
      </c>
      <c r="R812" s="85" t="str">
        <f>IF(OR($A814="集水",$A814="吸水"),0.4,"")</f>
        <v/>
      </c>
      <c r="S812" s="85" t="str">
        <f>IF(OR($A814="集水",$A814="吸水"),0.4,"")</f>
        <v/>
      </c>
      <c r="T812" s="86" t="str">
        <f>IF(Q812="","",P812-Q812)</f>
        <v/>
      </c>
      <c r="U812" s="88"/>
      <c r="V812" s="89"/>
    </row>
    <row r="813" spans="1:22" ht="9" customHeight="1" x14ac:dyDescent="0.55000000000000004">
      <c r="A813" s="90"/>
      <c r="B813" s="91"/>
      <c r="C813" s="92" t="str">
        <f>IF(B811="","",B813-B811)</f>
        <v/>
      </c>
      <c r="D813" s="91"/>
      <c r="E813" s="93" t="str">
        <f>IF(D811="","",D813-D811)</f>
        <v/>
      </c>
      <c r="F813" s="94"/>
      <c r="G813" s="85"/>
      <c r="H813" s="85"/>
      <c r="I813" s="95"/>
      <c r="J813" s="86"/>
      <c r="K813" s="94"/>
      <c r="L813" s="85"/>
      <c r="M813" s="85"/>
      <c r="N813" s="95"/>
      <c r="O813" s="86"/>
      <c r="P813" s="94"/>
      <c r="Q813" s="85"/>
      <c r="R813" s="85"/>
      <c r="S813" s="95"/>
      <c r="T813" s="86"/>
      <c r="U813" s="96"/>
      <c r="V813" s="97"/>
    </row>
    <row r="814" spans="1:22" ht="9" customHeight="1" x14ac:dyDescent="0.55000000000000004">
      <c r="A814" s="98"/>
      <c r="B814" s="99"/>
      <c r="C814" s="100"/>
      <c r="D814" s="99"/>
      <c r="E814" s="101"/>
      <c r="F814" s="102" t="str">
        <f>IF(H814="","",F811-H814)</f>
        <v/>
      </c>
      <c r="G814" s="103" t="str">
        <f>IF(I814="","",F811-I814)</f>
        <v/>
      </c>
      <c r="H814" s="104"/>
      <c r="I814" s="104"/>
      <c r="J814" s="105"/>
      <c r="K814" s="106" t="str">
        <f>IF(M814="","",K811-M814)</f>
        <v/>
      </c>
      <c r="L814" s="103" t="str">
        <f>IF(N814="","",K811-N814)</f>
        <v/>
      </c>
      <c r="M814" s="104"/>
      <c r="N814" s="107"/>
      <c r="O814" s="105"/>
      <c r="P814" s="102" t="str">
        <f>IF(R814="","",P811-R814)</f>
        <v/>
      </c>
      <c r="Q814" s="103" t="str">
        <f>IF(S814="","",P811-S814)</f>
        <v/>
      </c>
      <c r="R814" s="104"/>
      <c r="S814" s="104"/>
      <c r="T814" s="105"/>
      <c r="U814" s="108"/>
      <c r="V814" s="109"/>
    </row>
    <row r="815" spans="1:22" ht="9" customHeight="1" x14ac:dyDescent="0.55000000000000004">
      <c r="A815" s="19"/>
      <c r="B815" s="69"/>
      <c r="C815" s="70"/>
      <c r="D815" s="69"/>
      <c r="E815" s="71"/>
      <c r="F815" s="72"/>
      <c r="G815" s="73"/>
      <c r="H815" s="74"/>
      <c r="I815" s="75"/>
      <c r="J815" s="76"/>
      <c r="K815" s="72"/>
      <c r="L815" s="73"/>
      <c r="M815" s="74"/>
      <c r="N815" s="75"/>
      <c r="O815" s="76"/>
      <c r="P815" s="72"/>
      <c r="Q815" s="73"/>
      <c r="R815" s="74"/>
      <c r="S815" s="75"/>
      <c r="T815" s="76"/>
      <c r="U815" s="77" t="str">
        <f>IF(OR(F818="",P818=""),"",B815/(F818-P818))</f>
        <v/>
      </c>
      <c r="V815" s="78"/>
    </row>
    <row r="816" spans="1:22" ht="9" customHeight="1" x14ac:dyDescent="0.55000000000000004">
      <c r="A816" s="79"/>
      <c r="B816" s="80"/>
      <c r="C816" s="81"/>
      <c r="D816" s="80"/>
      <c r="E816" s="82"/>
      <c r="F816" s="83" t="str">
        <f>IF(H818="","",F815-H816)</f>
        <v/>
      </c>
      <c r="G816" s="84" t="str">
        <f>IF(I818="","",F815-I816)</f>
        <v/>
      </c>
      <c r="H816" s="85" t="str">
        <f>IF(OR($A818="集水",$A818="吸水"),0.4,"")</f>
        <v/>
      </c>
      <c r="I816" s="85" t="str">
        <f>IF(OR($A818="集水",$A818="吸水"),0.4,"")</f>
        <v/>
      </c>
      <c r="J816" s="86" t="str">
        <f>IF(G816="","",F816-G816)</f>
        <v/>
      </c>
      <c r="K816" s="83" t="str">
        <f>IF(M818="","",K815-M816)</f>
        <v/>
      </c>
      <c r="L816" s="87" t="str">
        <f>IF(N818="","",K815-N816)</f>
        <v/>
      </c>
      <c r="M816" s="85" t="str">
        <f>IF(M818="","",IF(OR($A818="集水",$A818="吸水"),0.4,""))</f>
        <v/>
      </c>
      <c r="N816" s="85" t="str">
        <f>IF(N818="","",IF(OR($A818="集水",$A818="吸水"),0.4,""))</f>
        <v/>
      </c>
      <c r="O816" s="86" t="str">
        <f>IF(L816="","",K816-L816)</f>
        <v/>
      </c>
      <c r="P816" s="83" t="str">
        <f>IF(R818="","",P815-R816)</f>
        <v/>
      </c>
      <c r="Q816" s="84" t="str">
        <f>IF(S818="","",P815-S816)</f>
        <v/>
      </c>
      <c r="R816" s="85" t="str">
        <f>IF(OR($A818="集水",$A818="吸水"),0.4,"")</f>
        <v/>
      </c>
      <c r="S816" s="85" t="str">
        <f>IF(OR($A818="集水",$A818="吸水"),0.4,"")</f>
        <v/>
      </c>
      <c r="T816" s="86" t="str">
        <f>IF(Q816="","",P816-Q816)</f>
        <v/>
      </c>
      <c r="U816" s="88"/>
      <c r="V816" s="89"/>
    </row>
    <row r="817" spans="1:22" ht="9" customHeight="1" x14ac:dyDescent="0.55000000000000004">
      <c r="A817" s="90"/>
      <c r="B817" s="91"/>
      <c r="C817" s="92" t="str">
        <f>IF(B815="","",B817-B815)</f>
        <v/>
      </c>
      <c r="D817" s="91"/>
      <c r="E817" s="93" t="str">
        <f>IF(D815="","",D817-D815)</f>
        <v/>
      </c>
      <c r="F817" s="94"/>
      <c r="G817" s="85"/>
      <c r="H817" s="85"/>
      <c r="I817" s="95"/>
      <c r="J817" s="86"/>
      <c r="K817" s="94"/>
      <c r="L817" s="85"/>
      <c r="M817" s="85"/>
      <c r="N817" s="95"/>
      <c r="O817" s="86"/>
      <c r="P817" s="94"/>
      <c r="Q817" s="85"/>
      <c r="R817" s="85"/>
      <c r="S817" s="95"/>
      <c r="T817" s="86"/>
      <c r="U817" s="96"/>
      <c r="V817" s="97"/>
    </row>
    <row r="818" spans="1:22" ht="9" customHeight="1" x14ac:dyDescent="0.55000000000000004">
      <c r="A818" s="98"/>
      <c r="B818" s="99"/>
      <c r="C818" s="100"/>
      <c r="D818" s="99"/>
      <c r="E818" s="101"/>
      <c r="F818" s="102" t="str">
        <f>IF(H818="","",F815-H818)</f>
        <v/>
      </c>
      <c r="G818" s="103" t="str">
        <f>IF(I818="","",F815-I818)</f>
        <v/>
      </c>
      <c r="H818" s="104"/>
      <c r="I818" s="104"/>
      <c r="J818" s="105"/>
      <c r="K818" s="106" t="str">
        <f>IF(M818="","",K815-M818)</f>
        <v/>
      </c>
      <c r="L818" s="103" t="str">
        <f>IF(N818="","",K815-N818)</f>
        <v/>
      </c>
      <c r="M818" s="104"/>
      <c r="N818" s="107"/>
      <c r="O818" s="105"/>
      <c r="P818" s="102" t="str">
        <f>IF(R818="","",P815-R818)</f>
        <v/>
      </c>
      <c r="Q818" s="103" t="str">
        <f>IF(S818="","",P815-S818)</f>
        <v/>
      </c>
      <c r="R818" s="104"/>
      <c r="S818" s="104"/>
      <c r="T818" s="105"/>
      <c r="U818" s="108"/>
      <c r="V818" s="109"/>
    </row>
    <row r="819" spans="1:22" ht="9" customHeight="1" x14ac:dyDescent="0.55000000000000004">
      <c r="A819" s="19"/>
      <c r="B819" s="69"/>
      <c r="C819" s="70"/>
      <c r="D819" s="69"/>
      <c r="E819" s="71"/>
      <c r="F819" s="72"/>
      <c r="G819" s="73"/>
      <c r="H819" s="74"/>
      <c r="I819" s="75"/>
      <c r="J819" s="76"/>
      <c r="K819" s="72"/>
      <c r="L819" s="73"/>
      <c r="M819" s="74"/>
      <c r="N819" s="75"/>
      <c r="O819" s="76"/>
      <c r="P819" s="72"/>
      <c r="Q819" s="73"/>
      <c r="R819" s="74"/>
      <c r="S819" s="75"/>
      <c r="T819" s="76"/>
      <c r="U819" s="77" t="str">
        <f>IF(OR(F822="",P822=""),"",B819/(F822-P822))</f>
        <v/>
      </c>
      <c r="V819" s="78"/>
    </row>
    <row r="820" spans="1:22" ht="9" customHeight="1" x14ac:dyDescent="0.55000000000000004">
      <c r="A820" s="79"/>
      <c r="B820" s="80"/>
      <c r="C820" s="81"/>
      <c r="D820" s="80"/>
      <c r="E820" s="82"/>
      <c r="F820" s="83" t="str">
        <f>IF(H822="","",F819-H820)</f>
        <v/>
      </c>
      <c r="G820" s="84" t="str">
        <f>IF(I822="","",F819-I820)</f>
        <v/>
      </c>
      <c r="H820" s="85" t="str">
        <f>IF(OR($A822="集水",$A822="吸水"),0.4,"")</f>
        <v/>
      </c>
      <c r="I820" s="85" t="str">
        <f>IF(OR($A822="集水",$A822="吸水"),0.4,"")</f>
        <v/>
      </c>
      <c r="J820" s="86" t="str">
        <f>IF(G820="","",F820-G820)</f>
        <v/>
      </c>
      <c r="K820" s="83" t="str">
        <f>IF(M822="","",K819-M820)</f>
        <v/>
      </c>
      <c r="L820" s="87" t="str">
        <f>IF(N822="","",K819-N820)</f>
        <v/>
      </c>
      <c r="M820" s="85" t="str">
        <f>IF(M822="","",IF(OR($A822="集水",$A822="吸水"),0.4,""))</f>
        <v/>
      </c>
      <c r="N820" s="85" t="str">
        <f>IF(N822="","",IF(OR($A822="集水",$A822="吸水"),0.4,""))</f>
        <v/>
      </c>
      <c r="O820" s="86" t="str">
        <f>IF(L820="","",K820-L820)</f>
        <v/>
      </c>
      <c r="P820" s="83" t="str">
        <f>IF(R822="","",P819-R820)</f>
        <v/>
      </c>
      <c r="Q820" s="84" t="str">
        <f>IF(S822="","",P819-S820)</f>
        <v/>
      </c>
      <c r="R820" s="85" t="str">
        <f>IF(OR($A822="集水",$A822="吸水"),0.4,"")</f>
        <v/>
      </c>
      <c r="S820" s="85" t="str">
        <f>IF(OR($A822="集水",$A822="吸水"),0.4,"")</f>
        <v/>
      </c>
      <c r="T820" s="86" t="str">
        <f>IF(Q820="","",P820-Q820)</f>
        <v/>
      </c>
      <c r="U820" s="88"/>
      <c r="V820" s="89"/>
    </row>
    <row r="821" spans="1:22" ht="9" customHeight="1" x14ac:dyDescent="0.55000000000000004">
      <c r="A821" s="90"/>
      <c r="B821" s="91"/>
      <c r="C821" s="92" t="str">
        <f>IF(B819="","",B821-B819)</f>
        <v/>
      </c>
      <c r="D821" s="91"/>
      <c r="E821" s="93" t="str">
        <f>IF(D819="","",D821-D819)</f>
        <v/>
      </c>
      <c r="F821" s="94"/>
      <c r="G821" s="85"/>
      <c r="H821" s="85"/>
      <c r="I821" s="95"/>
      <c r="J821" s="86"/>
      <c r="K821" s="94"/>
      <c r="L821" s="85"/>
      <c r="M821" s="85"/>
      <c r="N821" s="95"/>
      <c r="O821" s="86"/>
      <c r="P821" s="94"/>
      <c r="Q821" s="85"/>
      <c r="R821" s="85"/>
      <c r="S821" s="95"/>
      <c r="T821" s="86"/>
      <c r="U821" s="96"/>
      <c r="V821" s="97"/>
    </row>
    <row r="822" spans="1:22" ht="9" customHeight="1" x14ac:dyDescent="0.55000000000000004">
      <c r="A822" s="98"/>
      <c r="B822" s="99"/>
      <c r="C822" s="100"/>
      <c r="D822" s="99"/>
      <c r="E822" s="101"/>
      <c r="F822" s="102" t="str">
        <f>IF(H822="","",F819-H822)</f>
        <v/>
      </c>
      <c r="G822" s="103" t="str">
        <f>IF(I822="","",F819-I822)</f>
        <v/>
      </c>
      <c r="H822" s="104"/>
      <c r="I822" s="104"/>
      <c r="J822" s="105"/>
      <c r="K822" s="106" t="str">
        <f>IF(M822="","",K819-M822)</f>
        <v/>
      </c>
      <c r="L822" s="103" t="str">
        <f>IF(N822="","",K819-N822)</f>
        <v/>
      </c>
      <c r="M822" s="104"/>
      <c r="N822" s="107"/>
      <c r="O822" s="105"/>
      <c r="P822" s="102" t="str">
        <f>IF(R822="","",P819-R822)</f>
        <v/>
      </c>
      <c r="Q822" s="103" t="str">
        <f>IF(S822="","",P819-S822)</f>
        <v/>
      </c>
      <c r="R822" s="104"/>
      <c r="S822" s="104"/>
      <c r="T822" s="105"/>
      <c r="U822" s="108"/>
      <c r="V822" s="109"/>
    </row>
    <row r="823" spans="1:22" ht="9" customHeight="1" x14ac:dyDescent="0.55000000000000004">
      <c r="A823" s="19"/>
      <c r="B823" s="69"/>
      <c r="C823" s="70"/>
      <c r="D823" s="69"/>
      <c r="E823" s="71"/>
      <c r="F823" s="72"/>
      <c r="G823" s="73"/>
      <c r="H823" s="74"/>
      <c r="I823" s="75"/>
      <c r="J823" s="76"/>
      <c r="K823" s="72"/>
      <c r="L823" s="73"/>
      <c r="M823" s="74"/>
      <c r="N823" s="75"/>
      <c r="O823" s="76"/>
      <c r="P823" s="72"/>
      <c r="Q823" s="73"/>
      <c r="R823" s="74"/>
      <c r="S823" s="75"/>
      <c r="T823" s="76"/>
      <c r="U823" s="77" t="str">
        <f>IF(OR(F826="",P826=""),"",B823/(F826-P826))</f>
        <v/>
      </c>
      <c r="V823" s="78"/>
    </row>
    <row r="824" spans="1:22" ht="9" customHeight="1" x14ac:dyDescent="0.55000000000000004">
      <c r="A824" s="79"/>
      <c r="B824" s="80"/>
      <c r="C824" s="81"/>
      <c r="D824" s="80"/>
      <c r="E824" s="82"/>
      <c r="F824" s="83" t="str">
        <f>IF(H826="","",F823-H824)</f>
        <v/>
      </c>
      <c r="G824" s="84" t="str">
        <f>IF(I826="","",F823-I824)</f>
        <v/>
      </c>
      <c r="H824" s="85" t="str">
        <f>IF(OR($A826="集水",$A826="吸水"),0.4,"")</f>
        <v/>
      </c>
      <c r="I824" s="85" t="str">
        <f>IF(OR($A826="集水",$A826="吸水"),0.4,"")</f>
        <v/>
      </c>
      <c r="J824" s="86" t="str">
        <f>IF(G824="","",F824-G824)</f>
        <v/>
      </c>
      <c r="K824" s="83" t="str">
        <f>IF(M826="","",K823-M824)</f>
        <v/>
      </c>
      <c r="L824" s="87" t="str">
        <f>IF(N826="","",K823-N824)</f>
        <v/>
      </c>
      <c r="M824" s="85" t="str">
        <f>IF(M826="","",IF(OR($A826="集水",$A826="吸水"),0.4,""))</f>
        <v/>
      </c>
      <c r="N824" s="85" t="str">
        <f>IF(N826="","",IF(OR($A826="集水",$A826="吸水"),0.4,""))</f>
        <v/>
      </c>
      <c r="O824" s="86" t="str">
        <f>IF(L824="","",K824-L824)</f>
        <v/>
      </c>
      <c r="P824" s="83" t="str">
        <f>IF(R826="","",P823-R824)</f>
        <v/>
      </c>
      <c r="Q824" s="84" t="str">
        <f>IF(S826="","",P823-S824)</f>
        <v/>
      </c>
      <c r="R824" s="85" t="str">
        <f>IF(OR($A826="集水",$A826="吸水"),0.4,"")</f>
        <v/>
      </c>
      <c r="S824" s="85" t="str">
        <f>IF(OR($A826="集水",$A826="吸水"),0.4,"")</f>
        <v/>
      </c>
      <c r="T824" s="86" t="str">
        <f>IF(Q824="","",P824-Q824)</f>
        <v/>
      </c>
      <c r="U824" s="88"/>
      <c r="V824" s="89"/>
    </row>
    <row r="825" spans="1:22" ht="9" customHeight="1" x14ac:dyDescent="0.55000000000000004">
      <c r="A825" s="90"/>
      <c r="B825" s="91"/>
      <c r="C825" s="92" t="str">
        <f>IF(B823="","",B825-B823)</f>
        <v/>
      </c>
      <c r="D825" s="91"/>
      <c r="E825" s="93" t="str">
        <f>IF(D823="","",D825-D823)</f>
        <v/>
      </c>
      <c r="F825" s="94"/>
      <c r="G825" s="85"/>
      <c r="H825" s="85"/>
      <c r="I825" s="95"/>
      <c r="J825" s="86"/>
      <c r="K825" s="94"/>
      <c r="L825" s="85"/>
      <c r="M825" s="85"/>
      <c r="N825" s="95"/>
      <c r="O825" s="86"/>
      <c r="P825" s="94"/>
      <c r="Q825" s="85"/>
      <c r="R825" s="85"/>
      <c r="S825" s="95"/>
      <c r="T825" s="86"/>
      <c r="U825" s="96"/>
      <c r="V825" s="97"/>
    </row>
    <row r="826" spans="1:22" ht="9" customHeight="1" x14ac:dyDescent="0.55000000000000004">
      <c r="A826" s="98"/>
      <c r="B826" s="99"/>
      <c r="C826" s="100"/>
      <c r="D826" s="99"/>
      <c r="E826" s="101"/>
      <c r="F826" s="102" t="str">
        <f>IF(H826="","",F823-H826)</f>
        <v/>
      </c>
      <c r="G826" s="103" t="str">
        <f>IF(I826="","",F823-I826)</f>
        <v/>
      </c>
      <c r="H826" s="104"/>
      <c r="I826" s="104"/>
      <c r="J826" s="105"/>
      <c r="K826" s="106" t="str">
        <f>IF(M826="","",K823-M826)</f>
        <v/>
      </c>
      <c r="L826" s="103" t="str">
        <f>IF(N826="","",K823-N826)</f>
        <v/>
      </c>
      <c r="M826" s="104"/>
      <c r="N826" s="107"/>
      <c r="O826" s="105"/>
      <c r="P826" s="102" t="str">
        <f>IF(R826="","",P823-R826)</f>
        <v/>
      </c>
      <c r="Q826" s="103" t="str">
        <f>IF(S826="","",P823-S826)</f>
        <v/>
      </c>
      <c r="R826" s="104"/>
      <c r="S826" s="104"/>
      <c r="T826" s="105"/>
      <c r="U826" s="108"/>
      <c r="V826" s="109"/>
    </row>
    <row r="827" spans="1:22" ht="9" customHeight="1" x14ac:dyDescent="0.55000000000000004">
      <c r="A827" s="19"/>
      <c r="B827" s="69"/>
      <c r="C827" s="70"/>
      <c r="D827" s="69"/>
      <c r="E827" s="71"/>
      <c r="F827" s="72"/>
      <c r="G827" s="73"/>
      <c r="H827" s="74"/>
      <c r="I827" s="75"/>
      <c r="J827" s="76"/>
      <c r="K827" s="72"/>
      <c r="L827" s="73"/>
      <c r="M827" s="74"/>
      <c r="N827" s="75"/>
      <c r="O827" s="76"/>
      <c r="P827" s="72"/>
      <c r="Q827" s="73"/>
      <c r="R827" s="74"/>
      <c r="S827" s="75"/>
      <c r="T827" s="76"/>
      <c r="U827" s="77" t="str">
        <f>IF(OR(F830="",P830=""),"",B827/(F830-P830))</f>
        <v/>
      </c>
      <c r="V827" s="78"/>
    </row>
    <row r="828" spans="1:22" ht="9" customHeight="1" x14ac:dyDescent="0.55000000000000004">
      <c r="A828" s="79"/>
      <c r="B828" s="80"/>
      <c r="C828" s="81"/>
      <c r="D828" s="80"/>
      <c r="E828" s="82"/>
      <c r="F828" s="83" t="str">
        <f>IF(H830="","",F827-H828)</f>
        <v/>
      </c>
      <c r="G828" s="84" t="str">
        <f>IF(I830="","",F827-I828)</f>
        <v/>
      </c>
      <c r="H828" s="85" t="str">
        <f>IF(OR($A830="集水",$A830="吸水"),0.4,"")</f>
        <v/>
      </c>
      <c r="I828" s="85" t="str">
        <f>IF(OR($A830="集水",$A830="吸水"),0.4,"")</f>
        <v/>
      </c>
      <c r="J828" s="86" t="str">
        <f>IF(G828="","",F828-G828)</f>
        <v/>
      </c>
      <c r="K828" s="83" t="str">
        <f>IF(M830="","",K827-M828)</f>
        <v/>
      </c>
      <c r="L828" s="87" t="str">
        <f>IF(N830="","",K827-N828)</f>
        <v/>
      </c>
      <c r="M828" s="85" t="str">
        <f>IF(M830="","",IF(OR($A830="集水",$A830="吸水"),0.4,""))</f>
        <v/>
      </c>
      <c r="N828" s="85" t="str">
        <f>IF(N830="","",IF(OR($A830="集水",$A830="吸水"),0.4,""))</f>
        <v/>
      </c>
      <c r="O828" s="86" t="str">
        <f>IF(L828="","",K828-L828)</f>
        <v/>
      </c>
      <c r="P828" s="83" t="str">
        <f>IF(R830="","",P827-R828)</f>
        <v/>
      </c>
      <c r="Q828" s="84" t="str">
        <f>IF(S830="","",P827-S828)</f>
        <v/>
      </c>
      <c r="R828" s="85" t="str">
        <f>IF(OR($A830="集水",$A830="吸水"),0.4,"")</f>
        <v/>
      </c>
      <c r="S828" s="85" t="str">
        <f>IF(OR($A830="集水",$A830="吸水"),0.4,"")</f>
        <v/>
      </c>
      <c r="T828" s="86" t="str">
        <f>IF(Q828="","",P828-Q828)</f>
        <v/>
      </c>
      <c r="U828" s="88"/>
      <c r="V828" s="89"/>
    </row>
    <row r="829" spans="1:22" ht="9" customHeight="1" x14ac:dyDescent="0.55000000000000004">
      <c r="A829" s="90"/>
      <c r="B829" s="91"/>
      <c r="C829" s="92" t="str">
        <f>IF(B827="","",B829-B827)</f>
        <v/>
      </c>
      <c r="D829" s="91"/>
      <c r="E829" s="93" t="str">
        <f>IF(D827="","",D829-D827)</f>
        <v/>
      </c>
      <c r="F829" s="94"/>
      <c r="G829" s="85"/>
      <c r="H829" s="85"/>
      <c r="I829" s="95"/>
      <c r="J829" s="86"/>
      <c r="K829" s="94"/>
      <c r="L829" s="85"/>
      <c r="M829" s="85"/>
      <c r="N829" s="95"/>
      <c r="O829" s="86"/>
      <c r="P829" s="94"/>
      <c r="Q829" s="85"/>
      <c r="R829" s="85"/>
      <c r="S829" s="95"/>
      <c r="T829" s="86"/>
      <c r="U829" s="96"/>
      <c r="V829" s="97"/>
    </row>
    <row r="830" spans="1:22" ht="9" customHeight="1" x14ac:dyDescent="0.55000000000000004">
      <c r="A830" s="98"/>
      <c r="B830" s="99"/>
      <c r="C830" s="100"/>
      <c r="D830" s="99"/>
      <c r="E830" s="101"/>
      <c r="F830" s="102" t="str">
        <f>IF(H830="","",F827-H830)</f>
        <v/>
      </c>
      <c r="G830" s="103" t="str">
        <f>IF(I830="","",F827-I830)</f>
        <v/>
      </c>
      <c r="H830" s="104"/>
      <c r="I830" s="104"/>
      <c r="J830" s="105"/>
      <c r="K830" s="106" t="str">
        <f>IF(M830="","",K827-M830)</f>
        <v/>
      </c>
      <c r="L830" s="103" t="str">
        <f>IF(N830="","",K827-N830)</f>
        <v/>
      </c>
      <c r="M830" s="104"/>
      <c r="N830" s="107"/>
      <c r="O830" s="105"/>
      <c r="P830" s="102" t="str">
        <f>IF(R830="","",P827-R830)</f>
        <v/>
      </c>
      <c r="Q830" s="103" t="str">
        <f>IF(S830="","",P827-S830)</f>
        <v/>
      </c>
      <c r="R830" s="104"/>
      <c r="S830" s="104"/>
      <c r="T830" s="105"/>
      <c r="U830" s="108"/>
      <c r="V830" s="109"/>
    </row>
    <row r="831" spans="1:22" ht="9" customHeight="1" x14ac:dyDescent="0.55000000000000004">
      <c r="A831" s="19"/>
      <c r="B831" s="69"/>
      <c r="C831" s="70"/>
      <c r="D831" s="69"/>
      <c r="E831" s="71"/>
      <c r="F831" s="72"/>
      <c r="G831" s="73"/>
      <c r="H831" s="74"/>
      <c r="I831" s="75"/>
      <c r="J831" s="76"/>
      <c r="K831" s="72"/>
      <c r="L831" s="73"/>
      <c r="M831" s="74"/>
      <c r="N831" s="75"/>
      <c r="O831" s="76"/>
      <c r="P831" s="72"/>
      <c r="Q831" s="73"/>
      <c r="R831" s="74"/>
      <c r="S831" s="75"/>
      <c r="T831" s="76"/>
      <c r="U831" s="77" t="str">
        <f>IF(OR(F834="",P834=""),"",B831/(F834-P834))</f>
        <v/>
      </c>
      <c r="V831" s="78"/>
    </row>
    <row r="832" spans="1:22" ht="9" customHeight="1" x14ac:dyDescent="0.55000000000000004">
      <c r="A832" s="79"/>
      <c r="B832" s="80"/>
      <c r="C832" s="81"/>
      <c r="D832" s="80"/>
      <c r="E832" s="82"/>
      <c r="F832" s="83" t="str">
        <f>IF(H834="","",F831-H832)</f>
        <v/>
      </c>
      <c r="G832" s="84" t="str">
        <f>IF(I834="","",F831-I832)</f>
        <v/>
      </c>
      <c r="H832" s="85" t="str">
        <f>IF(OR($A834="集水",$A834="吸水"),0.4,"")</f>
        <v/>
      </c>
      <c r="I832" s="85" t="str">
        <f>IF(OR($A834="集水",$A834="吸水"),0.4,"")</f>
        <v/>
      </c>
      <c r="J832" s="86" t="str">
        <f>IF(G832="","",F832-G832)</f>
        <v/>
      </c>
      <c r="K832" s="83" t="str">
        <f>IF(M834="","",K831-M832)</f>
        <v/>
      </c>
      <c r="L832" s="87" t="str">
        <f>IF(N834="","",K831-N832)</f>
        <v/>
      </c>
      <c r="M832" s="85" t="str">
        <f>IF(M834="","",IF(OR($A834="集水",$A834="吸水"),0.4,""))</f>
        <v/>
      </c>
      <c r="N832" s="85" t="str">
        <f>IF(N834="","",IF(OR($A834="集水",$A834="吸水"),0.4,""))</f>
        <v/>
      </c>
      <c r="O832" s="86" t="str">
        <f>IF(L832="","",K832-L832)</f>
        <v/>
      </c>
      <c r="P832" s="83" t="str">
        <f>IF(R834="","",P831-R832)</f>
        <v/>
      </c>
      <c r="Q832" s="84" t="str">
        <f>IF(S834="","",P831-S832)</f>
        <v/>
      </c>
      <c r="R832" s="85" t="str">
        <f>IF(OR($A834="集水",$A834="吸水"),0.4,"")</f>
        <v/>
      </c>
      <c r="S832" s="85" t="str">
        <f>IF(OR($A834="集水",$A834="吸水"),0.4,"")</f>
        <v/>
      </c>
      <c r="T832" s="86" t="str">
        <f>IF(Q832="","",P832-Q832)</f>
        <v/>
      </c>
      <c r="U832" s="88"/>
      <c r="V832" s="89"/>
    </row>
    <row r="833" spans="1:22" ht="9" customHeight="1" x14ac:dyDescent="0.55000000000000004">
      <c r="A833" s="90"/>
      <c r="B833" s="91"/>
      <c r="C833" s="92" t="str">
        <f>IF(B831="","",B833-B831)</f>
        <v/>
      </c>
      <c r="D833" s="91"/>
      <c r="E833" s="93" t="str">
        <f>IF(D831="","",D833-D831)</f>
        <v/>
      </c>
      <c r="F833" s="94"/>
      <c r="G833" s="85"/>
      <c r="H833" s="85"/>
      <c r="I833" s="95"/>
      <c r="J833" s="86"/>
      <c r="K833" s="94"/>
      <c r="L833" s="85"/>
      <c r="M833" s="85"/>
      <c r="N833" s="95"/>
      <c r="O833" s="86"/>
      <c r="P833" s="94"/>
      <c r="Q833" s="85"/>
      <c r="R833" s="85"/>
      <c r="S833" s="95"/>
      <c r="T833" s="86"/>
      <c r="U833" s="96"/>
      <c r="V833" s="97"/>
    </row>
    <row r="834" spans="1:22" ht="9" customHeight="1" x14ac:dyDescent="0.55000000000000004">
      <c r="A834" s="98"/>
      <c r="B834" s="99"/>
      <c r="C834" s="100"/>
      <c r="D834" s="99"/>
      <c r="E834" s="101"/>
      <c r="F834" s="102" t="str">
        <f>IF(H834="","",F831-H834)</f>
        <v/>
      </c>
      <c r="G834" s="103" t="str">
        <f>IF(I834="","",F831-I834)</f>
        <v/>
      </c>
      <c r="H834" s="104"/>
      <c r="I834" s="104"/>
      <c r="J834" s="105"/>
      <c r="K834" s="106" t="str">
        <f>IF(M834="","",K831-M834)</f>
        <v/>
      </c>
      <c r="L834" s="103" t="str">
        <f>IF(N834="","",K831-N834)</f>
        <v/>
      </c>
      <c r="M834" s="104"/>
      <c r="N834" s="107"/>
      <c r="O834" s="105"/>
      <c r="P834" s="102" t="str">
        <f>IF(R834="","",P831-R834)</f>
        <v/>
      </c>
      <c r="Q834" s="103" t="str">
        <f>IF(S834="","",P831-S834)</f>
        <v/>
      </c>
      <c r="R834" s="104"/>
      <c r="S834" s="104"/>
      <c r="T834" s="105"/>
      <c r="U834" s="108"/>
      <c r="V834" s="109"/>
    </row>
    <row r="835" spans="1:22" ht="9" customHeight="1" x14ac:dyDescent="0.55000000000000004">
      <c r="A835" s="19"/>
      <c r="B835" s="69"/>
      <c r="C835" s="70"/>
      <c r="D835" s="69"/>
      <c r="E835" s="71"/>
      <c r="F835" s="72"/>
      <c r="G835" s="73"/>
      <c r="H835" s="74"/>
      <c r="I835" s="75"/>
      <c r="J835" s="76"/>
      <c r="K835" s="72"/>
      <c r="L835" s="73"/>
      <c r="M835" s="74"/>
      <c r="N835" s="75"/>
      <c r="O835" s="76"/>
      <c r="P835" s="72"/>
      <c r="Q835" s="73"/>
      <c r="R835" s="74"/>
      <c r="S835" s="75"/>
      <c r="T835" s="76"/>
      <c r="U835" s="77" t="str">
        <f>IF(OR(F838="",P838=""),"",B835/(F838-P838))</f>
        <v/>
      </c>
      <c r="V835" s="78"/>
    </row>
    <row r="836" spans="1:22" ht="9" customHeight="1" x14ac:dyDescent="0.55000000000000004">
      <c r="A836" s="79"/>
      <c r="B836" s="80"/>
      <c r="C836" s="81"/>
      <c r="D836" s="80"/>
      <c r="E836" s="82"/>
      <c r="F836" s="83" t="str">
        <f>IF(H838="","",F835-H836)</f>
        <v/>
      </c>
      <c r="G836" s="84" t="str">
        <f>IF(I838="","",F835-I836)</f>
        <v/>
      </c>
      <c r="H836" s="85" t="str">
        <f>IF(OR($A838="集水",$A838="吸水"),0.4,"")</f>
        <v/>
      </c>
      <c r="I836" s="85" t="str">
        <f>IF(OR($A838="集水",$A838="吸水"),0.4,"")</f>
        <v/>
      </c>
      <c r="J836" s="86" t="str">
        <f>IF(G836="","",F836-G836)</f>
        <v/>
      </c>
      <c r="K836" s="83" t="str">
        <f>IF(M838="","",K835-M836)</f>
        <v/>
      </c>
      <c r="L836" s="87" t="str">
        <f>IF(N838="","",K835-N836)</f>
        <v/>
      </c>
      <c r="M836" s="85" t="str">
        <f>IF(M838="","",IF(OR($A838="集水",$A838="吸水"),0.4,""))</f>
        <v/>
      </c>
      <c r="N836" s="85" t="str">
        <f>IF(N838="","",IF(OR($A838="集水",$A838="吸水"),0.4,""))</f>
        <v/>
      </c>
      <c r="O836" s="86" t="str">
        <f>IF(L836="","",K836-L836)</f>
        <v/>
      </c>
      <c r="P836" s="83" t="str">
        <f>IF(R838="","",P835-R836)</f>
        <v/>
      </c>
      <c r="Q836" s="84" t="str">
        <f>IF(S838="","",P835-S836)</f>
        <v/>
      </c>
      <c r="R836" s="85" t="str">
        <f>IF(OR($A838="集水",$A838="吸水"),0.4,"")</f>
        <v/>
      </c>
      <c r="S836" s="85" t="str">
        <f>IF(OR($A838="集水",$A838="吸水"),0.4,"")</f>
        <v/>
      </c>
      <c r="T836" s="86" t="str">
        <f>IF(Q836="","",P836-Q836)</f>
        <v/>
      </c>
      <c r="U836" s="88"/>
      <c r="V836" s="89"/>
    </row>
    <row r="837" spans="1:22" ht="9" customHeight="1" x14ac:dyDescent="0.55000000000000004">
      <c r="A837" s="90"/>
      <c r="B837" s="91"/>
      <c r="C837" s="92" t="str">
        <f>IF(B835="","",B837-B835)</f>
        <v/>
      </c>
      <c r="D837" s="91"/>
      <c r="E837" s="93" t="str">
        <f>IF(D835="","",D837-D835)</f>
        <v/>
      </c>
      <c r="F837" s="94"/>
      <c r="G837" s="85"/>
      <c r="H837" s="85"/>
      <c r="I837" s="95"/>
      <c r="J837" s="86"/>
      <c r="K837" s="94"/>
      <c r="L837" s="85"/>
      <c r="M837" s="85"/>
      <c r="N837" s="95"/>
      <c r="O837" s="86"/>
      <c r="P837" s="94"/>
      <c r="Q837" s="85"/>
      <c r="R837" s="85"/>
      <c r="S837" s="95"/>
      <c r="T837" s="86"/>
      <c r="U837" s="96"/>
      <c r="V837" s="97"/>
    </row>
    <row r="838" spans="1:22" ht="9" customHeight="1" x14ac:dyDescent="0.55000000000000004">
      <c r="A838" s="98"/>
      <c r="B838" s="99"/>
      <c r="C838" s="100"/>
      <c r="D838" s="99"/>
      <c r="E838" s="101"/>
      <c r="F838" s="102" t="str">
        <f>IF(H838="","",F835-H838)</f>
        <v/>
      </c>
      <c r="G838" s="103" t="str">
        <f>IF(I838="","",F835-I838)</f>
        <v/>
      </c>
      <c r="H838" s="104"/>
      <c r="I838" s="104"/>
      <c r="J838" s="105"/>
      <c r="K838" s="106" t="str">
        <f>IF(M838="","",K835-M838)</f>
        <v/>
      </c>
      <c r="L838" s="103" t="str">
        <f>IF(N838="","",K835-N838)</f>
        <v/>
      </c>
      <c r="M838" s="104"/>
      <c r="N838" s="107"/>
      <c r="O838" s="105"/>
      <c r="P838" s="102" t="str">
        <f>IF(R838="","",P835-R838)</f>
        <v/>
      </c>
      <c r="Q838" s="103" t="str">
        <f>IF(S838="","",P835-S838)</f>
        <v/>
      </c>
      <c r="R838" s="104"/>
      <c r="S838" s="104"/>
      <c r="T838" s="105"/>
      <c r="U838" s="108"/>
      <c r="V838" s="109"/>
    </row>
    <row r="839" spans="1:22" ht="9" customHeight="1" x14ac:dyDescent="0.55000000000000004">
      <c r="A839" s="19"/>
      <c r="B839" s="69"/>
      <c r="C839" s="70"/>
      <c r="D839" s="69"/>
      <c r="E839" s="71"/>
      <c r="F839" s="72"/>
      <c r="G839" s="73"/>
      <c r="H839" s="74"/>
      <c r="I839" s="75"/>
      <c r="J839" s="76"/>
      <c r="K839" s="72"/>
      <c r="L839" s="73"/>
      <c r="M839" s="74"/>
      <c r="N839" s="75"/>
      <c r="O839" s="76"/>
      <c r="P839" s="72"/>
      <c r="Q839" s="73"/>
      <c r="R839" s="74"/>
      <c r="S839" s="75"/>
      <c r="T839" s="76"/>
      <c r="U839" s="77" t="str">
        <f>IF(OR(F842="",P842=""),"",B839/(F842-P842))</f>
        <v/>
      </c>
      <c r="V839" s="78"/>
    </row>
    <row r="840" spans="1:22" ht="9" customHeight="1" x14ac:dyDescent="0.55000000000000004">
      <c r="A840" s="79"/>
      <c r="B840" s="80"/>
      <c r="C840" s="81"/>
      <c r="D840" s="80"/>
      <c r="E840" s="82"/>
      <c r="F840" s="83" t="str">
        <f>IF(H842="","",F839-H840)</f>
        <v/>
      </c>
      <c r="G840" s="84" t="str">
        <f>IF(I842="","",F839-I840)</f>
        <v/>
      </c>
      <c r="H840" s="85" t="str">
        <f>IF(OR($A842="集水",$A842="吸水"),0.4,"")</f>
        <v/>
      </c>
      <c r="I840" s="85" t="str">
        <f>IF(OR($A842="集水",$A842="吸水"),0.4,"")</f>
        <v/>
      </c>
      <c r="J840" s="86" t="str">
        <f>IF(G840="","",F840-G840)</f>
        <v/>
      </c>
      <c r="K840" s="83" t="str">
        <f>IF(M842="","",K839-M840)</f>
        <v/>
      </c>
      <c r="L840" s="87" t="str">
        <f>IF(N842="","",K839-N840)</f>
        <v/>
      </c>
      <c r="M840" s="85" t="str">
        <f>IF(M842="","",IF(OR($A842="集水",$A842="吸水"),0.4,""))</f>
        <v/>
      </c>
      <c r="N840" s="85" t="str">
        <f>IF(N842="","",IF(OR($A842="集水",$A842="吸水"),0.4,""))</f>
        <v/>
      </c>
      <c r="O840" s="86" t="str">
        <f>IF(L840="","",K840-L840)</f>
        <v/>
      </c>
      <c r="P840" s="83" t="str">
        <f>IF(R842="","",P839-R840)</f>
        <v/>
      </c>
      <c r="Q840" s="84" t="str">
        <f>IF(S842="","",P839-S840)</f>
        <v/>
      </c>
      <c r="R840" s="85" t="str">
        <f>IF(OR($A842="集水",$A842="吸水"),0.4,"")</f>
        <v/>
      </c>
      <c r="S840" s="85" t="str">
        <f>IF(OR($A842="集水",$A842="吸水"),0.4,"")</f>
        <v/>
      </c>
      <c r="T840" s="86" t="str">
        <f>IF(Q840="","",P840-Q840)</f>
        <v/>
      </c>
      <c r="U840" s="88"/>
      <c r="V840" s="89"/>
    </row>
    <row r="841" spans="1:22" ht="9" customHeight="1" x14ac:dyDescent="0.55000000000000004">
      <c r="A841" s="90"/>
      <c r="B841" s="91"/>
      <c r="C841" s="92" t="str">
        <f>IF(B839="","",B841-B839)</f>
        <v/>
      </c>
      <c r="D841" s="91"/>
      <c r="E841" s="93" t="str">
        <f>IF(D839="","",D841-D839)</f>
        <v/>
      </c>
      <c r="F841" s="94"/>
      <c r="G841" s="85"/>
      <c r="H841" s="85"/>
      <c r="I841" s="95"/>
      <c r="J841" s="86"/>
      <c r="K841" s="94"/>
      <c r="L841" s="85"/>
      <c r="M841" s="85"/>
      <c r="N841" s="95"/>
      <c r="O841" s="86"/>
      <c r="P841" s="94"/>
      <c r="Q841" s="85"/>
      <c r="R841" s="85"/>
      <c r="S841" s="95"/>
      <c r="T841" s="86"/>
      <c r="U841" s="96"/>
      <c r="V841" s="97"/>
    </row>
    <row r="842" spans="1:22" ht="9" customHeight="1" x14ac:dyDescent="0.55000000000000004">
      <c r="A842" s="98"/>
      <c r="B842" s="99"/>
      <c r="C842" s="100"/>
      <c r="D842" s="99"/>
      <c r="E842" s="101"/>
      <c r="F842" s="102" t="str">
        <f>IF(H842="","",F839-H842)</f>
        <v/>
      </c>
      <c r="G842" s="103" t="str">
        <f>IF(I842="","",F839-I842)</f>
        <v/>
      </c>
      <c r="H842" s="104"/>
      <c r="I842" s="104"/>
      <c r="J842" s="105"/>
      <c r="K842" s="106" t="str">
        <f>IF(M842="","",K839-M842)</f>
        <v/>
      </c>
      <c r="L842" s="103" t="str">
        <f>IF(N842="","",K839-N842)</f>
        <v/>
      </c>
      <c r="M842" s="104"/>
      <c r="N842" s="107"/>
      <c r="O842" s="105"/>
      <c r="P842" s="102" t="str">
        <f>IF(R842="","",P839-R842)</f>
        <v/>
      </c>
      <c r="Q842" s="103" t="str">
        <f>IF(S842="","",P839-S842)</f>
        <v/>
      </c>
      <c r="R842" s="104"/>
      <c r="S842" s="104"/>
      <c r="T842" s="105"/>
      <c r="U842" s="108"/>
      <c r="V842" s="109"/>
    </row>
    <row r="843" spans="1:22" ht="9" customHeight="1" x14ac:dyDescent="0.55000000000000004">
      <c r="A843" s="19"/>
      <c r="B843" s="69"/>
      <c r="C843" s="70"/>
      <c r="D843" s="69"/>
      <c r="E843" s="71"/>
      <c r="F843" s="72"/>
      <c r="G843" s="73"/>
      <c r="H843" s="74"/>
      <c r="I843" s="75"/>
      <c r="J843" s="76"/>
      <c r="K843" s="72"/>
      <c r="L843" s="73"/>
      <c r="M843" s="74"/>
      <c r="N843" s="75"/>
      <c r="O843" s="76"/>
      <c r="P843" s="72"/>
      <c r="Q843" s="73"/>
      <c r="R843" s="74"/>
      <c r="S843" s="75"/>
      <c r="T843" s="76"/>
      <c r="U843" s="77" t="str">
        <f>IF(OR(F846="",P846=""),"",B843/(F846-P846))</f>
        <v/>
      </c>
      <c r="V843" s="78"/>
    </row>
    <row r="844" spans="1:22" ht="9" customHeight="1" x14ac:dyDescent="0.55000000000000004">
      <c r="A844" s="79"/>
      <c r="B844" s="80"/>
      <c r="C844" s="81"/>
      <c r="D844" s="80"/>
      <c r="E844" s="82"/>
      <c r="F844" s="83" t="str">
        <f>IF(H846="","",F843-H844)</f>
        <v/>
      </c>
      <c r="G844" s="84" t="str">
        <f>IF(I846="","",F843-I844)</f>
        <v/>
      </c>
      <c r="H844" s="85" t="str">
        <f>IF(OR($A846="集水",$A846="吸水"),0.4,"")</f>
        <v/>
      </c>
      <c r="I844" s="85" t="str">
        <f>IF(OR($A846="集水",$A846="吸水"),0.4,"")</f>
        <v/>
      </c>
      <c r="J844" s="86" t="str">
        <f>IF(G844="","",F844-G844)</f>
        <v/>
      </c>
      <c r="K844" s="83" t="str">
        <f>IF(M846="","",K843-M844)</f>
        <v/>
      </c>
      <c r="L844" s="87" t="str">
        <f>IF(N846="","",K843-N844)</f>
        <v/>
      </c>
      <c r="M844" s="85" t="str">
        <f>IF(M846="","",IF(OR($A846="集水",$A846="吸水"),0.4,""))</f>
        <v/>
      </c>
      <c r="N844" s="85" t="str">
        <f>IF(N846="","",IF(OR($A846="集水",$A846="吸水"),0.4,""))</f>
        <v/>
      </c>
      <c r="O844" s="86" t="str">
        <f>IF(L844="","",K844-L844)</f>
        <v/>
      </c>
      <c r="P844" s="83" t="str">
        <f>IF(R846="","",P843-R844)</f>
        <v/>
      </c>
      <c r="Q844" s="84" t="str">
        <f>IF(S846="","",P843-S844)</f>
        <v/>
      </c>
      <c r="R844" s="85" t="str">
        <f>IF(OR($A846="集水",$A846="吸水"),0.4,"")</f>
        <v/>
      </c>
      <c r="S844" s="85" t="str">
        <f>IF(OR($A846="集水",$A846="吸水"),0.4,"")</f>
        <v/>
      </c>
      <c r="T844" s="86" t="str">
        <f>IF(Q844="","",P844-Q844)</f>
        <v/>
      </c>
      <c r="U844" s="88"/>
      <c r="V844" s="89"/>
    </row>
    <row r="845" spans="1:22" ht="9" customHeight="1" x14ac:dyDescent="0.55000000000000004">
      <c r="A845" s="90"/>
      <c r="B845" s="91"/>
      <c r="C845" s="92" t="str">
        <f>IF(B843="","",B845-B843)</f>
        <v/>
      </c>
      <c r="D845" s="91"/>
      <c r="E845" s="93" t="str">
        <f>IF(D843="","",D845-D843)</f>
        <v/>
      </c>
      <c r="F845" s="94"/>
      <c r="G845" s="85"/>
      <c r="H845" s="85"/>
      <c r="I845" s="95"/>
      <c r="J845" s="86"/>
      <c r="K845" s="94"/>
      <c r="L845" s="85"/>
      <c r="M845" s="85"/>
      <c r="N845" s="95"/>
      <c r="O845" s="86"/>
      <c r="P845" s="94"/>
      <c r="Q845" s="85"/>
      <c r="R845" s="85"/>
      <c r="S845" s="95"/>
      <c r="T845" s="86"/>
      <c r="U845" s="96"/>
      <c r="V845" s="97"/>
    </row>
    <row r="846" spans="1:22" ht="9" customHeight="1" x14ac:dyDescent="0.55000000000000004">
      <c r="A846" s="98"/>
      <c r="B846" s="99"/>
      <c r="C846" s="100"/>
      <c r="D846" s="99"/>
      <c r="E846" s="101"/>
      <c r="F846" s="102" t="str">
        <f>IF(H846="","",F843-H846)</f>
        <v/>
      </c>
      <c r="G846" s="103" t="str">
        <f>IF(I846="","",F843-I846)</f>
        <v/>
      </c>
      <c r="H846" s="104"/>
      <c r="I846" s="104"/>
      <c r="J846" s="105"/>
      <c r="K846" s="106" t="str">
        <f>IF(M846="","",K843-M846)</f>
        <v/>
      </c>
      <c r="L846" s="103" t="str">
        <f>IF(N846="","",K843-N846)</f>
        <v/>
      </c>
      <c r="M846" s="104"/>
      <c r="N846" s="107"/>
      <c r="O846" s="105"/>
      <c r="P846" s="102" t="str">
        <f>IF(R846="","",P843-R846)</f>
        <v/>
      </c>
      <c r="Q846" s="103" t="str">
        <f>IF(S846="","",P843-S846)</f>
        <v/>
      </c>
      <c r="R846" s="104"/>
      <c r="S846" s="104"/>
      <c r="T846" s="105"/>
      <c r="U846" s="108"/>
      <c r="V846" s="109"/>
    </row>
    <row r="847" spans="1:22" ht="9" customHeight="1" x14ac:dyDescent="0.55000000000000004">
      <c r="A847" s="19"/>
      <c r="B847" s="69"/>
      <c r="C847" s="70"/>
      <c r="D847" s="69"/>
      <c r="E847" s="71"/>
      <c r="F847" s="72"/>
      <c r="G847" s="73"/>
      <c r="H847" s="74"/>
      <c r="I847" s="75"/>
      <c r="J847" s="76"/>
      <c r="K847" s="72"/>
      <c r="L847" s="73"/>
      <c r="M847" s="74"/>
      <c r="N847" s="75"/>
      <c r="O847" s="76"/>
      <c r="P847" s="72"/>
      <c r="Q847" s="73"/>
      <c r="R847" s="74"/>
      <c r="S847" s="75"/>
      <c r="T847" s="76"/>
      <c r="U847" s="77" t="str">
        <f>IF(OR(F850="",P850=""),"",B847/(F850-P850))</f>
        <v/>
      </c>
      <c r="V847" s="78"/>
    </row>
    <row r="848" spans="1:22" ht="9" customHeight="1" x14ac:dyDescent="0.55000000000000004">
      <c r="A848" s="79"/>
      <c r="B848" s="80"/>
      <c r="C848" s="81"/>
      <c r="D848" s="80"/>
      <c r="E848" s="82"/>
      <c r="F848" s="83" t="str">
        <f>IF(H850="","",F847-H848)</f>
        <v/>
      </c>
      <c r="G848" s="84" t="str">
        <f>IF(I850="","",F847-I848)</f>
        <v/>
      </c>
      <c r="H848" s="85" t="str">
        <f>IF(OR($A850="集水",$A850="吸水"),0.4,"")</f>
        <v/>
      </c>
      <c r="I848" s="85" t="str">
        <f>IF(OR($A850="集水",$A850="吸水"),0.4,"")</f>
        <v/>
      </c>
      <c r="J848" s="86" t="str">
        <f>IF(G848="","",F848-G848)</f>
        <v/>
      </c>
      <c r="K848" s="83" t="str">
        <f>IF(M850="","",K847-M848)</f>
        <v/>
      </c>
      <c r="L848" s="87" t="str">
        <f>IF(N850="","",K847-N848)</f>
        <v/>
      </c>
      <c r="M848" s="85" t="str">
        <f>IF(M850="","",IF(OR($A850="集水",$A850="吸水"),0.4,""))</f>
        <v/>
      </c>
      <c r="N848" s="85" t="str">
        <f>IF(N850="","",IF(OR($A850="集水",$A850="吸水"),0.4,""))</f>
        <v/>
      </c>
      <c r="O848" s="86" t="str">
        <f>IF(L848="","",K848-L848)</f>
        <v/>
      </c>
      <c r="P848" s="83" t="str">
        <f>IF(R850="","",P847-R848)</f>
        <v/>
      </c>
      <c r="Q848" s="84" t="str">
        <f>IF(S850="","",P847-S848)</f>
        <v/>
      </c>
      <c r="R848" s="85" t="str">
        <f>IF(OR($A850="集水",$A850="吸水"),0.4,"")</f>
        <v/>
      </c>
      <c r="S848" s="85" t="str">
        <f>IF(OR($A850="集水",$A850="吸水"),0.4,"")</f>
        <v/>
      </c>
      <c r="T848" s="86" t="str">
        <f>IF(Q848="","",P848-Q848)</f>
        <v/>
      </c>
      <c r="U848" s="88"/>
      <c r="V848" s="89"/>
    </row>
    <row r="849" spans="1:22" ht="9" customHeight="1" x14ac:dyDescent="0.55000000000000004">
      <c r="A849" s="90"/>
      <c r="B849" s="91"/>
      <c r="C849" s="92" t="str">
        <f>IF(B847="","",B849-B847)</f>
        <v/>
      </c>
      <c r="D849" s="91"/>
      <c r="E849" s="93" t="str">
        <f>IF(D847="","",D849-D847)</f>
        <v/>
      </c>
      <c r="F849" s="94"/>
      <c r="G849" s="85"/>
      <c r="H849" s="85"/>
      <c r="I849" s="95"/>
      <c r="J849" s="86"/>
      <c r="K849" s="94"/>
      <c r="L849" s="85"/>
      <c r="M849" s="85"/>
      <c r="N849" s="95"/>
      <c r="O849" s="86"/>
      <c r="P849" s="94"/>
      <c r="Q849" s="85"/>
      <c r="R849" s="85"/>
      <c r="S849" s="95"/>
      <c r="T849" s="86"/>
      <c r="U849" s="96"/>
      <c r="V849" s="97"/>
    </row>
    <row r="850" spans="1:22" ht="9" customHeight="1" x14ac:dyDescent="0.55000000000000004">
      <c r="A850" s="98"/>
      <c r="B850" s="99"/>
      <c r="C850" s="100"/>
      <c r="D850" s="99"/>
      <c r="E850" s="101"/>
      <c r="F850" s="102" t="str">
        <f>IF(H850="","",F847-H850)</f>
        <v/>
      </c>
      <c r="G850" s="103" t="str">
        <f>IF(I850="","",F847-I850)</f>
        <v/>
      </c>
      <c r="H850" s="104"/>
      <c r="I850" s="104"/>
      <c r="J850" s="105"/>
      <c r="K850" s="106" t="str">
        <f>IF(M850="","",K847-M850)</f>
        <v/>
      </c>
      <c r="L850" s="103" t="str">
        <f>IF(N850="","",K847-N850)</f>
        <v/>
      </c>
      <c r="M850" s="104"/>
      <c r="N850" s="107"/>
      <c r="O850" s="105"/>
      <c r="P850" s="102" t="str">
        <f>IF(R850="","",P847-R850)</f>
        <v/>
      </c>
      <c r="Q850" s="103" t="str">
        <f>IF(S850="","",P847-S850)</f>
        <v/>
      </c>
      <c r="R850" s="104"/>
      <c r="S850" s="104"/>
      <c r="T850" s="105"/>
      <c r="U850" s="108"/>
      <c r="V850" s="109"/>
    </row>
    <row r="851" spans="1:22" ht="9" customHeight="1" x14ac:dyDescent="0.55000000000000004">
      <c r="A851" s="19"/>
      <c r="B851" s="69"/>
      <c r="C851" s="70"/>
      <c r="D851" s="69"/>
      <c r="E851" s="71"/>
      <c r="F851" s="72"/>
      <c r="G851" s="73"/>
      <c r="H851" s="74"/>
      <c r="I851" s="75"/>
      <c r="J851" s="76"/>
      <c r="K851" s="72"/>
      <c r="L851" s="73"/>
      <c r="M851" s="74"/>
      <c r="N851" s="75"/>
      <c r="O851" s="76"/>
      <c r="P851" s="72"/>
      <c r="Q851" s="73"/>
      <c r="R851" s="74"/>
      <c r="S851" s="75"/>
      <c r="T851" s="76"/>
      <c r="U851" s="77" t="str">
        <f>IF(OR(F854="",P854=""),"",B851/(F854-P854))</f>
        <v/>
      </c>
      <c r="V851" s="78"/>
    </row>
    <row r="852" spans="1:22" ht="9" customHeight="1" x14ac:dyDescent="0.55000000000000004">
      <c r="A852" s="79"/>
      <c r="B852" s="80"/>
      <c r="C852" s="81"/>
      <c r="D852" s="80"/>
      <c r="E852" s="82"/>
      <c r="F852" s="83" t="str">
        <f>IF(H854="","",F851-H852)</f>
        <v/>
      </c>
      <c r="G852" s="84" t="str">
        <f>IF(I854="","",F851-I852)</f>
        <v/>
      </c>
      <c r="H852" s="85" t="str">
        <f>IF(OR($A854="集水",$A854="吸水"),0.4,"")</f>
        <v/>
      </c>
      <c r="I852" s="85" t="str">
        <f>IF(OR($A854="集水",$A854="吸水"),0.4,"")</f>
        <v/>
      </c>
      <c r="J852" s="86" t="str">
        <f>IF(G852="","",F852-G852)</f>
        <v/>
      </c>
      <c r="K852" s="83" t="str">
        <f>IF(M854="","",K851-M852)</f>
        <v/>
      </c>
      <c r="L852" s="87" t="str">
        <f>IF(N854="","",K851-N852)</f>
        <v/>
      </c>
      <c r="M852" s="85" t="str">
        <f>IF(M854="","",IF(OR($A854="集水",$A854="吸水"),0.4,""))</f>
        <v/>
      </c>
      <c r="N852" s="85" t="str">
        <f>IF(N854="","",IF(OR($A854="集水",$A854="吸水"),0.4,""))</f>
        <v/>
      </c>
      <c r="O852" s="86" t="str">
        <f>IF(L852="","",K852-L852)</f>
        <v/>
      </c>
      <c r="P852" s="83" t="str">
        <f>IF(R854="","",P851-R852)</f>
        <v/>
      </c>
      <c r="Q852" s="84" t="str">
        <f>IF(S854="","",P851-S852)</f>
        <v/>
      </c>
      <c r="R852" s="85" t="str">
        <f>IF(OR($A854="集水",$A854="吸水"),0.4,"")</f>
        <v/>
      </c>
      <c r="S852" s="85" t="str">
        <f>IF(OR($A854="集水",$A854="吸水"),0.4,"")</f>
        <v/>
      </c>
      <c r="T852" s="86" t="str">
        <f>IF(Q852="","",P852-Q852)</f>
        <v/>
      </c>
      <c r="U852" s="88"/>
      <c r="V852" s="89"/>
    </row>
    <row r="853" spans="1:22" ht="9" customHeight="1" x14ac:dyDescent="0.55000000000000004">
      <c r="A853" s="90"/>
      <c r="B853" s="91"/>
      <c r="C853" s="92" t="str">
        <f>IF(B851="","",B853-B851)</f>
        <v/>
      </c>
      <c r="D853" s="91"/>
      <c r="E853" s="93" t="str">
        <f>IF(D851="","",D853-D851)</f>
        <v/>
      </c>
      <c r="F853" s="94"/>
      <c r="G853" s="85"/>
      <c r="H853" s="85"/>
      <c r="I853" s="95"/>
      <c r="J853" s="86"/>
      <c r="K853" s="94"/>
      <c r="L853" s="85"/>
      <c r="M853" s="85"/>
      <c r="N853" s="95"/>
      <c r="O853" s="86"/>
      <c r="P853" s="94"/>
      <c r="Q853" s="85"/>
      <c r="R853" s="85"/>
      <c r="S853" s="95"/>
      <c r="T853" s="86"/>
      <c r="U853" s="96"/>
      <c r="V853" s="97"/>
    </row>
    <row r="854" spans="1:22" ht="9" customHeight="1" x14ac:dyDescent="0.55000000000000004">
      <c r="A854" s="98"/>
      <c r="B854" s="99"/>
      <c r="C854" s="100"/>
      <c r="D854" s="99"/>
      <c r="E854" s="101"/>
      <c r="F854" s="102" t="str">
        <f>IF(H854="","",F851-H854)</f>
        <v/>
      </c>
      <c r="G854" s="103" t="str">
        <f>IF(I854="","",F851-I854)</f>
        <v/>
      </c>
      <c r="H854" s="104"/>
      <c r="I854" s="104"/>
      <c r="J854" s="105"/>
      <c r="K854" s="106" t="str">
        <f>IF(M854="","",K851-M854)</f>
        <v/>
      </c>
      <c r="L854" s="103" t="str">
        <f>IF(N854="","",K851-N854)</f>
        <v/>
      </c>
      <c r="M854" s="104"/>
      <c r="N854" s="107"/>
      <c r="O854" s="105"/>
      <c r="P854" s="102" t="str">
        <f>IF(R854="","",P851-R854)</f>
        <v/>
      </c>
      <c r="Q854" s="103" t="str">
        <f>IF(S854="","",P851-S854)</f>
        <v/>
      </c>
      <c r="R854" s="104"/>
      <c r="S854" s="104"/>
      <c r="T854" s="105"/>
      <c r="U854" s="108"/>
      <c r="V854" s="109"/>
    </row>
    <row r="855" spans="1:22" ht="9" customHeight="1" x14ac:dyDescent="0.55000000000000004">
      <c r="A855" s="19"/>
      <c r="B855" s="69"/>
      <c r="C855" s="70"/>
      <c r="D855" s="69"/>
      <c r="E855" s="71"/>
      <c r="F855" s="72"/>
      <c r="G855" s="73"/>
      <c r="H855" s="74"/>
      <c r="I855" s="75"/>
      <c r="J855" s="76"/>
      <c r="K855" s="72"/>
      <c r="L855" s="73"/>
      <c r="M855" s="74"/>
      <c r="N855" s="75"/>
      <c r="O855" s="76"/>
      <c r="P855" s="72"/>
      <c r="Q855" s="73"/>
      <c r="R855" s="74"/>
      <c r="S855" s="75"/>
      <c r="T855" s="76"/>
      <c r="U855" s="77" t="str">
        <f>IF(OR(F858="",P858=""),"",B855/(F858-P858))</f>
        <v/>
      </c>
      <c r="V855" s="78"/>
    </row>
    <row r="856" spans="1:22" ht="9" customHeight="1" x14ac:dyDescent="0.55000000000000004">
      <c r="A856" s="79"/>
      <c r="B856" s="80"/>
      <c r="C856" s="81"/>
      <c r="D856" s="80"/>
      <c r="E856" s="82"/>
      <c r="F856" s="83" t="str">
        <f>IF(H858="","",F855-H856)</f>
        <v/>
      </c>
      <c r="G856" s="84" t="str">
        <f>IF(I858="","",F855-I856)</f>
        <v/>
      </c>
      <c r="H856" s="85" t="str">
        <f>IF(OR($A858="集水",$A858="吸水"),0.4,"")</f>
        <v/>
      </c>
      <c r="I856" s="85" t="str">
        <f>IF(OR($A858="集水",$A858="吸水"),0.4,"")</f>
        <v/>
      </c>
      <c r="J856" s="86" t="str">
        <f>IF(G856="","",F856-G856)</f>
        <v/>
      </c>
      <c r="K856" s="83" t="str">
        <f>IF(M858="","",K855-M856)</f>
        <v/>
      </c>
      <c r="L856" s="87" t="str">
        <f>IF(N858="","",K855-N856)</f>
        <v/>
      </c>
      <c r="M856" s="85" t="str">
        <f>IF(M858="","",IF(OR($A858="集水",$A858="吸水"),0.4,""))</f>
        <v/>
      </c>
      <c r="N856" s="85" t="str">
        <f>IF(N858="","",IF(OR($A858="集水",$A858="吸水"),0.4,""))</f>
        <v/>
      </c>
      <c r="O856" s="86" t="str">
        <f>IF(L856="","",K856-L856)</f>
        <v/>
      </c>
      <c r="P856" s="83" t="str">
        <f>IF(R858="","",P855-R856)</f>
        <v/>
      </c>
      <c r="Q856" s="84" t="str">
        <f>IF(S858="","",P855-S856)</f>
        <v/>
      </c>
      <c r="R856" s="85" t="str">
        <f>IF(OR($A858="集水",$A858="吸水"),0.4,"")</f>
        <v/>
      </c>
      <c r="S856" s="85" t="str">
        <f>IF(OR($A858="集水",$A858="吸水"),0.4,"")</f>
        <v/>
      </c>
      <c r="T856" s="86" t="str">
        <f>IF(Q856="","",P856-Q856)</f>
        <v/>
      </c>
      <c r="U856" s="88"/>
      <c r="V856" s="89"/>
    </row>
    <row r="857" spans="1:22" ht="9" customHeight="1" x14ac:dyDescent="0.55000000000000004">
      <c r="A857" s="90"/>
      <c r="B857" s="91"/>
      <c r="C857" s="92" t="str">
        <f>IF(B855="","",B857-B855)</f>
        <v/>
      </c>
      <c r="D857" s="91"/>
      <c r="E857" s="93" t="str">
        <f>IF(D855="","",D857-D855)</f>
        <v/>
      </c>
      <c r="F857" s="94"/>
      <c r="G857" s="85"/>
      <c r="H857" s="85"/>
      <c r="I857" s="95"/>
      <c r="J857" s="86"/>
      <c r="K857" s="94"/>
      <c r="L857" s="85"/>
      <c r="M857" s="85"/>
      <c r="N857" s="95"/>
      <c r="O857" s="86"/>
      <c r="P857" s="94"/>
      <c r="Q857" s="85"/>
      <c r="R857" s="85"/>
      <c r="S857" s="95"/>
      <c r="T857" s="86"/>
      <c r="U857" s="96"/>
      <c r="V857" s="97"/>
    </row>
    <row r="858" spans="1:22" ht="9" customHeight="1" x14ac:dyDescent="0.55000000000000004">
      <c r="A858" s="98"/>
      <c r="B858" s="99"/>
      <c r="C858" s="100"/>
      <c r="D858" s="99"/>
      <c r="E858" s="101"/>
      <c r="F858" s="102" t="str">
        <f>IF(H858="","",F855-H858)</f>
        <v/>
      </c>
      <c r="G858" s="103" t="str">
        <f>IF(I858="","",F855-I858)</f>
        <v/>
      </c>
      <c r="H858" s="104"/>
      <c r="I858" s="104"/>
      <c r="J858" s="105"/>
      <c r="K858" s="106" t="str">
        <f>IF(M858="","",K855-M858)</f>
        <v/>
      </c>
      <c r="L858" s="103" t="str">
        <f>IF(N858="","",K855-N858)</f>
        <v/>
      </c>
      <c r="M858" s="104"/>
      <c r="N858" s="107"/>
      <c r="O858" s="105"/>
      <c r="P858" s="102" t="str">
        <f>IF(R858="","",P855-R858)</f>
        <v/>
      </c>
      <c r="Q858" s="103" t="str">
        <f>IF(S858="","",P855-S858)</f>
        <v/>
      </c>
      <c r="R858" s="104"/>
      <c r="S858" s="104"/>
      <c r="T858" s="105"/>
      <c r="U858" s="108"/>
      <c r="V858" s="109"/>
    </row>
    <row r="859" spans="1:22" ht="9" customHeight="1" x14ac:dyDescent="0.55000000000000004">
      <c r="A859" s="19"/>
      <c r="B859" s="69"/>
      <c r="C859" s="70"/>
      <c r="D859" s="69"/>
      <c r="E859" s="71"/>
      <c r="F859" s="72"/>
      <c r="G859" s="73"/>
      <c r="H859" s="74"/>
      <c r="I859" s="75"/>
      <c r="J859" s="76"/>
      <c r="K859" s="72"/>
      <c r="L859" s="73"/>
      <c r="M859" s="74"/>
      <c r="N859" s="75"/>
      <c r="O859" s="76"/>
      <c r="P859" s="72"/>
      <c r="Q859" s="73"/>
      <c r="R859" s="74"/>
      <c r="S859" s="75"/>
      <c r="T859" s="76"/>
      <c r="U859" s="77" t="str">
        <f>IF(OR(F862="",P862=""),"",B859/(F862-P862))</f>
        <v/>
      </c>
      <c r="V859" s="78"/>
    </row>
    <row r="860" spans="1:22" ht="9" customHeight="1" x14ac:dyDescent="0.55000000000000004">
      <c r="A860" s="79"/>
      <c r="B860" s="80"/>
      <c r="C860" s="81"/>
      <c r="D860" s="80"/>
      <c r="E860" s="82"/>
      <c r="F860" s="83" t="str">
        <f>IF(H862="","",F859-H860)</f>
        <v/>
      </c>
      <c r="G860" s="84" t="str">
        <f>IF(I862="","",F859-I860)</f>
        <v/>
      </c>
      <c r="H860" s="85" t="str">
        <f>IF(OR($A862="集水",$A862="吸水"),0.4,"")</f>
        <v/>
      </c>
      <c r="I860" s="85" t="str">
        <f>IF(OR($A862="集水",$A862="吸水"),0.4,"")</f>
        <v/>
      </c>
      <c r="J860" s="86" t="str">
        <f>IF(G860="","",F860-G860)</f>
        <v/>
      </c>
      <c r="K860" s="83" t="str">
        <f>IF(M862="","",K859-M860)</f>
        <v/>
      </c>
      <c r="L860" s="87" t="str">
        <f>IF(N862="","",K859-N860)</f>
        <v/>
      </c>
      <c r="M860" s="85" t="str">
        <f>IF(M862="","",IF(OR($A862="集水",$A862="吸水"),0.4,""))</f>
        <v/>
      </c>
      <c r="N860" s="85" t="str">
        <f>IF(N862="","",IF(OR($A862="集水",$A862="吸水"),0.4,""))</f>
        <v/>
      </c>
      <c r="O860" s="86" t="str">
        <f>IF(L860="","",K860-L860)</f>
        <v/>
      </c>
      <c r="P860" s="83" t="str">
        <f>IF(R862="","",P859-R860)</f>
        <v/>
      </c>
      <c r="Q860" s="84" t="str">
        <f>IF(S862="","",P859-S860)</f>
        <v/>
      </c>
      <c r="R860" s="85" t="str">
        <f>IF(OR($A862="集水",$A862="吸水"),0.4,"")</f>
        <v/>
      </c>
      <c r="S860" s="85" t="str">
        <f>IF(OR($A862="集水",$A862="吸水"),0.4,"")</f>
        <v/>
      </c>
      <c r="T860" s="86" t="str">
        <f>IF(Q860="","",P860-Q860)</f>
        <v/>
      </c>
      <c r="U860" s="88"/>
      <c r="V860" s="89"/>
    </row>
    <row r="861" spans="1:22" ht="9" customHeight="1" x14ac:dyDescent="0.55000000000000004">
      <c r="A861" s="90"/>
      <c r="B861" s="91"/>
      <c r="C861" s="92" t="str">
        <f>IF(B859="","",B861-B859)</f>
        <v/>
      </c>
      <c r="D861" s="91"/>
      <c r="E861" s="93" t="str">
        <f>IF(D859="","",D861-D859)</f>
        <v/>
      </c>
      <c r="F861" s="94"/>
      <c r="G861" s="85"/>
      <c r="H861" s="85"/>
      <c r="I861" s="95"/>
      <c r="J861" s="86"/>
      <c r="K861" s="94"/>
      <c r="L861" s="85"/>
      <c r="M861" s="85"/>
      <c r="N861" s="95"/>
      <c r="O861" s="86"/>
      <c r="P861" s="94"/>
      <c r="Q861" s="85"/>
      <c r="R861" s="85"/>
      <c r="S861" s="95"/>
      <c r="T861" s="86"/>
      <c r="U861" s="96"/>
      <c r="V861" s="97"/>
    </row>
    <row r="862" spans="1:22" ht="9" customHeight="1" x14ac:dyDescent="0.55000000000000004">
      <c r="A862" s="98"/>
      <c r="B862" s="99"/>
      <c r="C862" s="100"/>
      <c r="D862" s="99"/>
      <c r="E862" s="101"/>
      <c r="F862" s="102" t="str">
        <f>IF(H862="","",F859-H862)</f>
        <v/>
      </c>
      <c r="G862" s="103" t="str">
        <f>IF(I862="","",F859-I862)</f>
        <v/>
      </c>
      <c r="H862" s="104"/>
      <c r="I862" s="104"/>
      <c r="J862" s="105"/>
      <c r="K862" s="106" t="str">
        <f>IF(M862="","",K859-M862)</f>
        <v/>
      </c>
      <c r="L862" s="103" t="str">
        <f>IF(N862="","",K859-N862)</f>
        <v/>
      </c>
      <c r="M862" s="104"/>
      <c r="N862" s="107"/>
      <c r="O862" s="105"/>
      <c r="P862" s="102" t="str">
        <f>IF(R862="","",P859-R862)</f>
        <v/>
      </c>
      <c r="Q862" s="103" t="str">
        <f>IF(S862="","",P859-S862)</f>
        <v/>
      </c>
      <c r="R862" s="104"/>
      <c r="S862" s="104"/>
      <c r="T862" s="105"/>
      <c r="U862" s="108"/>
      <c r="V862" s="109"/>
    </row>
    <row r="863" spans="1:22" ht="9" customHeight="1" x14ac:dyDescent="0.55000000000000004">
      <c r="A863" s="19"/>
      <c r="B863" s="69"/>
      <c r="C863" s="70"/>
      <c r="D863" s="69"/>
      <c r="E863" s="71"/>
      <c r="F863" s="72"/>
      <c r="G863" s="73"/>
      <c r="H863" s="74"/>
      <c r="I863" s="75"/>
      <c r="J863" s="76"/>
      <c r="K863" s="72"/>
      <c r="L863" s="73"/>
      <c r="M863" s="74"/>
      <c r="N863" s="75"/>
      <c r="O863" s="76"/>
      <c r="P863" s="72"/>
      <c r="Q863" s="73"/>
      <c r="R863" s="74"/>
      <c r="S863" s="75"/>
      <c r="T863" s="76"/>
      <c r="U863" s="77" t="str">
        <f>IF(OR(F866="",P866=""),"",B863/(F866-P866))</f>
        <v/>
      </c>
      <c r="V863" s="78"/>
    </row>
    <row r="864" spans="1:22" ht="9" customHeight="1" x14ac:dyDescent="0.55000000000000004">
      <c r="A864" s="79"/>
      <c r="B864" s="80"/>
      <c r="C864" s="81"/>
      <c r="D864" s="80"/>
      <c r="E864" s="82"/>
      <c r="F864" s="83" t="str">
        <f>IF(H866="","",F863-H864)</f>
        <v/>
      </c>
      <c r="G864" s="84" t="str">
        <f>IF(I866="","",F863-I864)</f>
        <v/>
      </c>
      <c r="H864" s="85" t="str">
        <f>IF(OR($A866="集水",$A866="吸水"),0.4,"")</f>
        <v/>
      </c>
      <c r="I864" s="85" t="str">
        <f>IF(OR($A866="集水",$A866="吸水"),0.4,"")</f>
        <v/>
      </c>
      <c r="J864" s="86" t="str">
        <f>IF(G864="","",F864-G864)</f>
        <v/>
      </c>
      <c r="K864" s="83" t="str">
        <f>IF(M866="","",K863-M864)</f>
        <v/>
      </c>
      <c r="L864" s="87" t="str">
        <f>IF(N866="","",K863-N864)</f>
        <v/>
      </c>
      <c r="M864" s="85" t="str">
        <f>IF(M866="","",IF(OR($A866="集水",$A866="吸水"),0.4,""))</f>
        <v/>
      </c>
      <c r="N864" s="85" t="str">
        <f>IF(N866="","",IF(OR($A866="集水",$A866="吸水"),0.4,""))</f>
        <v/>
      </c>
      <c r="O864" s="86" t="str">
        <f>IF(L864="","",K864-L864)</f>
        <v/>
      </c>
      <c r="P864" s="83" t="str">
        <f>IF(R866="","",P863-R864)</f>
        <v/>
      </c>
      <c r="Q864" s="84" t="str">
        <f>IF(S866="","",P863-S864)</f>
        <v/>
      </c>
      <c r="R864" s="85" t="str">
        <f>IF(OR($A866="集水",$A866="吸水"),0.4,"")</f>
        <v/>
      </c>
      <c r="S864" s="85" t="str">
        <f>IF(OR($A866="集水",$A866="吸水"),0.4,"")</f>
        <v/>
      </c>
      <c r="T864" s="86" t="str">
        <f>IF(Q864="","",P864-Q864)</f>
        <v/>
      </c>
      <c r="U864" s="88"/>
      <c r="V864" s="89"/>
    </row>
    <row r="865" spans="1:22" ht="9" customHeight="1" x14ac:dyDescent="0.55000000000000004">
      <c r="A865" s="90"/>
      <c r="B865" s="91"/>
      <c r="C865" s="92" t="str">
        <f>IF(B863="","",B865-B863)</f>
        <v/>
      </c>
      <c r="D865" s="91"/>
      <c r="E865" s="93" t="str">
        <f>IF(D863="","",D865-D863)</f>
        <v/>
      </c>
      <c r="F865" s="94"/>
      <c r="G865" s="85"/>
      <c r="H865" s="85"/>
      <c r="I865" s="95"/>
      <c r="J865" s="86"/>
      <c r="K865" s="94"/>
      <c r="L865" s="85"/>
      <c r="M865" s="85"/>
      <c r="N865" s="95"/>
      <c r="O865" s="86"/>
      <c r="P865" s="94"/>
      <c r="Q865" s="85"/>
      <c r="R865" s="85"/>
      <c r="S865" s="95"/>
      <c r="T865" s="86"/>
      <c r="U865" s="96"/>
      <c r="V865" s="97"/>
    </row>
    <row r="866" spans="1:22" ht="9" customHeight="1" x14ac:dyDescent="0.55000000000000004">
      <c r="A866" s="98"/>
      <c r="B866" s="99"/>
      <c r="C866" s="100"/>
      <c r="D866" s="99"/>
      <c r="E866" s="101"/>
      <c r="F866" s="102" t="str">
        <f>IF(H866="","",F863-H866)</f>
        <v/>
      </c>
      <c r="G866" s="103" t="str">
        <f>IF(I866="","",F863-I866)</f>
        <v/>
      </c>
      <c r="H866" s="104"/>
      <c r="I866" s="104"/>
      <c r="J866" s="105"/>
      <c r="K866" s="106" t="str">
        <f>IF(M866="","",K863-M866)</f>
        <v/>
      </c>
      <c r="L866" s="103" t="str">
        <f>IF(N866="","",K863-N866)</f>
        <v/>
      </c>
      <c r="M866" s="104"/>
      <c r="N866" s="107"/>
      <c r="O866" s="105"/>
      <c r="P866" s="102" t="str">
        <f>IF(R866="","",P863-R866)</f>
        <v/>
      </c>
      <c r="Q866" s="103" t="str">
        <f>IF(S866="","",P863-S866)</f>
        <v/>
      </c>
      <c r="R866" s="104"/>
      <c r="S866" s="104"/>
      <c r="T866" s="105"/>
      <c r="U866" s="108"/>
      <c r="V866" s="109"/>
    </row>
    <row r="867" spans="1:22" ht="9" customHeight="1" x14ac:dyDescent="0.55000000000000004">
      <c r="A867" s="19"/>
      <c r="B867" s="69"/>
      <c r="C867" s="70"/>
      <c r="D867" s="69"/>
      <c r="E867" s="71"/>
      <c r="F867" s="72"/>
      <c r="G867" s="73"/>
      <c r="H867" s="74"/>
      <c r="I867" s="75"/>
      <c r="J867" s="76"/>
      <c r="K867" s="72"/>
      <c r="L867" s="73"/>
      <c r="M867" s="74"/>
      <c r="N867" s="75"/>
      <c r="O867" s="76"/>
      <c r="P867" s="72"/>
      <c r="Q867" s="73"/>
      <c r="R867" s="74"/>
      <c r="S867" s="75"/>
      <c r="T867" s="76"/>
      <c r="U867" s="77" t="str">
        <f>IF(OR(F870="",P870=""),"",B867/(F870-P870))</f>
        <v/>
      </c>
      <c r="V867" s="78"/>
    </row>
    <row r="868" spans="1:22" ht="9" customHeight="1" x14ac:dyDescent="0.55000000000000004">
      <c r="A868" s="79"/>
      <c r="B868" s="80"/>
      <c r="C868" s="81"/>
      <c r="D868" s="80"/>
      <c r="E868" s="82"/>
      <c r="F868" s="83" t="str">
        <f>IF(H870="","",F867-H868)</f>
        <v/>
      </c>
      <c r="G868" s="84" t="str">
        <f>IF(I870="","",F867-I868)</f>
        <v/>
      </c>
      <c r="H868" s="85" t="str">
        <f>IF(OR($A870="集水",$A870="吸水"),0.4,"")</f>
        <v/>
      </c>
      <c r="I868" s="85" t="str">
        <f>IF(OR($A870="集水",$A870="吸水"),0.4,"")</f>
        <v/>
      </c>
      <c r="J868" s="86" t="str">
        <f>IF(G868="","",F868-G868)</f>
        <v/>
      </c>
      <c r="K868" s="83" t="str">
        <f>IF(M870="","",K867-M868)</f>
        <v/>
      </c>
      <c r="L868" s="87" t="str">
        <f>IF(N870="","",K867-N868)</f>
        <v/>
      </c>
      <c r="M868" s="85" t="str">
        <f>IF(M870="","",IF(OR($A870="集水",$A870="吸水"),0.4,""))</f>
        <v/>
      </c>
      <c r="N868" s="85" t="str">
        <f>IF(N870="","",IF(OR($A870="集水",$A870="吸水"),0.4,""))</f>
        <v/>
      </c>
      <c r="O868" s="86" t="str">
        <f>IF(L868="","",K868-L868)</f>
        <v/>
      </c>
      <c r="P868" s="83" t="str">
        <f>IF(R870="","",P867-R868)</f>
        <v/>
      </c>
      <c r="Q868" s="84" t="str">
        <f>IF(S870="","",P867-S868)</f>
        <v/>
      </c>
      <c r="R868" s="85" t="str">
        <f>IF(OR($A870="集水",$A870="吸水"),0.4,"")</f>
        <v/>
      </c>
      <c r="S868" s="85" t="str">
        <f>IF(OR($A870="集水",$A870="吸水"),0.4,"")</f>
        <v/>
      </c>
      <c r="T868" s="86" t="str">
        <f>IF(Q868="","",P868-Q868)</f>
        <v/>
      </c>
      <c r="U868" s="88"/>
      <c r="V868" s="89"/>
    </row>
    <row r="869" spans="1:22" ht="9" customHeight="1" x14ac:dyDescent="0.55000000000000004">
      <c r="A869" s="90"/>
      <c r="B869" s="91"/>
      <c r="C869" s="92" t="str">
        <f>IF(B867="","",B869-B867)</f>
        <v/>
      </c>
      <c r="D869" s="91"/>
      <c r="E869" s="93" t="str">
        <f>IF(D867="","",D869-D867)</f>
        <v/>
      </c>
      <c r="F869" s="94"/>
      <c r="G869" s="85"/>
      <c r="H869" s="85"/>
      <c r="I869" s="95"/>
      <c r="J869" s="86"/>
      <c r="K869" s="94"/>
      <c r="L869" s="85"/>
      <c r="M869" s="85"/>
      <c r="N869" s="95"/>
      <c r="O869" s="86"/>
      <c r="P869" s="94"/>
      <c r="Q869" s="85"/>
      <c r="R869" s="85"/>
      <c r="S869" s="95"/>
      <c r="T869" s="86"/>
      <c r="U869" s="96"/>
      <c r="V869" s="97"/>
    </row>
    <row r="870" spans="1:22" ht="9" customHeight="1" x14ac:dyDescent="0.55000000000000004">
      <c r="A870" s="98"/>
      <c r="B870" s="99"/>
      <c r="C870" s="100"/>
      <c r="D870" s="99"/>
      <c r="E870" s="101"/>
      <c r="F870" s="102" t="str">
        <f>IF(H870="","",F867-H870)</f>
        <v/>
      </c>
      <c r="G870" s="103" t="str">
        <f>IF(I870="","",F867-I870)</f>
        <v/>
      </c>
      <c r="H870" s="104"/>
      <c r="I870" s="104"/>
      <c r="J870" s="105"/>
      <c r="K870" s="106" t="str">
        <f>IF(M870="","",K867-M870)</f>
        <v/>
      </c>
      <c r="L870" s="103" t="str">
        <f>IF(N870="","",K867-N870)</f>
        <v/>
      </c>
      <c r="M870" s="104"/>
      <c r="N870" s="107"/>
      <c r="O870" s="105"/>
      <c r="P870" s="102" t="str">
        <f>IF(R870="","",P867-R870)</f>
        <v/>
      </c>
      <c r="Q870" s="103" t="str">
        <f>IF(S870="","",P867-S870)</f>
        <v/>
      </c>
      <c r="R870" s="104"/>
      <c r="S870" s="104"/>
      <c r="T870" s="105"/>
      <c r="U870" s="108"/>
      <c r="V870" s="109"/>
    </row>
    <row r="871" spans="1:22" ht="9" customHeight="1" x14ac:dyDescent="0.55000000000000004">
      <c r="A871" s="19"/>
      <c r="B871" s="69"/>
      <c r="C871" s="70"/>
      <c r="D871" s="69"/>
      <c r="E871" s="71"/>
      <c r="F871" s="72"/>
      <c r="G871" s="73"/>
      <c r="H871" s="74"/>
      <c r="I871" s="75"/>
      <c r="J871" s="76"/>
      <c r="K871" s="72"/>
      <c r="L871" s="73"/>
      <c r="M871" s="74"/>
      <c r="N871" s="75"/>
      <c r="O871" s="76"/>
      <c r="P871" s="72"/>
      <c r="Q871" s="73"/>
      <c r="R871" s="74"/>
      <c r="S871" s="75"/>
      <c r="T871" s="76"/>
      <c r="U871" s="77" t="str">
        <f>IF(OR(F874="",P874=""),"",B871/(F874-P874))</f>
        <v/>
      </c>
      <c r="V871" s="78"/>
    </row>
    <row r="872" spans="1:22" ht="9" customHeight="1" x14ac:dyDescent="0.55000000000000004">
      <c r="A872" s="79"/>
      <c r="B872" s="80"/>
      <c r="C872" s="81"/>
      <c r="D872" s="80"/>
      <c r="E872" s="82"/>
      <c r="F872" s="83" t="str">
        <f>IF(H874="","",F871-H872)</f>
        <v/>
      </c>
      <c r="G872" s="84" t="str">
        <f>IF(I874="","",F871-I872)</f>
        <v/>
      </c>
      <c r="H872" s="85" t="str">
        <f>IF(OR($A874="集水",$A874="吸水"),0.4,"")</f>
        <v/>
      </c>
      <c r="I872" s="85" t="str">
        <f>IF(OR($A874="集水",$A874="吸水"),0.4,"")</f>
        <v/>
      </c>
      <c r="J872" s="86" t="str">
        <f>IF(G872="","",F872-G872)</f>
        <v/>
      </c>
      <c r="K872" s="83" t="str">
        <f>IF(M874="","",K871-M872)</f>
        <v/>
      </c>
      <c r="L872" s="87" t="str">
        <f>IF(N874="","",K871-N872)</f>
        <v/>
      </c>
      <c r="M872" s="85" t="str">
        <f>IF(M874="","",IF(OR($A874="集水",$A874="吸水"),0.4,""))</f>
        <v/>
      </c>
      <c r="N872" s="85" t="str">
        <f>IF(N874="","",IF(OR($A874="集水",$A874="吸水"),0.4,""))</f>
        <v/>
      </c>
      <c r="O872" s="86" t="str">
        <f>IF(L872="","",K872-L872)</f>
        <v/>
      </c>
      <c r="P872" s="83" t="str">
        <f>IF(R874="","",P871-R872)</f>
        <v/>
      </c>
      <c r="Q872" s="84" t="str">
        <f>IF(S874="","",P871-S872)</f>
        <v/>
      </c>
      <c r="R872" s="85" t="str">
        <f>IF(OR($A874="集水",$A874="吸水"),0.4,"")</f>
        <v/>
      </c>
      <c r="S872" s="85" t="str">
        <f>IF(OR($A874="集水",$A874="吸水"),0.4,"")</f>
        <v/>
      </c>
      <c r="T872" s="86" t="str">
        <f>IF(Q872="","",P872-Q872)</f>
        <v/>
      </c>
      <c r="U872" s="88"/>
      <c r="V872" s="89"/>
    </row>
    <row r="873" spans="1:22" ht="9" customHeight="1" x14ac:dyDescent="0.55000000000000004">
      <c r="A873" s="90"/>
      <c r="B873" s="91"/>
      <c r="C873" s="92" t="str">
        <f>IF(B871="","",B873-B871)</f>
        <v/>
      </c>
      <c r="D873" s="91"/>
      <c r="E873" s="93" t="str">
        <f>IF(D871="","",D873-D871)</f>
        <v/>
      </c>
      <c r="F873" s="94"/>
      <c r="G873" s="85"/>
      <c r="H873" s="85"/>
      <c r="I873" s="95"/>
      <c r="J873" s="86"/>
      <c r="K873" s="94"/>
      <c r="L873" s="85"/>
      <c r="M873" s="85"/>
      <c r="N873" s="95"/>
      <c r="O873" s="86"/>
      <c r="P873" s="94"/>
      <c r="Q873" s="85"/>
      <c r="R873" s="85"/>
      <c r="S873" s="95"/>
      <c r="T873" s="86"/>
      <c r="U873" s="96"/>
      <c r="V873" s="97"/>
    </row>
    <row r="874" spans="1:22" ht="9" customHeight="1" x14ac:dyDescent="0.55000000000000004">
      <c r="A874" s="98"/>
      <c r="B874" s="99"/>
      <c r="C874" s="100"/>
      <c r="D874" s="99"/>
      <c r="E874" s="101"/>
      <c r="F874" s="102" t="str">
        <f>IF(H874="","",F871-H874)</f>
        <v/>
      </c>
      <c r="G874" s="103" t="str">
        <f>IF(I874="","",F871-I874)</f>
        <v/>
      </c>
      <c r="H874" s="104"/>
      <c r="I874" s="104"/>
      <c r="J874" s="105"/>
      <c r="K874" s="106" t="str">
        <f>IF(M874="","",K871-M874)</f>
        <v/>
      </c>
      <c r="L874" s="103" t="str">
        <f>IF(N874="","",K871-N874)</f>
        <v/>
      </c>
      <c r="M874" s="104"/>
      <c r="N874" s="107"/>
      <c r="O874" s="105"/>
      <c r="P874" s="102" t="str">
        <f>IF(R874="","",P871-R874)</f>
        <v/>
      </c>
      <c r="Q874" s="103" t="str">
        <f>IF(S874="","",P871-S874)</f>
        <v/>
      </c>
      <c r="R874" s="104"/>
      <c r="S874" s="104"/>
      <c r="T874" s="105"/>
      <c r="U874" s="108"/>
      <c r="V874" s="109"/>
    </row>
    <row r="875" spans="1:22" ht="9" customHeight="1" x14ac:dyDescent="0.55000000000000004">
      <c r="A875" s="19"/>
      <c r="B875" s="69"/>
      <c r="C875" s="70"/>
      <c r="D875" s="69"/>
      <c r="E875" s="71"/>
      <c r="F875" s="72"/>
      <c r="G875" s="73"/>
      <c r="H875" s="74"/>
      <c r="I875" s="75"/>
      <c r="J875" s="76"/>
      <c r="K875" s="72"/>
      <c r="L875" s="73"/>
      <c r="M875" s="74"/>
      <c r="N875" s="75"/>
      <c r="O875" s="76"/>
      <c r="P875" s="72"/>
      <c r="Q875" s="73"/>
      <c r="R875" s="74"/>
      <c r="S875" s="75"/>
      <c r="T875" s="76"/>
      <c r="U875" s="77" t="str">
        <f>IF(OR(F878="",P878=""),"",B875/(F878-P878))</f>
        <v/>
      </c>
      <c r="V875" s="78"/>
    </row>
    <row r="876" spans="1:22" ht="9" customHeight="1" x14ac:dyDescent="0.55000000000000004">
      <c r="A876" s="79"/>
      <c r="B876" s="80"/>
      <c r="C876" s="81"/>
      <c r="D876" s="80"/>
      <c r="E876" s="82"/>
      <c r="F876" s="83" t="str">
        <f>IF(H878="","",F875-H876)</f>
        <v/>
      </c>
      <c r="G876" s="84" t="str">
        <f>IF(I878="","",F875-I876)</f>
        <v/>
      </c>
      <c r="H876" s="85" t="str">
        <f>IF(OR($A878="集水",$A878="吸水"),0.4,"")</f>
        <v/>
      </c>
      <c r="I876" s="85" t="str">
        <f>IF(OR($A878="集水",$A878="吸水"),0.4,"")</f>
        <v/>
      </c>
      <c r="J876" s="86" t="str">
        <f>IF(G876="","",F876-G876)</f>
        <v/>
      </c>
      <c r="K876" s="83" t="str">
        <f>IF(M878="","",K875-M876)</f>
        <v/>
      </c>
      <c r="L876" s="87" t="str">
        <f>IF(N878="","",K875-N876)</f>
        <v/>
      </c>
      <c r="M876" s="85" t="str">
        <f>IF(M878="","",IF(OR($A878="集水",$A878="吸水"),0.4,""))</f>
        <v/>
      </c>
      <c r="N876" s="85" t="str">
        <f>IF(N878="","",IF(OR($A878="集水",$A878="吸水"),0.4,""))</f>
        <v/>
      </c>
      <c r="O876" s="86" t="str">
        <f>IF(L876="","",K876-L876)</f>
        <v/>
      </c>
      <c r="P876" s="83" t="str">
        <f>IF(R878="","",P875-R876)</f>
        <v/>
      </c>
      <c r="Q876" s="84" t="str">
        <f>IF(S878="","",P875-S876)</f>
        <v/>
      </c>
      <c r="R876" s="85" t="str">
        <f>IF(OR($A878="集水",$A878="吸水"),0.4,"")</f>
        <v/>
      </c>
      <c r="S876" s="85" t="str">
        <f>IF(OR($A878="集水",$A878="吸水"),0.4,"")</f>
        <v/>
      </c>
      <c r="T876" s="86" t="str">
        <f>IF(Q876="","",P876-Q876)</f>
        <v/>
      </c>
      <c r="U876" s="88"/>
      <c r="V876" s="89"/>
    </row>
    <row r="877" spans="1:22" ht="9" customHeight="1" x14ac:dyDescent="0.55000000000000004">
      <c r="A877" s="90"/>
      <c r="B877" s="91"/>
      <c r="C877" s="92" t="str">
        <f>IF(B875="","",B877-B875)</f>
        <v/>
      </c>
      <c r="D877" s="91"/>
      <c r="E877" s="93" t="str">
        <f>IF(D875="","",D877-D875)</f>
        <v/>
      </c>
      <c r="F877" s="94"/>
      <c r="G877" s="85"/>
      <c r="H877" s="85"/>
      <c r="I877" s="95"/>
      <c r="J877" s="86"/>
      <c r="K877" s="94"/>
      <c r="L877" s="85"/>
      <c r="M877" s="85"/>
      <c r="N877" s="95"/>
      <c r="O877" s="86"/>
      <c r="P877" s="94"/>
      <c r="Q877" s="85"/>
      <c r="R877" s="85"/>
      <c r="S877" s="95"/>
      <c r="T877" s="86"/>
      <c r="U877" s="96"/>
      <c r="V877" s="97"/>
    </row>
    <row r="878" spans="1:22" ht="9" customHeight="1" x14ac:dyDescent="0.55000000000000004">
      <c r="A878" s="98"/>
      <c r="B878" s="99"/>
      <c r="C878" s="100"/>
      <c r="D878" s="99"/>
      <c r="E878" s="101"/>
      <c r="F878" s="102" t="str">
        <f>IF(H878="","",F875-H878)</f>
        <v/>
      </c>
      <c r="G878" s="103" t="str">
        <f>IF(I878="","",F875-I878)</f>
        <v/>
      </c>
      <c r="H878" s="104"/>
      <c r="I878" s="104"/>
      <c r="J878" s="105"/>
      <c r="K878" s="106" t="str">
        <f>IF(M878="","",K875-M878)</f>
        <v/>
      </c>
      <c r="L878" s="103" t="str">
        <f>IF(N878="","",K875-N878)</f>
        <v/>
      </c>
      <c r="M878" s="104"/>
      <c r="N878" s="107"/>
      <c r="O878" s="105"/>
      <c r="P878" s="102" t="str">
        <f>IF(R878="","",P875-R878)</f>
        <v/>
      </c>
      <c r="Q878" s="103" t="str">
        <f>IF(S878="","",P875-S878)</f>
        <v/>
      </c>
      <c r="R878" s="104"/>
      <c r="S878" s="104"/>
      <c r="T878" s="105"/>
      <c r="U878" s="108"/>
      <c r="V878" s="109"/>
    </row>
    <row r="879" spans="1:22" ht="9" customHeight="1" x14ac:dyDescent="0.55000000000000004">
      <c r="A879" s="19"/>
      <c r="B879" s="69"/>
      <c r="C879" s="70"/>
      <c r="D879" s="69"/>
      <c r="E879" s="71"/>
      <c r="F879" s="72"/>
      <c r="G879" s="73"/>
      <c r="H879" s="74"/>
      <c r="I879" s="75"/>
      <c r="J879" s="76"/>
      <c r="K879" s="72"/>
      <c r="L879" s="73"/>
      <c r="M879" s="74"/>
      <c r="N879" s="75"/>
      <c r="O879" s="76"/>
      <c r="P879" s="72"/>
      <c r="Q879" s="73"/>
      <c r="R879" s="74"/>
      <c r="S879" s="75"/>
      <c r="T879" s="76"/>
      <c r="U879" s="77" t="str">
        <f>IF(OR(F882="",P882=""),"",B879/(F882-P882))</f>
        <v/>
      </c>
      <c r="V879" s="78"/>
    </row>
    <row r="880" spans="1:22" ht="9" customHeight="1" x14ac:dyDescent="0.55000000000000004">
      <c r="A880" s="79"/>
      <c r="B880" s="80"/>
      <c r="C880" s="81"/>
      <c r="D880" s="80"/>
      <c r="E880" s="82"/>
      <c r="F880" s="83" t="str">
        <f>IF(H882="","",F879-H880)</f>
        <v/>
      </c>
      <c r="G880" s="84" t="str">
        <f>IF(I882="","",F879-I880)</f>
        <v/>
      </c>
      <c r="H880" s="85" t="str">
        <f>IF(OR($A882="集水",$A882="吸水"),0.4,"")</f>
        <v/>
      </c>
      <c r="I880" s="85" t="str">
        <f>IF(OR($A882="集水",$A882="吸水"),0.4,"")</f>
        <v/>
      </c>
      <c r="J880" s="86" t="str">
        <f>IF(G880="","",F880-G880)</f>
        <v/>
      </c>
      <c r="K880" s="83" t="str">
        <f>IF(M882="","",K879-M880)</f>
        <v/>
      </c>
      <c r="L880" s="87" t="str">
        <f>IF(N882="","",K879-N880)</f>
        <v/>
      </c>
      <c r="M880" s="85" t="str">
        <f>IF(M882="","",IF(OR($A882="集水",$A882="吸水"),0.4,""))</f>
        <v/>
      </c>
      <c r="N880" s="85" t="str">
        <f>IF(N882="","",IF(OR($A882="集水",$A882="吸水"),0.4,""))</f>
        <v/>
      </c>
      <c r="O880" s="86" t="str">
        <f>IF(L880="","",K880-L880)</f>
        <v/>
      </c>
      <c r="P880" s="83" t="str">
        <f>IF(R882="","",P879-R880)</f>
        <v/>
      </c>
      <c r="Q880" s="84" t="str">
        <f>IF(S882="","",P879-S880)</f>
        <v/>
      </c>
      <c r="R880" s="85" t="str">
        <f>IF(OR($A882="集水",$A882="吸水"),0.4,"")</f>
        <v/>
      </c>
      <c r="S880" s="85" t="str">
        <f>IF(OR($A882="集水",$A882="吸水"),0.4,"")</f>
        <v/>
      </c>
      <c r="T880" s="86" t="str">
        <f>IF(Q880="","",P880-Q880)</f>
        <v/>
      </c>
      <c r="U880" s="88"/>
      <c r="V880" s="89"/>
    </row>
    <row r="881" spans="1:22" ht="9" customHeight="1" x14ac:dyDescent="0.55000000000000004">
      <c r="A881" s="90"/>
      <c r="B881" s="91"/>
      <c r="C881" s="92" t="str">
        <f>IF(B879="","",B881-B879)</f>
        <v/>
      </c>
      <c r="D881" s="91"/>
      <c r="E881" s="93" t="str">
        <f>IF(D879="","",D881-D879)</f>
        <v/>
      </c>
      <c r="F881" s="94"/>
      <c r="G881" s="85"/>
      <c r="H881" s="85"/>
      <c r="I881" s="95"/>
      <c r="J881" s="86"/>
      <c r="K881" s="94"/>
      <c r="L881" s="85"/>
      <c r="M881" s="85"/>
      <c r="N881" s="95"/>
      <c r="O881" s="86"/>
      <c r="P881" s="94"/>
      <c r="Q881" s="85"/>
      <c r="R881" s="85"/>
      <c r="S881" s="95"/>
      <c r="T881" s="86"/>
      <c r="U881" s="96"/>
      <c r="V881" s="97"/>
    </row>
    <row r="882" spans="1:22" ht="9" customHeight="1" x14ac:dyDescent="0.55000000000000004">
      <c r="A882" s="98"/>
      <c r="B882" s="99"/>
      <c r="C882" s="100"/>
      <c r="D882" s="99"/>
      <c r="E882" s="101"/>
      <c r="F882" s="102" t="str">
        <f>IF(H882="","",F879-H882)</f>
        <v/>
      </c>
      <c r="G882" s="103" t="str">
        <f>IF(I882="","",F879-I882)</f>
        <v/>
      </c>
      <c r="H882" s="104"/>
      <c r="I882" s="104"/>
      <c r="J882" s="105"/>
      <c r="K882" s="106" t="str">
        <f>IF(M882="","",K879-M882)</f>
        <v/>
      </c>
      <c r="L882" s="103" t="str">
        <f>IF(N882="","",K879-N882)</f>
        <v/>
      </c>
      <c r="M882" s="104"/>
      <c r="N882" s="107"/>
      <c r="O882" s="105"/>
      <c r="P882" s="102" t="str">
        <f>IF(R882="","",P879-R882)</f>
        <v/>
      </c>
      <c r="Q882" s="103" t="str">
        <f>IF(S882="","",P879-S882)</f>
        <v/>
      </c>
      <c r="R882" s="104"/>
      <c r="S882" s="104"/>
      <c r="T882" s="105"/>
      <c r="U882" s="108"/>
      <c r="V882" s="109"/>
    </row>
    <row r="883" spans="1:22" ht="9" customHeight="1" x14ac:dyDescent="0.55000000000000004">
      <c r="A883" s="19"/>
      <c r="B883" s="69"/>
      <c r="C883" s="70"/>
      <c r="D883" s="69"/>
      <c r="E883" s="71"/>
      <c r="F883" s="72"/>
      <c r="G883" s="73"/>
      <c r="H883" s="74"/>
      <c r="I883" s="75"/>
      <c r="J883" s="76"/>
      <c r="K883" s="72"/>
      <c r="L883" s="73"/>
      <c r="M883" s="74"/>
      <c r="N883" s="75"/>
      <c r="O883" s="76"/>
      <c r="P883" s="72"/>
      <c r="Q883" s="73"/>
      <c r="R883" s="74"/>
      <c r="S883" s="75"/>
      <c r="T883" s="76"/>
      <c r="U883" s="77" t="str">
        <f>IF(OR(F886="",P886=""),"",B883/(F886-P886))</f>
        <v/>
      </c>
      <c r="V883" s="78"/>
    </row>
    <row r="884" spans="1:22" ht="9" customHeight="1" x14ac:dyDescent="0.55000000000000004">
      <c r="A884" s="79"/>
      <c r="B884" s="80"/>
      <c r="C884" s="81"/>
      <c r="D884" s="80"/>
      <c r="E884" s="82"/>
      <c r="F884" s="83" t="str">
        <f>IF(H886="","",F883-H884)</f>
        <v/>
      </c>
      <c r="G884" s="84" t="str">
        <f>IF(I886="","",F883-I884)</f>
        <v/>
      </c>
      <c r="H884" s="85" t="str">
        <f>IF(OR($A886="集水",$A886="吸水"),0.4,"")</f>
        <v/>
      </c>
      <c r="I884" s="85" t="str">
        <f>IF(OR($A886="集水",$A886="吸水"),0.4,"")</f>
        <v/>
      </c>
      <c r="J884" s="86" t="str">
        <f>IF(G884="","",F884-G884)</f>
        <v/>
      </c>
      <c r="K884" s="83" t="str">
        <f>IF(M886="","",K883-M884)</f>
        <v/>
      </c>
      <c r="L884" s="87" t="str">
        <f>IF(N886="","",K883-N884)</f>
        <v/>
      </c>
      <c r="M884" s="85" t="str">
        <f>IF(M886="","",IF(OR($A886="集水",$A886="吸水"),0.4,""))</f>
        <v/>
      </c>
      <c r="N884" s="85" t="str">
        <f>IF(N886="","",IF(OR($A886="集水",$A886="吸水"),0.4,""))</f>
        <v/>
      </c>
      <c r="O884" s="86" t="str">
        <f>IF(L884="","",K884-L884)</f>
        <v/>
      </c>
      <c r="P884" s="83" t="str">
        <f>IF(R886="","",P883-R884)</f>
        <v/>
      </c>
      <c r="Q884" s="84" t="str">
        <f>IF(S886="","",P883-S884)</f>
        <v/>
      </c>
      <c r="R884" s="85" t="str">
        <f>IF(OR($A886="集水",$A886="吸水"),0.4,"")</f>
        <v/>
      </c>
      <c r="S884" s="85" t="str">
        <f>IF(OR($A886="集水",$A886="吸水"),0.4,"")</f>
        <v/>
      </c>
      <c r="T884" s="86" t="str">
        <f>IF(Q884="","",P884-Q884)</f>
        <v/>
      </c>
      <c r="U884" s="88"/>
      <c r="V884" s="89"/>
    </row>
    <row r="885" spans="1:22" ht="9" customHeight="1" x14ac:dyDescent="0.55000000000000004">
      <c r="A885" s="90"/>
      <c r="B885" s="91"/>
      <c r="C885" s="92" t="str">
        <f>IF(B883="","",B885-B883)</f>
        <v/>
      </c>
      <c r="D885" s="91"/>
      <c r="E885" s="93" t="str">
        <f>IF(D883="","",D885-D883)</f>
        <v/>
      </c>
      <c r="F885" s="94"/>
      <c r="G885" s="85"/>
      <c r="H885" s="85"/>
      <c r="I885" s="95"/>
      <c r="J885" s="86"/>
      <c r="K885" s="94"/>
      <c r="L885" s="85"/>
      <c r="M885" s="85"/>
      <c r="N885" s="95"/>
      <c r="O885" s="86"/>
      <c r="P885" s="94"/>
      <c r="Q885" s="85"/>
      <c r="R885" s="85"/>
      <c r="S885" s="95"/>
      <c r="T885" s="86"/>
      <c r="U885" s="96"/>
      <c r="V885" s="97"/>
    </row>
    <row r="886" spans="1:22" ht="9" customHeight="1" x14ac:dyDescent="0.55000000000000004">
      <c r="A886" s="98"/>
      <c r="B886" s="99"/>
      <c r="C886" s="100"/>
      <c r="D886" s="99"/>
      <c r="E886" s="101"/>
      <c r="F886" s="102" t="str">
        <f>IF(H886="","",F883-H886)</f>
        <v/>
      </c>
      <c r="G886" s="103" t="str">
        <f>IF(I886="","",F883-I886)</f>
        <v/>
      </c>
      <c r="H886" s="104"/>
      <c r="I886" s="104"/>
      <c r="J886" s="105"/>
      <c r="K886" s="106" t="str">
        <f>IF(M886="","",K883-M886)</f>
        <v/>
      </c>
      <c r="L886" s="103" t="str">
        <f>IF(N886="","",K883-N886)</f>
        <v/>
      </c>
      <c r="M886" s="104"/>
      <c r="N886" s="107"/>
      <c r="O886" s="105"/>
      <c r="P886" s="102" t="str">
        <f>IF(R886="","",P883-R886)</f>
        <v/>
      </c>
      <c r="Q886" s="103" t="str">
        <f>IF(S886="","",P883-S886)</f>
        <v/>
      </c>
      <c r="R886" s="104"/>
      <c r="S886" s="104"/>
      <c r="T886" s="105"/>
      <c r="U886" s="108"/>
      <c r="V886" s="109"/>
    </row>
    <row r="887" spans="1:22" ht="9" customHeight="1" x14ac:dyDescent="0.55000000000000004">
      <c r="A887" s="19"/>
      <c r="B887" s="69"/>
      <c r="C887" s="70"/>
      <c r="D887" s="69"/>
      <c r="E887" s="71"/>
      <c r="F887" s="72"/>
      <c r="G887" s="73"/>
      <c r="H887" s="74"/>
      <c r="I887" s="75"/>
      <c r="J887" s="76"/>
      <c r="K887" s="72"/>
      <c r="L887" s="73"/>
      <c r="M887" s="74"/>
      <c r="N887" s="75"/>
      <c r="O887" s="76"/>
      <c r="P887" s="72"/>
      <c r="Q887" s="73"/>
      <c r="R887" s="74"/>
      <c r="S887" s="75"/>
      <c r="T887" s="76"/>
      <c r="U887" s="77" t="str">
        <f>IF(OR(F890="",P890=""),"",B887/(F890-P890))</f>
        <v/>
      </c>
      <c r="V887" s="78"/>
    </row>
    <row r="888" spans="1:22" ht="9" customHeight="1" x14ac:dyDescent="0.55000000000000004">
      <c r="A888" s="79"/>
      <c r="B888" s="80"/>
      <c r="C888" s="81"/>
      <c r="D888" s="80"/>
      <c r="E888" s="82"/>
      <c r="F888" s="83" t="str">
        <f>IF(H890="","",F887-H888)</f>
        <v/>
      </c>
      <c r="G888" s="84" t="str">
        <f>IF(I890="","",F887-I888)</f>
        <v/>
      </c>
      <c r="H888" s="85" t="str">
        <f>IF(OR($A890="集水",$A890="吸水"),0.4,"")</f>
        <v/>
      </c>
      <c r="I888" s="85" t="str">
        <f>IF(OR($A890="集水",$A890="吸水"),0.4,"")</f>
        <v/>
      </c>
      <c r="J888" s="86" t="str">
        <f>IF(G888="","",F888-G888)</f>
        <v/>
      </c>
      <c r="K888" s="83" t="str">
        <f>IF(M890="","",K887-M888)</f>
        <v/>
      </c>
      <c r="L888" s="87" t="str">
        <f>IF(N890="","",K887-N888)</f>
        <v/>
      </c>
      <c r="M888" s="85" t="str">
        <f>IF(M890="","",IF(OR($A890="集水",$A890="吸水"),0.4,""))</f>
        <v/>
      </c>
      <c r="N888" s="85" t="str">
        <f>IF(N890="","",IF(OR($A890="集水",$A890="吸水"),0.4,""))</f>
        <v/>
      </c>
      <c r="O888" s="86" t="str">
        <f>IF(L888="","",K888-L888)</f>
        <v/>
      </c>
      <c r="P888" s="83" t="str">
        <f>IF(R890="","",P887-R888)</f>
        <v/>
      </c>
      <c r="Q888" s="84" t="str">
        <f>IF(S890="","",P887-S888)</f>
        <v/>
      </c>
      <c r="R888" s="85" t="str">
        <f>IF(OR($A890="集水",$A890="吸水"),0.4,"")</f>
        <v/>
      </c>
      <c r="S888" s="85" t="str">
        <f>IF(OR($A890="集水",$A890="吸水"),0.4,"")</f>
        <v/>
      </c>
      <c r="T888" s="86" t="str">
        <f>IF(Q888="","",P888-Q888)</f>
        <v/>
      </c>
      <c r="U888" s="88"/>
      <c r="V888" s="89"/>
    </row>
    <row r="889" spans="1:22" ht="9" customHeight="1" x14ac:dyDescent="0.55000000000000004">
      <c r="A889" s="90"/>
      <c r="B889" s="91"/>
      <c r="C889" s="92" t="str">
        <f>IF(B887="","",B889-B887)</f>
        <v/>
      </c>
      <c r="D889" s="91"/>
      <c r="E889" s="93" t="str">
        <f>IF(D887="","",D889-D887)</f>
        <v/>
      </c>
      <c r="F889" s="94"/>
      <c r="G889" s="85"/>
      <c r="H889" s="85"/>
      <c r="I889" s="95"/>
      <c r="J889" s="86"/>
      <c r="K889" s="94"/>
      <c r="L889" s="85"/>
      <c r="M889" s="85"/>
      <c r="N889" s="95"/>
      <c r="O889" s="86"/>
      <c r="P889" s="94"/>
      <c r="Q889" s="85"/>
      <c r="R889" s="85"/>
      <c r="S889" s="95"/>
      <c r="T889" s="86"/>
      <c r="U889" s="96"/>
      <c r="V889" s="97"/>
    </row>
    <row r="890" spans="1:22" ht="9" customHeight="1" x14ac:dyDescent="0.55000000000000004">
      <c r="A890" s="98"/>
      <c r="B890" s="99"/>
      <c r="C890" s="100"/>
      <c r="D890" s="99"/>
      <c r="E890" s="101"/>
      <c r="F890" s="102" t="str">
        <f>IF(H890="","",F887-H890)</f>
        <v/>
      </c>
      <c r="G890" s="103" t="str">
        <f>IF(I890="","",F887-I890)</f>
        <v/>
      </c>
      <c r="H890" s="104"/>
      <c r="I890" s="104"/>
      <c r="J890" s="105"/>
      <c r="K890" s="106" t="str">
        <f>IF(M890="","",K887-M890)</f>
        <v/>
      </c>
      <c r="L890" s="103" t="str">
        <f>IF(N890="","",K887-N890)</f>
        <v/>
      </c>
      <c r="M890" s="104"/>
      <c r="N890" s="107"/>
      <c r="O890" s="105"/>
      <c r="P890" s="102" t="str">
        <f>IF(R890="","",P887-R890)</f>
        <v/>
      </c>
      <c r="Q890" s="103" t="str">
        <f>IF(S890="","",P887-S890)</f>
        <v/>
      </c>
      <c r="R890" s="104"/>
      <c r="S890" s="104"/>
      <c r="T890" s="105"/>
      <c r="U890" s="108"/>
      <c r="V890" s="109"/>
    </row>
    <row r="891" spans="1:22" ht="9" customHeight="1" x14ac:dyDescent="0.55000000000000004">
      <c r="A891" s="19"/>
      <c r="B891" s="69"/>
      <c r="C891" s="70"/>
      <c r="D891" s="69"/>
      <c r="E891" s="71"/>
      <c r="F891" s="72"/>
      <c r="G891" s="73"/>
      <c r="H891" s="74"/>
      <c r="I891" s="75"/>
      <c r="J891" s="76"/>
      <c r="K891" s="72"/>
      <c r="L891" s="73"/>
      <c r="M891" s="74"/>
      <c r="N891" s="75"/>
      <c r="O891" s="76"/>
      <c r="P891" s="72"/>
      <c r="Q891" s="73"/>
      <c r="R891" s="74"/>
      <c r="S891" s="75"/>
      <c r="T891" s="76"/>
      <c r="U891" s="77" t="str">
        <f>IF(OR(F894="",P894=""),"",B891/(F894-P894))</f>
        <v/>
      </c>
      <c r="V891" s="78"/>
    </row>
    <row r="892" spans="1:22" ht="9" customHeight="1" x14ac:dyDescent="0.55000000000000004">
      <c r="A892" s="79"/>
      <c r="B892" s="80"/>
      <c r="C892" s="81"/>
      <c r="D892" s="80"/>
      <c r="E892" s="82"/>
      <c r="F892" s="83" t="str">
        <f>IF(H894="","",F891-H892)</f>
        <v/>
      </c>
      <c r="G892" s="84" t="str">
        <f>IF(I894="","",F891-I892)</f>
        <v/>
      </c>
      <c r="H892" s="85" t="str">
        <f>IF(OR($A894="集水",$A894="吸水"),0.4,"")</f>
        <v/>
      </c>
      <c r="I892" s="85" t="str">
        <f>IF(OR($A894="集水",$A894="吸水"),0.4,"")</f>
        <v/>
      </c>
      <c r="J892" s="86" t="str">
        <f>IF(G892="","",F892-G892)</f>
        <v/>
      </c>
      <c r="K892" s="83" t="str">
        <f>IF(M894="","",K891-M892)</f>
        <v/>
      </c>
      <c r="L892" s="87" t="str">
        <f>IF(N894="","",K891-N892)</f>
        <v/>
      </c>
      <c r="M892" s="85" t="str">
        <f>IF(M894="","",IF(OR($A894="集水",$A894="吸水"),0.4,""))</f>
        <v/>
      </c>
      <c r="N892" s="85" t="str">
        <f>IF(N894="","",IF(OR($A894="集水",$A894="吸水"),0.4,""))</f>
        <v/>
      </c>
      <c r="O892" s="86" t="str">
        <f>IF(L892="","",K892-L892)</f>
        <v/>
      </c>
      <c r="P892" s="83" t="str">
        <f>IF(R894="","",P891-R892)</f>
        <v/>
      </c>
      <c r="Q892" s="84" t="str">
        <f>IF(S894="","",P891-S892)</f>
        <v/>
      </c>
      <c r="R892" s="85" t="str">
        <f>IF(OR($A894="集水",$A894="吸水"),0.4,"")</f>
        <v/>
      </c>
      <c r="S892" s="85" t="str">
        <f>IF(OR($A894="集水",$A894="吸水"),0.4,"")</f>
        <v/>
      </c>
      <c r="T892" s="86" t="str">
        <f>IF(Q892="","",P892-Q892)</f>
        <v/>
      </c>
      <c r="U892" s="88"/>
      <c r="V892" s="89"/>
    </row>
    <row r="893" spans="1:22" ht="9" customHeight="1" x14ac:dyDescent="0.55000000000000004">
      <c r="A893" s="90"/>
      <c r="B893" s="91"/>
      <c r="C893" s="92" t="str">
        <f>IF(B891="","",B893-B891)</f>
        <v/>
      </c>
      <c r="D893" s="91"/>
      <c r="E893" s="93" t="str">
        <f>IF(D891="","",D893-D891)</f>
        <v/>
      </c>
      <c r="F893" s="94"/>
      <c r="G893" s="85"/>
      <c r="H893" s="85"/>
      <c r="I893" s="95"/>
      <c r="J893" s="86"/>
      <c r="K893" s="94"/>
      <c r="L893" s="85"/>
      <c r="M893" s="85"/>
      <c r="N893" s="95"/>
      <c r="O893" s="86"/>
      <c r="P893" s="94"/>
      <c r="Q893" s="85"/>
      <c r="R893" s="85"/>
      <c r="S893" s="95"/>
      <c r="T893" s="86"/>
      <c r="U893" s="96"/>
      <c r="V893" s="97"/>
    </row>
    <row r="894" spans="1:22" ht="9" customHeight="1" x14ac:dyDescent="0.55000000000000004">
      <c r="A894" s="98"/>
      <c r="B894" s="99"/>
      <c r="C894" s="100"/>
      <c r="D894" s="99"/>
      <c r="E894" s="101"/>
      <c r="F894" s="102" t="str">
        <f>IF(H894="","",F891-H894)</f>
        <v/>
      </c>
      <c r="G894" s="103" t="str">
        <f>IF(I894="","",F891-I894)</f>
        <v/>
      </c>
      <c r="H894" s="104"/>
      <c r="I894" s="104"/>
      <c r="J894" s="105"/>
      <c r="K894" s="106" t="str">
        <f>IF(M894="","",K891-M894)</f>
        <v/>
      </c>
      <c r="L894" s="103" t="str">
        <f>IF(N894="","",K891-N894)</f>
        <v/>
      </c>
      <c r="M894" s="104"/>
      <c r="N894" s="107"/>
      <c r="O894" s="105"/>
      <c r="P894" s="102" t="str">
        <f>IF(R894="","",P891-R894)</f>
        <v/>
      </c>
      <c r="Q894" s="103" t="str">
        <f>IF(S894="","",P891-S894)</f>
        <v/>
      </c>
      <c r="R894" s="104"/>
      <c r="S894" s="104"/>
      <c r="T894" s="105"/>
      <c r="U894" s="108"/>
      <c r="V894" s="109"/>
    </row>
    <row r="895" spans="1:22" ht="9" customHeight="1" x14ac:dyDescent="0.55000000000000004">
      <c r="A895" s="19"/>
      <c r="B895" s="69"/>
      <c r="C895" s="70"/>
      <c r="D895" s="69"/>
      <c r="E895" s="71"/>
      <c r="F895" s="72"/>
      <c r="G895" s="73"/>
      <c r="H895" s="74"/>
      <c r="I895" s="75"/>
      <c r="J895" s="76"/>
      <c r="K895" s="72"/>
      <c r="L895" s="73"/>
      <c r="M895" s="74"/>
      <c r="N895" s="75"/>
      <c r="O895" s="76"/>
      <c r="P895" s="72"/>
      <c r="Q895" s="73"/>
      <c r="R895" s="74"/>
      <c r="S895" s="75"/>
      <c r="T895" s="76"/>
      <c r="U895" s="77" t="str">
        <f>IF(OR(F898="",P898=""),"",B895/(F898-P898))</f>
        <v/>
      </c>
      <c r="V895" s="78"/>
    </row>
    <row r="896" spans="1:22" ht="9" customHeight="1" x14ac:dyDescent="0.55000000000000004">
      <c r="A896" s="79"/>
      <c r="B896" s="80"/>
      <c r="C896" s="81"/>
      <c r="D896" s="80"/>
      <c r="E896" s="82"/>
      <c r="F896" s="83" t="str">
        <f>IF(H898="","",F895-H896)</f>
        <v/>
      </c>
      <c r="G896" s="84" t="str">
        <f>IF(I898="","",F895-I896)</f>
        <v/>
      </c>
      <c r="H896" s="85" t="str">
        <f>IF(OR($A898="集水",$A898="吸水"),0.4,"")</f>
        <v/>
      </c>
      <c r="I896" s="85" t="str">
        <f>IF(OR($A898="集水",$A898="吸水"),0.4,"")</f>
        <v/>
      </c>
      <c r="J896" s="86" t="str">
        <f>IF(G896="","",F896-G896)</f>
        <v/>
      </c>
      <c r="K896" s="83" t="str">
        <f>IF(M898="","",K895-M896)</f>
        <v/>
      </c>
      <c r="L896" s="87" t="str">
        <f>IF(N898="","",K895-N896)</f>
        <v/>
      </c>
      <c r="M896" s="85" t="str">
        <f>IF(M898="","",IF(OR($A898="集水",$A898="吸水"),0.4,""))</f>
        <v/>
      </c>
      <c r="N896" s="85" t="str">
        <f>IF(N898="","",IF(OR($A898="集水",$A898="吸水"),0.4,""))</f>
        <v/>
      </c>
      <c r="O896" s="86" t="str">
        <f>IF(L896="","",K896-L896)</f>
        <v/>
      </c>
      <c r="P896" s="83" t="str">
        <f>IF(R898="","",P895-R896)</f>
        <v/>
      </c>
      <c r="Q896" s="84" t="str">
        <f>IF(S898="","",P895-S896)</f>
        <v/>
      </c>
      <c r="R896" s="85" t="str">
        <f>IF(OR($A898="集水",$A898="吸水"),0.4,"")</f>
        <v/>
      </c>
      <c r="S896" s="85" t="str">
        <f>IF(OR($A898="集水",$A898="吸水"),0.4,"")</f>
        <v/>
      </c>
      <c r="T896" s="86" t="str">
        <f>IF(Q896="","",P896-Q896)</f>
        <v/>
      </c>
      <c r="U896" s="88"/>
      <c r="V896" s="89"/>
    </row>
    <row r="897" spans="1:22" ht="9" customHeight="1" x14ac:dyDescent="0.55000000000000004">
      <c r="A897" s="90"/>
      <c r="B897" s="91"/>
      <c r="C897" s="92" t="str">
        <f>IF(B895="","",B897-B895)</f>
        <v/>
      </c>
      <c r="D897" s="91"/>
      <c r="E897" s="93" t="str">
        <f>IF(D895="","",D897-D895)</f>
        <v/>
      </c>
      <c r="F897" s="94"/>
      <c r="G897" s="85"/>
      <c r="H897" s="85"/>
      <c r="I897" s="95"/>
      <c r="J897" s="86"/>
      <c r="K897" s="94"/>
      <c r="L897" s="85"/>
      <c r="M897" s="85"/>
      <c r="N897" s="95"/>
      <c r="O897" s="86"/>
      <c r="P897" s="94"/>
      <c r="Q897" s="85"/>
      <c r="R897" s="85"/>
      <c r="S897" s="95"/>
      <c r="T897" s="86"/>
      <c r="U897" s="96"/>
      <c r="V897" s="97"/>
    </row>
    <row r="898" spans="1:22" ht="9" customHeight="1" x14ac:dyDescent="0.55000000000000004">
      <c r="A898" s="98"/>
      <c r="B898" s="99"/>
      <c r="C898" s="100"/>
      <c r="D898" s="99"/>
      <c r="E898" s="101"/>
      <c r="F898" s="102" t="str">
        <f>IF(H898="","",F895-H898)</f>
        <v/>
      </c>
      <c r="G898" s="103" t="str">
        <f>IF(I898="","",F895-I898)</f>
        <v/>
      </c>
      <c r="H898" s="104"/>
      <c r="I898" s="104"/>
      <c r="J898" s="105"/>
      <c r="K898" s="106" t="str">
        <f>IF(M898="","",K895-M898)</f>
        <v/>
      </c>
      <c r="L898" s="103" t="str">
        <f>IF(N898="","",K895-N898)</f>
        <v/>
      </c>
      <c r="M898" s="104"/>
      <c r="N898" s="107"/>
      <c r="O898" s="105"/>
      <c r="P898" s="102" t="str">
        <f>IF(R898="","",P895-R898)</f>
        <v/>
      </c>
      <c r="Q898" s="103" t="str">
        <f>IF(S898="","",P895-S898)</f>
        <v/>
      </c>
      <c r="R898" s="104"/>
      <c r="S898" s="104"/>
      <c r="T898" s="105"/>
      <c r="U898" s="108"/>
      <c r="V898" s="109"/>
    </row>
    <row r="899" spans="1:22" ht="9" customHeight="1" x14ac:dyDescent="0.55000000000000004">
      <c r="A899" s="19"/>
      <c r="B899" s="69"/>
      <c r="C899" s="70"/>
      <c r="D899" s="69"/>
      <c r="E899" s="71"/>
      <c r="F899" s="72"/>
      <c r="G899" s="73"/>
      <c r="H899" s="74"/>
      <c r="I899" s="75"/>
      <c r="J899" s="76"/>
      <c r="K899" s="72"/>
      <c r="L899" s="73"/>
      <c r="M899" s="74"/>
      <c r="N899" s="75"/>
      <c r="O899" s="76"/>
      <c r="P899" s="72"/>
      <c r="Q899" s="73"/>
      <c r="R899" s="74"/>
      <c r="S899" s="75"/>
      <c r="T899" s="76"/>
      <c r="U899" s="77" t="str">
        <f>IF(OR(F902="",P902=""),"",B899/(F902-P902))</f>
        <v/>
      </c>
      <c r="V899" s="78"/>
    </row>
    <row r="900" spans="1:22" ht="9" customHeight="1" x14ac:dyDescent="0.55000000000000004">
      <c r="A900" s="79"/>
      <c r="B900" s="80"/>
      <c r="C900" s="81"/>
      <c r="D900" s="80"/>
      <c r="E900" s="82"/>
      <c r="F900" s="83" t="str">
        <f>IF(H902="","",F899-H900)</f>
        <v/>
      </c>
      <c r="G900" s="84" t="str">
        <f>IF(I902="","",F899-I900)</f>
        <v/>
      </c>
      <c r="H900" s="85" t="str">
        <f>IF(OR($A902="集水",$A902="吸水"),0.4,"")</f>
        <v/>
      </c>
      <c r="I900" s="85" t="str">
        <f>IF(OR($A902="集水",$A902="吸水"),0.4,"")</f>
        <v/>
      </c>
      <c r="J900" s="86" t="str">
        <f>IF(G900="","",F900-G900)</f>
        <v/>
      </c>
      <c r="K900" s="83" t="str">
        <f>IF(M902="","",K899-M900)</f>
        <v/>
      </c>
      <c r="L900" s="87" t="str">
        <f>IF(N902="","",K899-N900)</f>
        <v/>
      </c>
      <c r="M900" s="85" t="str">
        <f>IF(M902="","",IF(OR($A902="集水",$A902="吸水"),0.4,""))</f>
        <v/>
      </c>
      <c r="N900" s="85" t="str">
        <f>IF(N902="","",IF(OR($A902="集水",$A902="吸水"),0.4,""))</f>
        <v/>
      </c>
      <c r="O900" s="86" t="str">
        <f>IF(L900="","",K900-L900)</f>
        <v/>
      </c>
      <c r="P900" s="83" t="str">
        <f>IF(R902="","",P899-R900)</f>
        <v/>
      </c>
      <c r="Q900" s="84" t="str">
        <f>IF(S902="","",P899-S900)</f>
        <v/>
      </c>
      <c r="R900" s="85" t="str">
        <f>IF(OR($A902="集水",$A902="吸水"),0.4,"")</f>
        <v/>
      </c>
      <c r="S900" s="85" t="str">
        <f>IF(OR($A902="集水",$A902="吸水"),0.4,"")</f>
        <v/>
      </c>
      <c r="T900" s="86" t="str">
        <f>IF(Q900="","",P900-Q900)</f>
        <v/>
      </c>
      <c r="U900" s="88"/>
      <c r="V900" s="89"/>
    </row>
    <row r="901" spans="1:22" ht="9" customHeight="1" x14ac:dyDescent="0.55000000000000004">
      <c r="A901" s="90"/>
      <c r="B901" s="91"/>
      <c r="C901" s="92" t="str">
        <f>IF(B899="","",B901-B899)</f>
        <v/>
      </c>
      <c r="D901" s="91"/>
      <c r="E901" s="93" t="str">
        <f>IF(D899="","",D901-D899)</f>
        <v/>
      </c>
      <c r="F901" s="94"/>
      <c r="G901" s="85"/>
      <c r="H901" s="85"/>
      <c r="I901" s="95"/>
      <c r="J901" s="86"/>
      <c r="K901" s="94"/>
      <c r="L901" s="85"/>
      <c r="M901" s="85"/>
      <c r="N901" s="95"/>
      <c r="O901" s="86"/>
      <c r="P901" s="94"/>
      <c r="Q901" s="85"/>
      <c r="R901" s="85"/>
      <c r="S901" s="95"/>
      <c r="T901" s="86"/>
      <c r="U901" s="96"/>
      <c r="V901" s="97"/>
    </row>
    <row r="902" spans="1:22" ht="9" customHeight="1" x14ac:dyDescent="0.55000000000000004">
      <c r="A902" s="98"/>
      <c r="B902" s="99"/>
      <c r="C902" s="100"/>
      <c r="D902" s="99"/>
      <c r="E902" s="101"/>
      <c r="F902" s="102" t="str">
        <f>IF(H902="","",F899-H902)</f>
        <v/>
      </c>
      <c r="G902" s="103" t="str">
        <f>IF(I902="","",F899-I902)</f>
        <v/>
      </c>
      <c r="H902" s="104"/>
      <c r="I902" s="104"/>
      <c r="J902" s="105"/>
      <c r="K902" s="106" t="str">
        <f>IF(M902="","",K899-M902)</f>
        <v/>
      </c>
      <c r="L902" s="103" t="str">
        <f>IF(N902="","",K899-N902)</f>
        <v/>
      </c>
      <c r="M902" s="104"/>
      <c r="N902" s="107"/>
      <c r="O902" s="105"/>
      <c r="P902" s="102" t="str">
        <f>IF(R902="","",P899-R902)</f>
        <v/>
      </c>
      <c r="Q902" s="103" t="str">
        <f>IF(S902="","",P899-S902)</f>
        <v/>
      </c>
      <c r="R902" s="104"/>
      <c r="S902" s="104"/>
      <c r="T902" s="105"/>
      <c r="U902" s="108"/>
      <c r="V902" s="109"/>
    </row>
    <row r="903" spans="1:22" ht="9" customHeight="1" x14ac:dyDescent="0.55000000000000004">
      <c r="A903" s="19"/>
      <c r="B903" s="69"/>
      <c r="C903" s="70"/>
      <c r="D903" s="69"/>
      <c r="E903" s="71"/>
      <c r="F903" s="72"/>
      <c r="G903" s="73"/>
      <c r="H903" s="74"/>
      <c r="I903" s="75"/>
      <c r="J903" s="76"/>
      <c r="K903" s="72"/>
      <c r="L903" s="73"/>
      <c r="M903" s="74"/>
      <c r="N903" s="75"/>
      <c r="O903" s="76"/>
      <c r="P903" s="72"/>
      <c r="Q903" s="73"/>
      <c r="R903" s="74"/>
      <c r="S903" s="75"/>
      <c r="T903" s="76"/>
      <c r="U903" s="77" t="str">
        <f>IF(OR(F906="",P906=""),"",B903/(F906-P906))</f>
        <v/>
      </c>
      <c r="V903" s="78"/>
    </row>
    <row r="904" spans="1:22" ht="9" customHeight="1" x14ac:dyDescent="0.55000000000000004">
      <c r="A904" s="79"/>
      <c r="B904" s="80"/>
      <c r="C904" s="81"/>
      <c r="D904" s="80"/>
      <c r="E904" s="82"/>
      <c r="F904" s="83" t="str">
        <f>IF(H906="","",F903-H904)</f>
        <v/>
      </c>
      <c r="G904" s="84" t="str">
        <f>IF(I906="","",F903-I904)</f>
        <v/>
      </c>
      <c r="H904" s="85" t="str">
        <f>IF(OR($A906="集水",$A906="吸水"),0.4,"")</f>
        <v/>
      </c>
      <c r="I904" s="85" t="str">
        <f>IF(OR($A906="集水",$A906="吸水"),0.4,"")</f>
        <v/>
      </c>
      <c r="J904" s="86" t="str">
        <f>IF(G904="","",F904-G904)</f>
        <v/>
      </c>
      <c r="K904" s="83" t="str">
        <f>IF(M906="","",K903-M904)</f>
        <v/>
      </c>
      <c r="L904" s="87" t="str">
        <f>IF(N906="","",K903-N904)</f>
        <v/>
      </c>
      <c r="M904" s="85" t="str">
        <f>IF(M906="","",IF(OR($A906="集水",$A906="吸水"),0.4,""))</f>
        <v/>
      </c>
      <c r="N904" s="85" t="str">
        <f>IF(N906="","",IF(OR($A906="集水",$A906="吸水"),0.4,""))</f>
        <v/>
      </c>
      <c r="O904" s="86" t="str">
        <f>IF(L904="","",K904-L904)</f>
        <v/>
      </c>
      <c r="P904" s="83" t="str">
        <f>IF(R906="","",P903-R904)</f>
        <v/>
      </c>
      <c r="Q904" s="84" t="str">
        <f>IF(S906="","",P903-S904)</f>
        <v/>
      </c>
      <c r="R904" s="85" t="str">
        <f>IF(OR($A906="集水",$A906="吸水"),0.4,"")</f>
        <v/>
      </c>
      <c r="S904" s="85" t="str">
        <f>IF(OR($A906="集水",$A906="吸水"),0.4,"")</f>
        <v/>
      </c>
      <c r="T904" s="86" t="str">
        <f>IF(Q904="","",P904-Q904)</f>
        <v/>
      </c>
      <c r="U904" s="88"/>
      <c r="V904" s="89"/>
    </row>
    <row r="905" spans="1:22" ht="9" customHeight="1" x14ac:dyDescent="0.55000000000000004">
      <c r="A905" s="90"/>
      <c r="B905" s="91"/>
      <c r="C905" s="92" t="str">
        <f>IF(B903="","",B905-B903)</f>
        <v/>
      </c>
      <c r="D905" s="91"/>
      <c r="E905" s="93" t="str">
        <f>IF(D903="","",D905-D903)</f>
        <v/>
      </c>
      <c r="F905" s="94"/>
      <c r="G905" s="85"/>
      <c r="H905" s="85"/>
      <c r="I905" s="95"/>
      <c r="J905" s="86"/>
      <c r="K905" s="94"/>
      <c r="L905" s="85"/>
      <c r="M905" s="85"/>
      <c r="N905" s="95"/>
      <c r="O905" s="86"/>
      <c r="P905" s="94"/>
      <c r="Q905" s="85"/>
      <c r="R905" s="85"/>
      <c r="S905" s="95"/>
      <c r="T905" s="86"/>
      <c r="U905" s="96"/>
      <c r="V905" s="97"/>
    </row>
    <row r="906" spans="1:22" ht="9" customHeight="1" x14ac:dyDescent="0.55000000000000004">
      <c r="A906" s="98"/>
      <c r="B906" s="99"/>
      <c r="C906" s="100"/>
      <c r="D906" s="99"/>
      <c r="E906" s="101"/>
      <c r="F906" s="102" t="str">
        <f>IF(H906="","",F903-H906)</f>
        <v/>
      </c>
      <c r="G906" s="103" t="str">
        <f>IF(I906="","",F903-I906)</f>
        <v/>
      </c>
      <c r="H906" s="104"/>
      <c r="I906" s="104"/>
      <c r="J906" s="105"/>
      <c r="K906" s="106" t="str">
        <f>IF(M906="","",K903-M906)</f>
        <v/>
      </c>
      <c r="L906" s="103" t="str">
        <f>IF(N906="","",K903-N906)</f>
        <v/>
      </c>
      <c r="M906" s="104"/>
      <c r="N906" s="107"/>
      <c r="O906" s="105"/>
      <c r="P906" s="102" t="str">
        <f>IF(R906="","",P903-R906)</f>
        <v/>
      </c>
      <c r="Q906" s="103" t="str">
        <f>IF(S906="","",P903-S906)</f>
        <v/>
      </c>
      <c r="R906" s="104"/>
      <c r="S906" s="104"/>
      <c r="T906" s="105"/>
      <c r="U906" s="108"/>
      <c r="V906" s="109"/>
    </row>
    <row r="907" spans="1:22" ht="9" customHeight="1" x14ac:dyDescent="0.55000000000000004">
      <c r="A907" s="19"/>
      <c r="B907" s="69"/>
      <c r="C907" s="70"/>
      <c r="D907" s="69"/>
      <c r="E907" s="71"/>
      <c r="F907" s="72"/>
      <c r="G907" s="73"/>
      <c r="H907" s="74"/>
      <c r="I907" s="75"/>
      <c r="J907" s="76"/>
      <c r="K907" s="72"/>
      <c r="L907" s="73"/>
      <c r="M907" s="74"/>
      <c r="N907" s="75"/>
      <c r="O907" s="76"/>
      <c r="P907" s="72"/>
      <c r="Q907" s="73"/>
      <c r="R907" s="74"/>
      <c r="S907" s="75"/>
      <c r="T907" s="76"/>
      <c r="U907" s="77" t="str">
        <f>IF(OR(F910="",P910=""),"",B907/(F910-P910))</f>
        <v/>
      </c>
      <c r="V907" s="78"/>
    </row>
    <row r="908" spans="1:22" ht="9" customHeight="1" x14ac:dyDescent="0.55000000000000004">
      <c r="A908" s="79"/>
      <c r="B908" s="80"/>
      <c r="C908" s="81"/>
      <c r="D908" s="80"/>
      <c r="E908" s="82"/>
      <c r="F908" s="83" t="str">
        <f>IF(H910="","",F907-H908)</f>
        <v/>
      </c>
      <c r="G908" s="84" t="str">
        <f>IF(I910="","",F907-I908)</f>
        <v/>
      </c>
      <c r="H908" s="85" t="str">
        <f>IF(OR($A910="集水",$A910="吸水"),0.4,"")</f>
        <v/>
      </c>
      <c r="I908" s="85" t="str">
        <f>IF(OR($A910="集水",$A910="吸水"),0.4,"")</f>
        <v/>
      </c>
      <c r="J908" s="86" t="str">
        <f>IF(G908="","",F908-G908)</f>
        <v/>
      </c>
      <c r="K908" s="83" t="str">
        <f>IF(M910="","",K907-M908)</f>
        <v/>
      </c>
      <c r="L908" s="87" t="str">
        <f>IF(N910="","",K907-N908)</f>
        <v/>
      </c>
      <c r="M908" s="85" t="str">
        <f>IF(M910="","",IF(OR($A910="集水",$A910="吸水"),0.4,""))</f>
        <v/>
      </c>
      <c r="N908" s="85" t="str">
        <f>IF(N910="","",IF(OR($A910="集水",$A910="吸水"),0.4,""))</f>
        <v/>
      </c>
      <c r="O908" s="86" t="str">
        <f>IF(L908="","",K908-L908)</f>
        <v/>
      </c>
      <c r="P908" s="83" t="str">
        <f>IF(R910="","",P907-R908)</f>
        <v/>
      </c>
      <c r="Q908" s="84" t="str">
        <f>IF(S910="","",P907-S908)</f>
        <v/>
      </c>
      <c r="R908" s="85" t="str">
        <f>IF(OR($A910="集水",$A910="吸水"),0.4,"")</f>
        <v/>
      </c>
      <c r="S908" s="85" t="str">
        <f>IF(OR($A910="集水",$A910="吸水"),0.4,"")</f>
        <v/>
      </c>
      <c r="T908" s="86" t="str">
        <f>IF(Q908="","",P908-Q908)</f>
        <v/>
      </c>
      <c r="U908" s="88"/>
      <c r="V908" s="89"/>
    </row>
    <row r="909" spans="1:22" ht="9" customHeight="1" x14ac:dyDescent="0.55000000000000004">
      <c r="A909" s="90"/>
      <c r="B909" s="91"/>
      <c r="C909" s="92" t="str">
        <f>IF(B907="","",B909-B907)</f>
        <v/>
      </c>
      <c r="D909" s="91"/>
      <c r="E909" s="93" t="str">
        <f>IF(D907="","",D909-D907)</f>
        <v/>
      </c>
      <c r="F909" s="94"/>
      <c r="G909" s="85"/>
      <c r="H909" s="85"/>
      <c r="I909" s="95"/>
      <c r="J909" s="86"/>
      <c r="K909" s="94"/>
      <c r="L909" s="85"/>
      <c r="M909" s="85"/>
      <c r="N909" s="95"/>
      <c r="O909" s="86"/>
      <c r="P909" s="94"/>
      <c r="Q909" s="85"/>
      <c r="R909" s="85"/>
      <c r="S909" s="95"/>
      <c r="T909" s="86"/>
      <c r="U909" s="96"/>
      <c r="V909" s="97"/>
    </row>
    <row r="910" spans="1:22" ht="9" customHeight="1" x14ac:dyDescent="0.55000000000000004">
      <c r="A910" s="98"/>
      <c r="B910" s="99"/>
      <c r="C910" s="100"/>
      <c r="D910" s="99"/>
      <c r="E910" s="101"/>
      <c r="F910" s="102" t="str">
        <f>IF(H910="","",F907-H910)</f>
        <v/>
      </c>
      <c r="G910" s="103" t="str">
        <f>IF(I910="","",F907-I910)</f>
        <v/>
      </c>
      <c r="H910" s="104"/>
      <c r="I910" s="104"/>
      <c r="J910" s="105"/>
      <c r="K910" s="106" t="str">
        <f>IF(M910="","",K907-M910)</f>
        <v/>
      </c>
      <c r="L910" s="103" t="str">
        <f>IF(N910="","",K907-N910)</f>
        <v/>
      </c>
      <c r="M910" s="104"/>
      <c r="N910" s="107"/>
      <c r="O910" s="105"/>
      <c r="P910" s="102" t="str">
        <f>IF(R910="","",P907-R910)</f>
        <v/>
      </c>
      <c r="Q910" s="103" t="str">
        <f>IF(S910="","",P907-S910)</f>
        <v/>
      </c>
      <c r="R910" s="104"/>
      <c r="S910" s="104"/>
      <c r="T910" s="105"/>
      <c r="U910" s="108"/>
      <c r="V910" s="109"/>
    </row>
    <row r="911" spans="1:22" ht="9" customHeight="1" x14ac:dyDescent="0.55000000000000004">
      <c r="A911" s="19"/>
      <c r="B911" s="69"/>
      <c r="C911" s="70"/>
      <c r="D911" s="69"/>
      <c r="E911" s="71"/>
      <c r="F911" s="72"/>
      <c r="G911" s="73"/>
      <c r="H911" s="74"/>
      <c r="I911" s="75"/>
      <c r="J911" s="76"/>
      <c r="K911" s="72"/>
      <c r="L911" s="73"/>
      <c r="M911" s="74"/>
      <c r="N911" s="75"/>
      <c r="O911" s="76"/>
      <c r="P911" s="72"/>
      <c r="Q911" s="73"/>
      <c r="R911" s="74"/>
      <c r="S911" s="75"/>
      <c r="T911" s="76"/>
      <c r="U911" s="77" t="str">
        <f>IF(OR(F914="",P914=""),"",B911/(F914-P914))</f>
        <v/>
      </c>
      <c r="V911" s="78"/>
    </row>
    <row r="912" spans="1:22" ht="9" customHeight="1" x14ac:dyDescent="0.55000000000000004">
      <c r="A912" s="79"/>
      <c r="B912" s="80"/>
      <c r="C912" s="81"/>
      <c r="D912" s="80"/>
      <c r="E912" s="82"/>
      <c r="F912" s="83" t="str">
        <f>IF(H914="","",F911-H912)</f>
        <v/>
      </c>
      <c r="G912" s="84" t="str">
        <f>IF(I914="","",F911-I912)</f>
        <v/>
      </c>
      <c r="H912" s="85" t="str">
        <f>IF(OR($A914="集水",$A914="吸水"),0.4,"")</f>
        <v/>
      </c>
      <c r="I912" s="85" t="str">
        <f>IF(OR($A914="集水",$A914="吸水"),0.4,"")</f>
        <v/>
      </c>
      <c r="J912" s="86" t="str">
        <f>IF(G912="","",F912-G912)</f>
        <v/>
      </c>
      <c r="K912" s="83" t="str">
        <f>IF(M914="","",K911-M912)</f>
        <v/>
      </c>
      <c r="L912" s="87" t="str">
        <f>IF(N914="","",K911-N912)</f>
        <v/>
      </c>
      <c r="M912" s="85" t="str">
        <f>IF(M914="","",IF(OR($A914="集水",$A914="吸水"),0.4,""))</f>
        <v/>
      </c>
      <c r="N912" s="85" t="str">
        <f>IF(N914="","",IF(OR($A914="集水",$A914="吸水"),0.4,""))</f>
        <v/>
      </c>
      <c r="O912" s="86" t="str">
        <f>IF(L912="","",K912-L912)</f>
        <v/>
      </c>
      <c r="P912" s="83" t="str">
        <f>IF(R914="","",P911-R912)</f>
        <v/>
      </c>
      <c r="Q912" s="84" t="str">
        <f>IF(S914="","",P911-S912)</f>
        <v/>
      </c>
      <c r="R912" s="85" t="str">
        <f>IF(OR($A914="集水",$A914="吸水"),0.4,"")</f>
        <v/>
      </c>
      <c r="S912" s="85" t="str">
        <f>IF(OR($A914="集水",$A914="吸水"),0.4,"")</f>
        <v/>
      </c>
      <c r="T912" s="86" t="str">
        <f>IF(Q912="","",P912-Q912)</f>
        <v/>
      </c>
      <c r="U912" s="88"/>
      <c r="V912" s="89"/>
    </row>
    <row r="913" spans="1:22" ht="9" customHeight="1" x14ac:dyDescent="0.55000000000000004">
      <c r="A913" s="90"/>
      <c r="B913" s="91"/>
      <c r="C913" s="92" t="str">
        <f>IF(B911="","",B913-B911)</f>
        <v/>
      </c>
      <c r="D913" s="91"/>
      <c r="E913" s="93" t="str">
        <f>IF(D911="","",D913-D911)</f>
        <v/>
      </c>
      <c r="F913" s="94"/>
      <c r="G913" s="85"/>
      <c r="H913" s="85"/>
      <c r="I913" s="95"/>
      <c r="J913" s="86"/>
      <c r="K913" s="94"/>
      <c r="L913" s="85"/>
      <c r="M913" s="85"/>
      <c r="N913" s="95"/>
      <c r="O913" s="86"/>
      <c r="P913" s="94"/>
      <c r="Q913" s="85"/>
      <c r="R913" s="85"/>
      <c r="S913" s="95"/>
      <c r="T913" s="86"/>
      <c r="U913" s="96"/>
      <c r="V913" s="97"/>
    </row>
    <row r="914" spans="1:22" ht="9" customHeight="1" x14ac:dyDescent="0.55000000000000004">
      <c r="A914" s="98"/>
      <c r="B914" s="99"/>
      <c r="C914" s="100"/>
      <c r="D914" s="99"/>
      <c r="E914" s="101"/>
      <c r="F914" s="102" t="str">
        <f>IF(H914="","",F911-H914)</f>
        <v/>
      </c>
      <c r="G914" s="103" t="str">
        <f>IF(I914="","",F911-I914)</f>
        <v/>
      </c>
      <c r="H914" s="104"/>
      <c r="I914" s="104"/>
      <c r="J914" s="105"/>
      <c r="K914" s="106" t="str">
        <f>IF(M914="","",K911-M914)</f>
        <v/>
      </c>
      <c r="L914" s="103" t="str">
        <f>IF(N914="","",K911-N914)</f>
        <v/>
      </c>
      <c r="M914" s="104"/>
      <c r="N914" s="107"/>
      <c r="O914" s="105"/>
      <c r="P914" s="102" t="str">
        <f>IF(R914="","",P911-R914)</f>
        <v/>
      </c>
      <c r="Q914" s="103" t="str">
        <f>IF(S914="","",P911-S914)</f>
        <v/>
      </c>
      <c r="R914" s="104"/>
      <c r="S914" s="104"/>
      <c r="T914" s="105"/>
      <c r="U914" s="108"/>
      <c r="V914" s="109"/>
    </row>
    <row r="915" spans="1:22" ht="9" customHeight="1" x14ac:dyDescent="0.55000000000000004">
      <c r="A915" s="19"/>
      <c r="B915" s="69"/>
      <c r="C915" s="70"/>
      <c r="D915" s="69"/>
      <c r="E915" s="71"/>
      <c r="F915" s="72"/>
      <c r="G915" s="73"/>
      <c r="H915" s="74"/>
      <c r="I915" s="75"/>
      <c r="J915" s="76"/>
      <c r="K915" s="72"/>
      <c r="L915" s="73"/>
      <c r="M915" s="74"/>
      <c r="N915" s="75"/>
      <c r="O915" s="76"/>
      <c r="P915" s="72"/>
      <c r="Q915" s="73"/>
      <c r="R915" s="74"/>
      <c r="S915" s="75"/>
      <c r="T915" s="76"/>
      <c r="U915" s="77" t="str">
        <f>IF(OR(F918="",P918=""),"",B915/(F918-P918))</f>
        <v/>
      </c>
      <c r="V915" s="78"/>
    </row>
    <row r="916" spans="1:22" ht="9" customHeight="1" x14ac:dyDescent="0.55000000000000004">
      <c r="A916" s="79"/>
      <c r="B916" s="80"/>
      <c r="C916" s="81"/>
      <c r="D916" s="80"/>
      <c r="E916" s="82"/>
      <c r="F916" s="83" t="str">
        <f>IF(H918="","",F915-H916)</f>
        <v/>
      </c>
      <c r="G916" s="84" t="str">
        <f>IF(I918="","",F915-I916)</f>
        <v/>
      </c>
      <c r="H916" s="85" t="str">
        <f>IF(OR($A918="集水",$A918="吸水"),0.4,"")</f>
        <v/>
      </c>
      <c r="I916" s="85" t="str">
        <f>IF(OR($A918="集水",$A918="吸水"),0.4,"")</f>
        <v/>
      </c>
      <c r="J916" s="86" t="str">
        <f>IF(G916="","",F916-G916)</f>
        <v/>
      </c>
      <c r="K916" s="83" t="str">
        <f>IF(M918="","",K915-M916)</f>
        <v/>
      </c>
      <c r="L916" s="87" t="str">
        <f>IF(N918="","",K915-N916)</f>
        <v/>
      </c>
      <c r="M916" s="85" t="str">
        <f>IF(M918="","",IF(OR($A918="集水",$A918="吸水"),0.4,""))</f>
        <v/>
      </c>
      <c r="N916" s="85" t="str">
        <f>IF(N918="","",IF(OR($A918="集水",$A918="吸水"),0.4,""))</f>
        <v/>
      </c>
      <c r="O916" s="86" t="str">
        <f>IF(L916="","",K916-L916)</f>
        <v/>
      </c>
      <c r="P916" s="83" t="str">
        <f>IF(R918="","",P915-R916)</f>
        <v/>
      </c>
      <c r="Q916" s="84" t="str">
        <f>IF(S918="","",P915-S916)</f>
        <v/>
      </c>
      <c r="R916" s="85" t="str">
        <f>IF(OR($A918="集水",$A918="吸水"),0.4,"")</f>
        <v/>
      </c>
      <c r="S916" s="85" t="str">
        <f>IF(OR($A918="集水",$A918="吸水"),0.4,"")</f>
        <v/>
      </c>
      <c r="T916" s="86" t="str">
        <f>IF(Q916="","",P916-Q916)</f>
        <v/>
      </c>
      <c r="U916" s="88"/>
      <c r="V916" s="89"/>
    </row>
    <row r="917" spans="1:22" ht="9" customHeight="1" x14ac:dyDescent="0.55000000000000004">
      <c r="A917" s="90"/>
      <c r="B917" s="91"/>
      <c r="C917" s="92" t="str">
        <f>IF(B915="","",B917-B915)</f>
        <v/>
      </c>
      <c r="D917" s="91"/>
      <c r="E917" s="93" t="str">
        <f>IF(D915="","",D917-D915)</f>
        <v/>
      </c>
      <c r="F917" s="94"/>
      <c r="G917" s="85"/>
      <c r="H917" s="85"/>
      <c r="I917" s="95"/>
      <c r="J917" s="86"/>
      <c r="K917" s="94"/>
      <c r="L917" s="85"/>
      <c r="M917" s="85"/>
      <c r="N917" s="95"/>
      <c r="O917" s="86"/>
      <c r="P917" s="94"/>
      <c r="Q917" s="85"/>
      <c r="R917" s="85"/>
      <c r="S917" s="95"/>
      <c r="T917" s="86"/>
      <c r="U917" s="96"/>
      <c r="V917" s="97"/>
    </row>
    <row r="918" spans="1:22" ht="9" customHeight="1" x14ac:dyDescent="0.55000000000000004">
      <c r="A918" s="98"/>
      <c r="B918" s="99"/>
      <c r="C918" s="100"/>
      <c r="D918" s="99"/>
      <c r="E918" s="101"/>
      <c r="F918" s="102" t="str">
        <f>IF(H918="","",F915-H918)</f>
        <v/>
      </c>
      <c r="G918" s="103" t="str">
        <f>IF(I918="","",F915-I918)</f>
        <v/>
      </c>
      <c r="H918" s="104"/>
      <c r="I918" s="104"/>
      <c r="J918" s="105"/>
      <c r="K918" s="106" t="str">
        <f>IF(M918="","",K915-M918)</f>
        <v/>
      </c>
      <c r="L918" s="103" t="str">
        <f>IF(N918="","",K915-N918)</f>
        <v/>
      </c>
      <c r="M918" s="104"/>
      <c r="N918" s="107"/>
      <c r="O918" s="105"/>
      <c r="P918" s="102" t="str">
        <f>IF(R918="","",P915-R918)</f>
        <v/>
      </c>
      <c r="Q918" s="103" t="str">
        <f>IF(S918="","",P915-S918)</f>
        <v/>
      </c>
      <c r="R918" s="104"/>
      <c r="S918" s="104"/>
      <c r="T918" s="105"/>
      <c r="U918" s="108"/>
      <c r="V918" s="109"/>
    </row>
    <row r="919" spans="1:22" ht="9" customHeight="1" x14ac:dyDescent="0.55000000000000004">
      <c r="A919" s="19"/>
      <c r="B919" s="69"/>
      <c r="C919" s="70"/>
      <c r="D919" s="69"/>
      <c r="E919" s="71"/>
      <c r="F919" s="72"/>
      <c r="G919" s="73"/>
      <c r="H919" s="74"/>
      <c r="I919" s="75"/>
      <c r="J919" s="76"/>
      <c r="K919" s="72"/>
      <c r="L919" s="73"/>
      <c r="M919" s="74"/>
      <c r="N919" s="75"/>
      <c r="O919" s="76"/>
      <c r="P919" s="72"/>
      <c r="Q919" s="73"/>
      <c r="R919" s="74"/>
      <c r="S919" s="75"/>
      <c r="T919" s="76"/>
      <c r="U919" s="77" t="str">
        <f>IF(OR(F922="",P922=""),"",B919/(F922-P922))</f>
        <v/>
      </c>
      <c r="V919" s="78"/>
    </row>
    <row r="920" spans="1:22" ht="9" customHeight="1" x14ac:dyDescent="0.55000000000000004">
      <c r="A920" s="79"/>
      <c r="B920" s="80"/>
      <c r="C920" s="81"/>
      <c r="D920" s="80"/>
      <c r="E920" s="82"/>
      <c r="F920" s="83" t="str">
        <f>IF(H922="","",F919-H920)</f>
        <v/>
      </c>
      <c r="G920" s="84" t="str">
        <f>IF(I922="","",F919-I920)</f>
        <v/>
      </c>
      <c r="H920" s="85" t="str">
        <f>IF(OR($A922="集水",$A922="吸水"),0.4,"")</f>
        <v/>
      </c>
      <c r="I920" s="85" t="str">
        <f>IF(OR($A922="集水",$A922="吸水"),0.4,"")</f>
        <v/>
      </c>
      <c r="J920" s="86" t="str">
        <f>IF(G920="","",F920-G920)</f>
        <v/>
      </c>
      <c r="K920" s="83" t="str">
        <f>IF(M922="","",K919-M920)</f>
        <v/>
      </c>
      <c r="L920" s="87" t="str">
        <f>IF(N922="","",K919-N920)</f>
        <v/>
      </c>
      <c r="M920" s="85" t="str">
        <f>IF(M922="","",IF(OR($A922="集水",$A922="吸水"),0.4,""))</f>
        <v/>
      </c>
      <c r="N920" s="85" t="str">
        <f>IF(N922="","",IF(OR($A922="集水",$A922="吸水"),0.4,""))</f>
        <v/>
      </c>
      <c r="O920" s="86" t="str">
        <f>IF(L920="","",K920-L920)</f>
        <v/>
      </c>
      <c r="P920" s="83" t="str">
        <f>IF(R922="","",P919-R920)</f>
        <v/>
      </c>
      <c r="Q920" s="84" t="str">
        <f>IF(S922="","",P919-S920)</f>
        <v/>
      </c>
      <c r="R920" s="85" t="str">
        <f>IF(OR($A922="集水",$A922="吸水"),0.4,"")</f>
        <v/>
      </c>
      <c r="S920" s="85" t="str">
        <f>IF(OR($A922="集水",$A922="吸水"),0.4,"")</f>
        <v/>
      </c>
      <c r="T920" s="86" t="str">
        <f>IF(Q920="","",P920-Q920)</f>
        <v/>
      </c>
      <c r="U920" s="88"/>
      <c r="V920" s="89"/>
    </row>
    <row r="921" spans="1:22" ht="9" customHeight="1" x14ac:dyDescent="0.55000000000000004">
      <c r="A921" s="90"/>
      <c r="B921" s="91"/>
      <c r="C921" s="92" t="str">
        <f>IF(B919="","",B921-B919)</f>
        <v/>
      </c>
      <c r="D921" s="91"/>
      <c r="E921" s="93" t="str">
        <f>IF(D919="","",D921-D919)</f>
        <v/>
      </c>
      <c r="F921" s="94"/>
      <c r="G921" s="85"/>
      <c r="H921" s="85"/>
      <c r="I921" s="95"/>
      <c r="J921" s="86"/>
      <c r="K921" s="94"/>
      <c r="L921" s="85"/>
      <c r="M921" s="85"/>
      <c r="N921" s="95"/>
      <c r="O921" s="86"/>
      <c r="P921" s="94"/>
      <c r="Q921" s="85"/>
      <c r="R921" s="85"/>
      <c r="S921" s="95"/>
      <c r="T921" s="86"/>
      <c r="U921" s="96"/>
      <c r="V921" s="97"/>
    </row>
    <row r="922" spans="1:22" ht="9" customHeight="1" x14ac:dyDescent="0.55000000000000004">
      <c r="A922" s="98"/>
      <c r="B922" s="99"/>
      <c r="C922" s="100"/>
      <c r="D922" s="99"/>
      <c r="E922" s="101"/>
      <c r="F922" s="102" t="str">
        <f>IF(H922="","",F919-H922)</f>
        <v/>
      </c>
      <c r="G922" s="103" t="str">
        <f>IF(I922="","",F919-I922)</f>
        <v/>
      </c>
      <c r="H922" s="104"/>
      <c r="I922" s="104"/>
      <c r="J922" s="105"/>
      <c r="K922" s="106" t="str">
        <f>IF(M922="","",K919-M922)</f>
        <v/>
      </c>
      <c r="L922" s="103" t="str">
        <f>IF(N922="","",K919-N922)</f>
        <v/>
      </c>
      <c r="M922" s="104"/>
      <c r="N922" s="107"/>
      <c r="O922" s="105"/>
      <c r="P922" s="102" t="str">
        <f>IF(R922="","",P919-R922)</f>
        <v/>
      </c>
      <c r="Q922" s="103" t="str">
        <f>IF(S922="","",P919-S922)</f>
        <v/>
      </c>
      <c r="R922" s="104"/>
      <c r="S922" s="104"/>
      <c r="T922" s="105"/>
      <c r="U922" s="108"/>
      <c r="V922" s="109"/>
    </row>
    <row r="923" spans="1:22" ht="9" customHeight="1" x14ac:dyDescent="0.55000000000000004">
      <c r="A923" s="19"/>
      <c r="B923" s="69"/>
      <c r="C923" s="70"/>
      <c r="D923" s="69"/>
      <c r="E923" s="71"/>
      <c r="F923" s="72"/>
      <c r="G923" s="73"/>
      <c r="H923" s="74"/>
      <c r="I923" s="75"/>
      <c r="J923" s="76"/>
      <c r="K923" s="72"/>
      <c r="L923" s="73"/>
      <c r="M923" s="74"/>
      <c r="N923" s="75"/>
      <c r="O923" s="76"/>
      <c r="P923" s="72"/>
      <c r="Q923" s="73"/>
      <c r="R923" s="74"/>
      <c r="S923" s="75"/>
      <c r="T923" s="76"/>
      <c r="U923" s="77" t="str">
        <f>IF(OR(F926="",P926=""),"",B923/(F926-P926))</f>
        <v/>
      </c>
      <c r="V923" s="78"/>
    </row>
    <row r="924" spans="1:22" ht="9" customHeight="1" x14ac:dyDescent="0.55000000000000004">
      <c r="A924" s="79"/>
      <c r="B924" s="80"/>
      <c r="C924" s="81"/>
      <c r="D924" s="80"/>
      <c r="E924" s="82"/>
      <c r="F924" s="83" t="str">
        <f>IF(H926="","",F923-H924)</f>
        <v/>
      </c>
      <c r="G924" s="84" t="str">
        <f>IF(I926="","",F923-I924)</f>
        <v/>
      </c>
      <c r="H924" s="85" t="str">
        <f>IF(OR($A926="集水",$A926="吸水"),0.4,"")</f>
        <v/>
      </c>
      <c r="I924" s="85" t="str">
        <f>IF(OR($A926="集水",$A926="吸水"),0.4,"")</f>
        <v/>
      </c>
      <c r="J924" s="86" t="str">
        <f>IF(G924="","",F924-G924)</f>
        <v/>
      </c>
      <c r="K924" s="83" t="str">
        <f>IF(M926="","",K923-M924)</f>
        <v/>
      </c>
      <c r="L924" s="87" t="str">
        <f>IF(N926="","",K923-N924)</f>
        <v/>
      </c>
      <c r="M924" s="85" t="str">
        <f>IF(M926="","",IF(OR($A926="集水",$A926="吸水"),0.4,""))</f>
        <v/>
      </c>
      <c r="N924" s="85" t="str">
        <f>IF(N926="","",IF(OR($A926="集水",$A926="吸水"),0.4,""))</f>
        <v/>
      </c>
      <c r="O924" s="86" t="str">
        <f>IF(L924="","",K924-L924)</f>
        <v/>
      </c>
      <c r="P924" s="83" t="str">
        <f>IF(R926="","",P923-R924)</f>
        <v/>
      </c>
      <c r="Q924" s="84" t="str">
        <f>IF(S926="","",P923-S924)</f>
        <v/>
      </c>
      <c r="R924" s="85" t="str">
        <f>IF(OR($A926="集水",$A926="吸水"),0.4,"")</f>
        <v/>
      </c>
      <c r="S924" s="85" t="str">
        <f>IF(OR($A926="集水",$A926="吸水"),0.4,"")</f>
        <v/>
      </c>
      <c r="T924" s="86" t="str">
        <f>IF(Q924="","",P924-Q924)</f>
        <v/>
      </c>
      <c r="U924" s="88"/>
      <c r="V924" s="89"/>
    </row>
    <row r="925" spans="1:22" ht="9" customHeight="1" x14ac:dyDescent="0.55000000000000004">
      <c r="A925" s="90"/>
      <c r="B925" s="91"/>
      <c r="C925" s="92" t="str">
        <f>IF(B923="","",B925-B923)</f>
        <v/>
      </c>
      <c r="D925" s="91"/>
      <c r="E925" s="93" t="str">
        <f>IF(D923="","",D925-D923)</f>
        <v/>
      </c>
      <c r="F925" s="94"/>
      <c r="G925" s="85"/>
      <c r="H925" s="85"/>
      <c r="I925" s="95"/>
      <c r="J925" s="86"/>
      <c r="K925" s="94"/>
      <c r="L925" s="85"/>
      <c r="M925" s="85"/>
      <c r="N925" s="95"/>
      <c r="O925" s="86"/>
      <c r="P925" s="94"/>
      <c r="Q925" s="85"/>
      <c r="R925" s="85"/>
      <c r="S925" s="95"/>
      <c r="T925" s="86"/>
      <c r="U925" s="96"/>
      <c r="V925" s="97"/>
    </row>
    <row r="926" spans="1:22" ht="9" customHeight="1" x14ac:dyDescent="0.55000000000000004">
      <c r="A926" s="98"/>
      <c r="B926" s="99"/>
      <c r="C926" s="100"/>
      <c r="D926" s="99"/>
      <c r="E926" s="101"/>
      <c r="F926" s="102" t="str">
        <f>IF(H926="","",F923-H926)</f>
        <v/>
      </c>
      <c r="G926" s="103" t="str">
        <f>IF(I926="","",F923-I926)</f>
        <v/>
      </c>
      <c r="H926" s="104"/>
      <c r="I926" s="104"/>
      <c r="J926" s="105"/>
      <c r="K926" s="106" t="str">
        <f>IF(M926="","",K923-M926)</f>
        <v/>
      </c>
      <c r="L926" s="103" t="str">
        <f>IF(N926="","",K923-N926)</f>
        <v/>
      </c>
      <c r="M926" s="104"/>
      <c r="N926" s="107"/>
      <c r="O926" s="105"/>
      <c r="P926" s="102" t="str">
        <f>IF(R926="","",P923-R926)</f>
        <v/>
      </c>
      <c r="Q926" s="103" t="str">
        <f>IF(S926="","",P923-S926)</f>
        <v/>
      </c>
      <c r="R926" s="104"/>
      <c r="S926" s="104"/>
      <c r="T926" s="105"/>
      <c r="U926" s="108"/>
      <c r="V926" s="109"/>
    </row>
    <row r="927" spans="1:22" ht="9" customHeight="1" x14ac:dyDescent="0.55000000000000004">
      <c r="A927" s="19"/>
      <c r="B927" s="69"/>
      <c r="C927" s="70"/>
      <c r="D927" s="69"/>
      <c r="E927" s="71"/>
      <c r="F927" s="72"/>
      <c r="G927" s="73"/>
      <c r="H927" s="74"/>
      <c r="I927" s="75"/>
      <c r="J927" s="76"/>
      <c r="K927" s="72"/>
      <c r="L927" s="73"/>
      <c r="M927" s="74"/>
      <c r="N927" s="75"/>
      <c r="O927" s="76"/>
      <c r="P927" s="72"/>
      <c r="Q927" s="73"/>
      <c r="R927" s="74"/>
      <c r="S927" s="75"/>
      <c r="T927" s="76"/>
      <c r="U927" s="77" t="str">
        <f>IF(OR(F930="",P930=""),"",B927/(F930-P930))</f>
        <v/>
      </c>
      <c r="V927" s="78"/>
    </row>
    <row r="928" spans="1:22" ht="9" customHeight="1" x14ac:dyDescent="0.55000000000000004">
      <c r="A928" s="79"/>
      <c r="B928" s="80"/>
      <c r="C928" s="81"/>
      <c r="D928" s="80"/>
      <c r="E928" s="82"/>
      <c r="F928" s="83" t="str">
        <f>IF(H930="","",F927-H928)</f>
        <v/>
      </c>
      <c r="G928" s="84" t="str">
        <f>IF(I930="","",F927-I928)</f>
        <v/>
      </c>
      <c r="H928" s="85" t="str">
        <f>IF(OR($A930="集水",$A930="吸水"),0.4,"")</f>
        <v/>
      </c>
      <c r="I928" s="85" t="str">
        <f>IF(OR($A930="集水",$A930="吸水"),0.4,"")</f>
        <v/>
      </c>
      <c r="J928" s="86" t="str">
        <f>IF(G928="","",F928-G928)</f>
        <v/>
      </c>
      <c r="K928" s="83" t="str">
        <f>IF(M930="","",K927-M928)</f>
        <v/>
      </c>
      <c r="L928" s="87" t="str">
        <f>IF(N930="","",K927-N928)</f>
        <v/>
      </c>
      <c r="M928" s="85" t="str">
        <f>IF(M930="","",IF(OR($A930="集水",$A930="吸水"),0.4,""))</f>
        <v/>
      </c>
      <c r="N928" s="85" t="str">
        <f>IF(N930="","",IF(OR($A930="集水",$A930="吸水"),0.4,""))</f>
        <v/>
      </c>
      <c r="O928" s="86" t="str">
        <f>IF(L928="","",K928-L928)</f>
        <v/>
      </c>
      <c r="P928" s="83" t="str">
        <f>IF(R930="","",P927-R928)</f>
        <v/>
      </c>
      <c r="Q928" s="84" t="str">
        <f>IF(S930="","",P927-S928)</f>
        <v/>
      </c>
      <c r="R928" s="85" t="str">
        <f>IF(OR($A930="集水",$A930="吸水"),0.4,"")</f>
        <v/>
      </c>
      <c r="S928" s="85" t="str">
        <f>IF(OR($A930="集水",$A930="吸水"),0.4,"")</f>
        <v/>
      </c>
      <c r="T928" s="86" t="str">
        <f>IF(Q928="","",P928-Q928)</f>
        <v/>
      </c>
      <c r="U928" s="88"/>
      <c r="V928" s="89"/>
    </row>
    <row r="929" spans="1:22" ht="9" customHeight="1" x14ac:dyDescent="0.55000000000000004">
      <c r="A929" s="90"/>
      <c r="B929" s="91"/>
      <c r="C929" s="92" t="str">
        <f>IF(B927="","",B929-B927)</f>
        <v/>
      </c>
      <c r="D929" s="91"/>
      <c r="E929" s="93" t="str">
        <f>IF(D927="","",D929-D927)</f>
        <v/>
      </c>
      <c r="F929" s="94"/>
      <c r="G929" s="85"/>
      <c r="H929" s="85"/>
      <c r="I929" s="95"/>
      <c r="J929" s="86"/>
      <c r="K929" s="94"/>
      <c r="L929" s="85"/>
      <c r="M929" s="85"/>
      <c r="N929" s="95"/>
      <c r="O929" s="86"/>
      <c r="P929" s="94"/>
      <c r="Q929" s="85"/>
      <c r="R929" s="85"/>
      <c r="S929" s="95"/>
      <c r="T929" s="86"/>
      <c r="U929" s="96"/>
      <c r="V929" s="97"/>
    </row>
    <row r="930" spans="1:22" ht="9" customHeight="1" x14ac:dyDescent="0.55000000000000004">
      <c r="A930" s="98"/>
      <c r="B930" s="99"/>
      <c r="C930" s="100"/>
      <c r="D930" s="99"/>
      <c r="E930" s="101"/>
      <c r="F930" s="102" t="str">
        <f>IF(H930="","",F927-H930)</f>
        <v/>
      </c>
      <c r="G930" s="103" t="str">
        <f>IF(I930="","",F927-I930)</f>
        <v/>
      </c>
      <c r="H930" s="104"/>
      <c r="I930" s="104"/>
      <c r="J930" s="105"/>
      <c r="K930" s="106" t="str">
        <f>IF(M930="","",K927-M930)</f>
        <v/>
      </c>
      <c r="L930" s="103" t="str">
        <f>IF(N930="","",K927-N930)</f>
        <v/>
      </c>
      <c r="M930" s="104"/>
      <c r="N930" s="107"/>
      <c r="O930" s="105"/>
      <c r="P930" s="102" t="str">
        <f>IF(R930="","",P927-R930)</f>
        <v/>
      </c>
      <c r="Q930" s="103" t="str">
        <f>IF(S930="","",P927-S930)</f>
        <v/>
      </c>
      <c r="R930" s="104"/>
      <c r="S930" s="104"/>
      <c r="T930" s="105"/>
      <c r="U930" s="108"/>
      <c r="V930" s="109"/>
    </row>
    <row r="931" spans="1:22" ht="9" customHeight="1" x14ac:dyDescent="0.55000000000000004">
      <c r="A931" s="19"/>
      <c r="B931" s="69"/>
      <c r="C931" s="70"/>
      <c r="D931" s="69"/>
      <c r="E931" s="71"/>
      <c r="F931" s="72"/>
      <c r="G931" s="73"/>
      <c r="H931" s="74"/>
      <c r="I931" s="75"/>
      <c r="J931" s="76"/>
      <c r="K931" s="72"/>
      <c r="L931" s="73"/>
      <c r="M931" s="74"/>
      <c r="N931" s="75"/>
      <c r="O931" s="76"/>
      <c r="P931" s="72"/>
      <c r="Q931" s="73"/>
      <c r="R931" s="74"/>
      <c r="S931" s="75"/>
      <c r="T931" s="76"/>
      <c r="U931" s="77" t="str">
        <f>IF(OR(F934="",P934=""),"",B931/(F934-P934))</f>
        <v/>
      </c>
      <c r="V931" s="78"/>
    </row>
    <row r="932" spans="1:22" ht="9" customHeight="1" x14ac:dyDescent="0.55000000000000004">
      <c r="A932" s="79"/>
      <c r="B932" s="80"/>
      <c r="C932" s="81"/>
      <c r="D932" s="80"/>
      <c r="E932" s="82"/>
      <c r="F932" s="83" t="str">
        <f>IF(H934="","",F931-H932)</f>
        <v/>
      </c>
      <c r="G932" s="84" t="str">
        <f>IF(I934="","",F931-I932)</f>
        <v/>
      </c>
      <c r="H932" s="85" t="str">
        <f>IF(OR($A934="集水",$A934="吸水"),0.4,"")</f>
        <v/>
      </c>
      <c r="I932" s="85" t="str">
        <f>IF(OR($A934="集水",$A934="吸水"),0.4,"")</f>
        <v/>
      </c>
      <c r="J932" s="86" t="str">
        <f>IF(G932="","",F932-G932)</f>
        <v/>
      </c>
      <c r="K932" s="83" t="str">
        <f>IF(M934="","",K931-M932)</f>
        <v/>
      </c>
      <c r="L932" s="87" t="str">
        <f>IF(N934="","",K931-N932)</f>
        <v/>
      </c>
      <c r="M932" s="85" t="str">
        <f>IF(M934="","",IF(OR($A934="集水",$A934="吸水"),0.4,""))</f>
        <v/>
      </c>
      <c r="N932" s="85" t="str">
        <f>IF(N934="","",IF(OR($A934="集水",$A934="吸水"),0.4,""))</f>
        <v/>
      </c>
      <c r="O932" s="86" t="str">
        <f>IF(L932="","",K932-L932)</f>
        <v/>
      </c>
      <c r="P932" s="83" t="str">
        <f>IF(R934="","",P931-R932)</f>
        <v/>
      </c>
      <c r="Q932" s="84" t="str">
        <f>IF(S934="","",P931-S932)</f>
        <v/>
      </c>
      <c r="R932" s="85" t="str">
        <f>IF(OR($A934="集水",$A934="吸水"),0.4,"")</f>
        <v/>
      </c>
      <c r="S932" s="85" t="str">
        <f>IF(OR($A934="集水",$A934="吸水"),0.4,"")</f>
        <v/>
      </c>
      <c r="T932" s="86" t="str">
        <f>IF(Q932="","",P932-Q932)</f>
        <v/>
      </c>
      <c r="U932" s="88"/>
      <c r="V932" s="89"/>
    </row>
    <row r="933" spans="1:22" ht="9" customHeight="1" x14ac:dyDescent="0.55000000000000004">
      <c r="A933" s="90"/>
      <c r="B933" s="91"/>
      <c r="C933" s="92" t="str">
        <f>IF(B931="","",B933-B931)</f>
        <v/>
      </c>
      <c r="D933" s="91"/>
      <c r="E933" s="93" t="str">
        <f>IF(D931="","",D933-D931)</f>
        <v/>
      </c>
      <c r="F933" s="94"/>
      <c r="G933" s="85"/>
      <c r="H933" s="85"/>
      <c r="I933" s="95"/>
      <c r="J933" s="86"/>
      <c r="K933" s="94"/>
      <c r="L933" s="85"/>
      <c r="M933" s="85"/>
      <c r="N933" s="95"/>
      <c r="O933" s="86"/>
      <c r="P933" s="94"/>
      <c r="Q933" s="85"/>
      <c r="R933" s="85"/>
      <c r="S933" s="95"/>
      <c r="T933" s="86"/>
      <c r="U933" s="96"/>
      <c r="V933" s="97"/>
    </row>
    <row r="934" spans="1:22" ht="9" customHeight="1" x14ac:dyDescent="0.55000000000000004">
      <c r="A934" s="98"/>
      <c r="B934" s="99"/>
      <c r="C934" s="100"/>
      <c r="D934" s="99"/>
      <c r="E934" s="101"/>
      <c r="F934" s="102" t="str">
        <f>IF(H934="","",F931-H934)</f>
        <v/>
      </c>
      <c r="G934" s="103" t="str">
        <f>IF(I934="","",F931-I934)</f>
        <v/>
      </c>
      <c r="H934" s="104"/>
      <c r="I934" s="104"/>
      <c r="J934" s="105"/>
      <c r="K934" s="106" t="str">
        <f>IF(M934="","",K931-M934)</f>
        <v/>
      </c>
      <c r="L934" s="103" t="str">
        <f>IF(N934="","",K931-N934)</f>
        <v/>
      </c>
      <c r="M934" s="104"/>
      <c r="N934" s="107"/>
      <c r="O934" s="105"/>
      <c r="P934" s="102" t="str">
        <f>IF(R934="","",P931-R934)</f>
        <v/>
      </c>
      <c r="Q934" s="103" t="str">
        <f>IF(S934="","",P931-S934)</f>
        <v/>
      </c>
      <c r="R934" s="104"/>
      <c r="S934" s="104"/>
      <c r="T934" s="105"/>
      <c r="U934" s="108"/>
      <c r="V934" s="109"/>
    </row>
    <row r="935" spans="1:22" ht="9" customHeight="1" x14ac:dyDescent="0.55000000000000004">
      <c r="A935" s="19"/>
      <c r="B935" s="69"/>
      <c r="C935" s="70"/>
      <c r="D935" s="69"/>
      <c r="E935" s="71"/>
      <c r="F935" s="72"/>
      <c r="G935" s="73"/>
      <c r="H935" s="74"/>
      <c r="I935" s="75"/>
      <c r="J935" s="76"/>
      <c r="K935" s="72"/>
      <c r="L935" s="73"/>
      <c r="M935" s="74"/>
      <c r="N935" s="75"/>
      <c r="O935" s="76"/>
      <c r="P935" s="72"/>
      <c r="Q935" s="73"/>
      <c r="R935" s="74"/>
      <c r="S935" s="75"/>
      <c r="T935" s="76"/>
      <c r="U935" s="77" t="str">
        <f>IF(OR(F938="",P938=""),"",B935/(F938-P938))</f>
        <v/>
      </c>
      <c r="V935" s="78"/>
    </row>
    <row r="936" spans="1:22" ht="9" customHeight="1" x14ac:dyDescent="0.55000000000000004">
      <c r="A936" s="79"/>
      <c r="B936" s="80"/>
      <c r="C936" s="81"/>
      <c r="D936" s="80"/>
      <c r="E936" s="82"/>
      <c r="F936" s="83" t="str">
        <f>IF(H938="","",F935-H936)</f>
        <v/>
      </c>
      <c r="G936" s="84" t="str">
        <f>IF(I938="","",F935-I936)</f>
        <v/>
      </c>
      <c r="H936" s="85" t="str">
        <f>IF(OR($A938="集水",$A938="吸水"),0.4,"")</f>
        <v/>
      </c>
      <c r="I936" s="85" t="str">
        <f>IF(OR($A938="集水",$A938="吸水"),0.4,"")</f>
        <v/>
      </c>
      <c r="J936" s="86" t="str">
        <f>IF(G936="","",F936-G936)</f>
        <v/>
      </c>
      <c r="K936" s="83" t="str">
        <f>IF(M938="","",K935-M936)</f>
        <v/>
      </c>
      <c r="L936" s="87" t="str">
        <f>IF(N938="","",K935-N936)</f>
        <v/>
      </c>
      <c r="M936" s="85" t="str">
        <f>IF(M938="","",IF(OR($A938="集水",$A938="吸水"),0.4,""))</f>
        <v/>
      </c>
      <c r="N936" s="85" t="str">
        <f>IF(N938="","",IF(OR($A938="集水",$A938="吸水"),0.4,""))</f>
        <v/>
      </c>
      <c r="O936" s="86" t="str">
        <f>IF(L936="","",K936-L936)</f>
        <v/>
      </c>
      <c r="P936" s="83" t="str">
        <f>IF(R938="","",P935-R936)</f>
        <v/>
      </c>
      <c r="Q936" s="84" t="str">
        <f>IF(S938="","",P935-S936)</f>
        <v/>
      </c>
      <c r="R936" s="85" t="str">
        <f>IF(OR($A938="集水",$A938="吸水"),0.4,"")</f>
        <v/>
      </c>
      <c r="S936" s="85" t="str">
        <f>IF(OR($A938="集水",$A938="吸水"),0.4,"")</f>
        <v/>
      </c>
      <c r="T936" s="86" t="str">
        <f>IF(Q936="","",P936-Q936)</f>
        <v/>
      </c>
      <c r="U936" s="88"/>
      <c r="V936" s="89"/>
    </row>
    <row r="937" spans="1:22" ht="9" customHeight="1" x14ac:dyDescent="0.55000000000000004">
      <c r="A937" s="90"/>
      <c r="B937" s="91"/>
      <c r="C937" s="92" t="str">
        <f>IF(B935="","",B937-B935)</f>
        <v/>
      </c>
      <c r="D937" s="91"/>
      <c r="E937" s="93" t="str">
        <f>IF(D935="","",D937-D935)</f>
        <v/>
      </c>
      <c r="F937" s="94"/>
      <c r="G937" s="85"/>
      <c r="H937" s="85"/>
      <c r="I937" s="95"/>
      <c r="J937" s="86"/>
      <c r="K937" s="94"/>
      <c r="L937" s="85"/>
      <c r="M937" s="85"/>
      <c r="N937" s="95"/>
      <c r="O937" s="86"/>
      <c r="P937" s="94"/>
      <c r="Q937" s="85"/>
      <c r="R937" s="85"/>
      <c r="S937" s="95"/>
      <c r="T937" s="86"/>
      <c r="U937" s="96"/>
      <c r="V937" s="97"/>
    </row>
    <row r="938" spans="1:22" ht="9" customHeight="1" x14ac:dyDescent="0.55000000000000004">
      <c r="A938" s="98"/>
      <c r="B938" s="99"/>
      <c r="C938" s="100"/>
      <c r="D938" s="99"/>
      <c r="E938" s="101"/>
      <c r="F938" s="102" t="str">
        <f>IF(H938="","",F935-H938)</f>
        <v/>
      </c>
      <c r="G938" s="103" t="str">
        <f>IF(I938="","",F935-I938)</f>
        <v/>
      </c>
      <c r="H938" s="104"/>
      <c r="I938" s="104"/>
      <c r="J938" s="105"/>
      <c r="K938" s="106" t="str">
        <f>IF(M938="","",K935-M938)</f>
        <v/>
      </c>
      <c r="L938" s="103" t="str">
        <f>IF(N938="","",K935-N938)</f>
        <v/>
      </c>
      <c r="M938" s="104"/>
      <c r="N938" s="107"/>
      <c r="O938" s="105"/>
      <c r="P938" s="102" t="str">
        <f>IF(R938="","",P935-R938)</f>
        <v/>
      </c>
      <c r="Q938" s="103" t="str">
        <f>IF(S938="","",P935-S938)</f>
        <v/>
      </c>
      <c r="R938" s="104"/>
      <c r="S938" s="104"/>
      <c r="T938" s="105"/>
      <c r="U938" s="108"/>
      <c r="V938" s="109"/>
    </row>
    <row r="939" spans="1:22" ht="9" customHeight="1" x14ac:dyDescent="0.55000000000000004">
      <c r="A939" s="19"/>
      <c r="B939" s="69"/>
      <c r="C939" s="70"/>
      <c r="D939" s="69"/>
      <c r="E939" s="71"/>
      <c r="F939" s="72"/>
      <c r="G939" s="73"/>
      <c r="H939" s="74"/>
      <c r="I939" s="75"/>
      <c r="J939" s="76"/>
      <c r="K939" s="72"/>
      <c r="L939" s="73"/>
      <c r="M939" s="74"/>
      <c r="N939" s="75"/>
      <c r="O939" s="76"/>
      <c r="P939" s="72"/>
      <c r="Q939" s="73"/>
      <c r="R939" s="74"/>
      <c r="S939" s="75"/>
      <c r="T939" s="76"/>
      <c r="U939" s="77" t="str">
        <f>IF(OR(F942="",P942=""),"",B939/(F942-P942))</f>
        <v/>
      </c>
      <c r="V939" s="78"/>
    </row>
    <row r="940" spans="1:22" ht="9" customHeight="1" x14ac:dyDescent="0.55000000000000004">
      <c r="A940" s="79"/>
      <c r="B940" s="80"/>
      <c r="C940" s="81"/>
      <c r="D940" s="80"/>
      <c r="E940" s="82"/>
      <c r="F940" s="83" t="str">
        <f>IF(H942="","",F939-H940)</f>
        <v/>
      </c>
      <c r="G940" s="84" t="str">
        <f>IF(I942="","",F939-I940)</f>
        <v/>
      </c>
      <c r="H940" s="85" t="str">
        <f>IF(OR($A942="集水",$A942="吸水"),0.4,"")</f>
        <v/>
      </c>
      <c r="I940" s="85" t="str">
        <f>IF(OR($A942="集水",$A942="吸水"),0.4,"")</f>
        <v/>
      </c>
      <c r="J940" s="86" t="str">
        <f>IF(G940="","",F940-G940)</f>
        <v/>
      </c>
      <c r="K940" s="83" t="str">
        <f>IF(M942="","",K939-M940)</f>
        <v/>
      </c>
      <c r="L940" s="87" t="str">
        <f>IF(N942="","",K939-N940)</f>
        <v/>
      </c>
      <c r="M940" s="85" t="str">
        <f>IF(M942="","",IF(OR($A942="集水",$A942="吸水"),0.4,""))</f>
        <v/>
      </c>
      <c r="N940" s="85" t="str">
        <f>IF(N942="","",IF(OR($A942="集水",$A942="吸水"),0.4,""))</f>
        <v/>
      </c>
      <c r="O940" s="86" t="str">
        <f>IF(L940="","",K940-L940)</f>
        <v/>
      </c>
      <c r="P940" s="83" t="str">
        <f>IF(R942="","",P939-R940)</f>
        <v/>
      </c>
      <c r="Q940" s="84" t="str">
        <f>IF(S942="","",P939-S940)</f>
        <v/>
      </c>
      <c r="R940" s="85" t="str">
        <f>IF(OR($A942="集水",$A942="吸水"),0.4,"")</f>
        <v/>
      </c>
      <c r="S940" s="85" t="str">
        <f>IF(OR($A942="集水",$A942="吸水"),0.4,"")</f>
        <v/>
      </c>
      <c r="T940" s="86" t="str">
        <f>IF(Q940="","",P940-Q940)</f>
        <v/>
      </c>
      <c r="U940" s="88"/>
      <c r="V940" s="89"/>
    </row>
    <row r="941" spans="1:22" ht="9" customHeight="1" x14ac:dyDescent="0.55000000000000004">
      <c r="A941" s="90"/>
      <c r="B941" s="91"/>
      <c r="C941" s="92" t="str">
        <f>IF(B939="","",B941-B939)</f>
        <v/>
      </c>
      <c r="D941" s="91"/>
      <c r="E941" s="93" t="str">
        <f>IF(D939="","",D941-D939)</f>
        <v/>
      </c>
      <c r="F941" s="94"/>
      <c r="G941" s="85"/>
      <c r="H941" s="85"/>
      <c r="I941" s="95"/>
      <c r="J941" s="86"/>
      <c r="K941" s="94"/>
      <c r="L941" s="85"/>
      <c r="M941" s="85"/>
      <c r="N941" s="95"/>
      <c r="O941" s="86"/>
      <c r="P941" s="94"/>
      <c r="Q941" s="85"/>
      <c r="R941" s="85"/>
      <c r="S941" s="95"/>
      <c r="T941" s="86"/>
      <c r="U941" s="96"/>
      <c r="V941" s="97"/>
    </row>
    <row r="942" spans="1:22" ht="9" customHeight="1" x14ac:dyDescent="0.55000000000000004">
      <c r="A942" s="98"/>
      <c r="B942" s="99"/>
      <c r="C942" s="100"/>
      <c r="D942" s="99"/>
      <c r="E942" s="101"/>
      <c r="F942" s="102" t="str">
        <f>IF(H942="","",F939-H942)</f>
        <v/>
      </c>
      <c r="G942" s="103" t="str">
        <f>IF(I942="","",F939-I942)</f>
        <v/>
      </c>
      <c r="H942" s="104"/>
      <c r="I942" s="104"/>
      <c r="J942" s="105"/>
      <c r="K942" s="106" t="str">
        <f>IF(M942="","",K939-M942)</f>
        <v/>
      </c>
      <c r="L942" s="103" t="str">
        <f>IF(N942="","",K939-N942)</f>
        <v/>
      </c>
      <c r="M942" s="104"/>
      <c r="N942" s="107"/>
      <c r="O942" s="105"/>
      <c r="P942" s="102" t="str">
        <f>IF(R942="","",P939-R942)</f>
        <v/>
      </c>
      <c r="Q942" s="103" t="str">
        <f>IF(S942="","",P939-S942)</f>
        <v/>
      </c>
      <c r="R942" s="104"/>
      <c r="S942" s="104"/>
      <c r="T942" s="105"/>
      <c r="U942" s="108"/>
      <c r="V942" s="109"/>
    </row>
    <row r="943" spans="1:22" ht="9" customHeight="1" x14ac:dyDescent="0.55000000000000004">
      <c r="A943" s="19"/>
      <c r="B943" s="69"/>
      <c r="C943" s="70"/>
      <c r="D943" s="69"/>
      <c r="E943" s="71"/>
      <c r="F943" s="72"/>
      <c r="G943" s="73"/>
      <c r="H943" s="74"/>
      <c r="I943" s="75"/>
      <c r="J943" s="76"/>
      <c r="K943" s="72"/>
      <c r="L943" s="73"/>
      <c r="M943" s="74"/>
      <c r="N943" s="75"/>
      <c r="O943" s="76"/>
      <c r="P943" s="72"/>
      <c r="Q943" s="73"/>
      <c r="R943" s="74"/>
      <c r="S943" s="75"/>
      <c r="T943" s="76"/>
      <c r="U943" s="77" t="str">
        <f>IF(OR(F946="",P946=""),"",B943/(F946-P946))</f>
        <v/>
      </c>
      <c r="V943" s="78"/>
    </row>
    <row r="944" spans="1:22" ht="9" customHeight="1" x14ac:dyDescent="0.55000000000000004">
      <c r="A944" s="79"/>
      <c r="B944" s="80"/>
      <c r="C944" s="81"/>
      <c r="D944" s="80"/>
      <c r="E944" s="82"/>
      <c r="F944" s="83" t="str">
        <f>IF(H946="","",F943-H944)</f>
        <v/>
      </c>
      <c r="G944" s="84" t="str">
        <f>IF(I946="","",F943-I944)</f>
        <v/>
      </c>
      <c r="H944" s="85" t="str">
        <f>IF(OR($A946="集水",$A946="吸水"),0.4,"")</f>
        <v/>
      </c>
      <c r="I944" s="85" t="str">
        <f>IF(OR($A946="集水",$A946="吸水"),0.4,"")</f>
        <v/>
      </c>
      <c r="J944" s="86" t="str">
        <f>IF(G944="","",F944-G944)</f>
        <v/>
      </c>
      <c r="K944" s="83" t="str">
        <f>IF(M946="","",K943-M944)</f>
        <v/>
      </c>
      <c r="L944" s="87" t="str">
        <f>IF(N946="","",K943-N944)</f>
        <v/>
      </c>
      <c r="M944" s="85" t="str">
        <f>IF(M946="","",IF(OR($A946="集水",$A946="吸水"),0.4,""))</f>
        <v/>
      </c>
      <c r="N944" s="85" t="str">
        <f>IF(N946="","",IF(OR($A946="集水",$A946="吸水"),0.4,""))</f>
        <v/>
      </c>
      <c r="O944" s="86" t="str">
        <f>IF(L944="","",K944-L944)</f>
        <v/>
      </c>
      <c r="P944" s="83" t="str">
        <f>IF(R946="","",P943-R944)</f>
        <v/>
      </c>
      <c r="Q944" s="84" t="str">
        <f>IF(S946="","",P943-S944)</f>
        <v/>
      </c>
      <c r="R944" s="85" t="str">
        <f>IF(OR($A946="集水",$A946="吸水"),0.4,"")</f>
        <v/>
      </c>
      <c r="S944" s="85" t="str">
        <f>IF(OR($A946="集水",$A946="吸水"),0.4,"")</f>
        <v/>
      </c>
      <c r="T944" s="86" t="str">
        <f>IF(Q944="","",P944-Q944)</f>
        <v/>
      </c>
      <c r="U944" s="88"/>
      <c r="V944" s="89"/>
    </row>
    <row r="945" spans="1:22" ht="9" customHeight="1" x14ac:dyDescent="0.55000000000000004">
      <c r="A945" s="90"/>
      <c r="B945" s="91"/>
      <c r="C945" s="92" t="str">
        <f>IF(B943="","",B945-B943)</f>
        <v/>
      </c>
      <c r="D945" s="91"/>
      <c r="E945" s="93" t="str">
        <f>IF(D943="","",D945-D943)</f>
        <v/>
      </c>
      <c r="F945" s="94"/>
      <c r="G945" s="85"/>
      <c r="H945" s="85"/>
      <c r="I945" s="95"/>
      <c r="J945" s="86"/>
      <c r="K945" s="94"/>
      <c r="L945" s="85"/>
      <c r="M945" s="85"/>
      <c r="N945" s="95"/>
      <c r="O945" s="86"/>
      <c r="P945" s="94"/>
      <c r="Q945" s="85"/>
      <c r="R945" s="85"/>
      <c r="S945" s="95"/>
      <c r="T945" s="86"/>
      <c r="U945" s="96"/>
      <c r="V945" s="97"/>
    </row>
    <row r="946" spans="1:22" ht="9" customHeight="1" x14ac:dyDescent="0.55000000000000004">
      <c r="A946" s="98"/>
      <c r="B946" s="99"/>
      <c r="C946" s="100"/>
      <c r="D946" s="99"/>
      <c r="E946" s="101"/>
      <c r="F946" s="102" t="str">
        <f>IF(H946="","",F943-H946)</f>
        <v/>
      </c>
      <c r="G946" s="103" t="str">
        <f>IF(I946="","",F943-I946)</f>
        <v/>
      </c>
      <c r="H946" s="104"/>
      <c r="I946" s="104"/>
      <c r="J946" s="105"/>
      <c r="K946" s="106" t="str">
        <f>IF(M946="","",K943-M946)</f>
        <v/>
      </c>
      <c r="L946" s="103" t="str">
        <f>IF(N946="","",K943-N946)</f>
        <v/>
      </c>
      <c r="M946" s="104"/>
      <c r="N946" s="107"/>
      <c r="O946" s="105"/>
      <c r="P946" s="102" t="str">
        <f>IF(R946="","",P943-R946)</f>
        <v/>
      </c>
      <c r="Q946" s="103" t="str">
        <f>IF(S946="","",P943-S946)</f>
        <v/>
      </c>
      <c r="R946" s="104"/>
      <c r="S946" s="104"/>
      <c r="T946" s="105"/>
      <c r="U946" s="108"/>
      <c r="V946" s="109"/>
    </row>
    <row r="947" spans="1:22" ht="9" customHeight="1" x14ac:dyDescent="0.55000000000000004">
      <c r="A947" s="19"/>
      <c r="B947" s="69"/>
      <c r="C947" s="70"/>
      <c r="D947" s="69"/>
      <c r="E947" s="71"/>
      <c r="F947" s="72"/>
      <c r="G947" s="73"/>
      <c r="H947" s="74"/>
      <c r="I947" s="75"/>
      <c r="J947" s="76"/>
      <c r="K947" s="72"/>
      <c r="L947" s="73"/>
      <c r="M947" s="74"/>
      <c r="N947" s="75"/>
      <c r="O947" s="76"/>
      <c r="P947" s="72"/>
      <c r="Q947" s="73"/>
      <c r="R947" s="74"/>
      <c r="S947" s="75"/>
      <c r="T947" s="76"/>
      <c r="U947" s="77" t="str">
        <f>IF(OR(F950="",P950=""),"",B947/(F950-P950))</f>
        <v/>
      </c>
      <c r="V947" s="78"/>
    </row>
    <row r="948" spans="1:22" ht="9" customHeight="1" x14ac:dyDescent="0.55000000000000004">
      <c r="A948" s="79"/>
      <c r="B948" s="80"/>
      <c r="C948" s="81"/>
      <c r="D948" s="80"/>
      <c r="E948" s="82"/>
      <c r="F948" s="83" t="str">
        <f>IF(H950="","",F947-H948)</f>
        <v/>
      </c>
      <c r="G948" s="84" t="str">
        <f>IF(I950="","",F947-I948)</f>
        <v/>
      </c>
      <c r="H948" s="85" t="str">
        <f>IF(OR($A950="集水",$A950="吸水"),0.4,"")</f>
        <v/>
      </c>
      <c r="I948" s="85" t="str">
        <f>IF(OR($A950="集水",$A950="吸水"),0.4,"")</f>
        <v/>
      </c>
      <c r="J948" s="86" t="str">
        <f>IF(G948="","",F948-G948)</f>
        <v/>
      </c>
      <c r="K948" s="83" t="str">
        <f>IF(M950="","",K947-M948)</f>
        <v/>
      </c>
      <c r="L948" s="87" t="str">
        <f>IF(N950="","",K947-N948)</f>
        <v/>
      </c>
      <c r="M948" s="85" t="str">
        <f>IF(M950="","",IF(OR($A950="集水",$A950="吸水"),0.4,""))</f>
        <v/>
      </c>
      <c r="N948" s="85" t="str">
        <f>IF(N950="","",IF(OR($A950="集水",$A950="吸水"),0.4,""))</f>
        <v/>
      </c>
      <c r="O948" s="86" t="str">
        <f>IF(L948="","",K948-L948)</f>
        <v/>
      </c>
      <c r="P948" s="83" t="str">
        <f>IF(R950="","",P947-R948)</f>
        <v/>
      </c>
      <c r="Q948" s="84" t="str">
        <f>IF(S950="","",P947-S948)</f>
        <v/>
      </c>
      <c r="R948" s="85" t="str">
        <f>IF(OR($A950="集水",$A950="吸水"),0.4,"")</f>
        <v/>
      </c>
      <c r="S948" s="85" t="str">
        <f>IF(OR($A950="集水",$A950="吸水"),0.4,"")</f>
        <v/>
      </c>
      <c r="T948" s="86" t="str">
        <f>IF(Q948="","",P948-Q948)</f>
        <v/>
      </c>
      <c r="U948" s="88"/>
      <c r="V948" s="89"/>
    </row>
    <row r="949" spans="1:22" ht="9" customHeight="1" x14ac:dyDescent="0.55000000000000004">
      <c r="A949" s="90"/>
      <c r="B949" s="91"/>
      <c r="C949" s="92" t="str">
        <f>IF(B947="","",B949-B947)</f>
        <v/>
      </c>
      <c r="D949" s="91"/>
      <c r="E949" s="93" t="str">
        <f>IF(D947="","",D949-D947)</f>
        <v/>
      </c>
      <c r="F949" s="94"/>
      <c r="G949" s="85"/>
      <c r="H949" s="85"/>
      <c r="I949" s="95"/>
      <c r="J949" s="86"/>
      <c r="K949" s="94"/>
      <c r="L949" s="85"/>
      <c r="M949" s="85"/>
      <c r="N949" s="95"/>
      <c r="O949" s="86"/>
      <c r="P949" s="94"/>
      <c r="Q949" s="85"/>
      <c r="R949" s="85"/>
      <c r="S949" s="95"/>
      <c r="T949" s="86"/>
      <c r="U949" s="96"/>
      <c r="V949" s="97"/>
    </row>
    <row r="950" spans="1:22" ht="9" customHeight="1" x14ac:dyDescent="0.55000000000000004">
      <c r="A950" s="98"/>
      <c r="B950" s="99"/>
      <c r="C950" s="100"/>
      <c r="D950" s="99"/>
      <c r="E950" s="101"/>
      <c r="F950" s="102" t="str">
        <f>IF(H950="","",F947-H950)</f>
        <v/>
      </c>
      <c r="G950" s="103" t="str">
        <f>IF(I950="","",F947-I950)</f>
        <v/>
      </c>
      <c r="H950" s="104"/>
      <c r="I950" s="104"/>
      <c r="J950" s="105"/>
      <c r="K950" s="106" t="str">
        <f>IF(M950="","",K947-M950)</f>
        <v/>
      </c>
      <c r="L950" s="103" t="str">
        <f>IF(N950="","",K947-N950)</f>
        <v/>
      </c>
      <c r="M950" s="104"/>
      <c r="N950" s="107"/>
      <c r="O950" s="105"/>
      <c r="P950" s="102" t="str">
        <f>IF(R950="","",P947-R950)</f>
        <v/>
      </c>
      <c r="Q950" s="103" t="str">
        <f>IF(S950="","",P947-S950)</f>
        <v/>
      </c>
      <c r="R950" s="104"/>
      <c r="S950" s="104"/>
      <c r="T950" s="105"/>
      <c r="U950" s="108"/>
      <c r="V950" s="109"/>
    </row>
    <row r="951" spans="1:22" ht="9" customHeight="1" x14ac:dyDescent="0.55000000000000004">
      <c r="A951" s="19"/>
      <c r="B951" s="69"/>
      <c r="C951" s="70"/>
      <c r="D951" s="69"/>
      <c r="E951" s="71"/>
      <c r="F951" s="72"/>
      <c r="G951" s="73"/>
      <c r="H951" s="74"/>
      <c r="I951" s="75"/>
      <c r="J951" s="76"/>
      <c r="K951" s="72"/>
      <c r="L951" s="73"/>
      <c r="M951" s="74"/>
      <c r="N951" s="75"/>
      <c r="O951" s="76"/>
      <c r="P951" s="72"/>
      <c r="Q951" s="73"/>
      <c r="R951" s="74"/>
      <c r="S951" s="75"/>
      <c r="T951" s="76"/>
      <c r="U951" s="77" t="str">
        <f>IF(OR(F954="",P954=""),"",B951/(F954-P954))</f>
        <v/>
      </c>
      <c r="V951" s="78"/>
    </row>
    <row r="952" spans="1:22" ht="9" customHeight="1" x14ac:dyDescent="0.55000000000000004">
      <c r="A952" s="79"/>
      <c r="B952" s="80"/>
      <c r="C952" s="81"/>
      <c r="D952" s="80"/>
      <c r="E952" s="82"/>
      <c r="F952" s="83" t="str">
        <f>IF(H954="","",F951-H952)</f>
        <v/>
      </c>
      <c r="G952" s="84" t="str">
        <f>IF(I954="","",F951-I952)</f>
        <v/>
      </c>
      <c r="H952" s="85" t="str">
        <f>IF(OR($A954="集水",$A954="吸水"),0.4,"")</f>
        <v/>
      </c>
      <c r="I952" s="85" t="str">
        <f>IF(OR($A954="集水",$A954="吸水"),0.4,"")</f>
        <v/>
      </c>
      <c r="J952" s="86" t="str">
        <f>IF(G952="","",F952-G952)</f>
        <v/>
      </c>
      <c r="K952" s="83" t="str">
        <f>IF(M954="","",K951-M952)</f>
        <v/>
      </c>
      <c r="L952" s="87" t="str">
        <f>IF(N954="","",K951-N952)</f>
        <v/>
      </c>
      <c r="M952" s="85" t="str">
        <f>IF(M954="","",IF(OR($A954="集水",$A954="吸水"),0.4,""))</f>
        <v/>
      </c>
      <c r="N952" s="85" t="str">
        <f>IF(N954="","",IF(OR($A954="集水",$A954="吸水"),0.4,""))</f>
        <v/>
      </c>
      <c r="O952" s="86" t="str">
        <f>IF(L952="","",K952-L952)</f>
        <v/>
      </c>
      <c r="P952" s="83" t="str">
        <f>IF(R954="","",P951-R952)</f>
        <v/>
      </c>
      <c r="Q952" s="84" t="str">
        <f>IF(S954="","",P951-S952)</f>
        <v/>
      </c>
      <c r="R952" s="85" t="str">
        <f>IF(OR($A954="集水",$A954="吸水"),0.4,"")</f>
        <v/>
      </c>
      <c r="S952" s="85" t="str">
        <f>IF(OR($A954="集水",$A954="吸水"),0.4,"")</f>
        <v/>
      </c>
      <c r="T952" s="86" t="str">
        <f>IF(Q952="","",P952-Q952)</f>
        <v/>
      </c>
      <c r="U952" s="88"/>
      <c r="V952" s="89"/>
    </row>
    <row r="953" spans="1:22" ht="9" customHeight="1" x14ac:dyDescent="0.55000000000000004">
      <c r="A953" s="90"/>
      <c r="B953" s="91"/>
      <c r="C953" s="92" t="str">
        <f>IF(B951="","",B953-B951)</f>
        <v/>
      </c>
      <c r="D953" s="91"/>
      <c r="E953" s="93" t="str">
        <f>IF(D951="","",D953-D951)</f>
        <v/>
      </c>
      <c r="F953" s="94"/>
      <c r="G953" s="85"/>
      <c r="H953" s="85"/>
      <c r="I953" s="95"/>
      <c r="J953" s="86"/>
      <c r="K953" s="94"/>
      <c r="L953" s="85"/>
      <c r="M953" s="85"/>
      <c r="N953" s="95"/>
      <c r="O953" s="86"/>
      <c r="P953" s="94"/>
      <c r="Q953" s="85"/>
      <c r="R953" s="85"/>
      <c r="S953" s="95"/>
      <c r="T953" s="86"/>
      <c r="U953" s="96"/>
      <c r="V953" s="97"/>
    </row>
    <row r="954" spans="1:22" ht="9" customHeight="1" x14ac:dyDescent="0.55000000000000004">
      <c r="A954" s="98"/>
      <c r="B954" s="99"/>
      <c r="C954" s="100"/>
      <c r="D954" s="99"/>
      <c r="E954" s="101"/>
      <c r="F954" s="102" t="str">
        <f>IF(H954="","",F951-H954)</f>
        <v/>
      </c>
      <c r="G954" s="103" t="str">
        <f>IF(I954="","",F951-I954)</f>
        <v/>
      </c>
      <c r="H954" s="104"/>
      <c r="I954" s="104"/>
      <c r="J954" s="105"/>
      <c r="K954" s="106" t="str">
        <f>IF(M954="","",K951-M954)</f>
        <v/>
      </c>
      <c r="L954" s="103" t="str">
        <f>IF(N954="","",K951-N954)</f>
        <v/>
      </c>
      <c r="M954" s="104"/>
      <c r="N954" s="107"/>
      <c r="O954" s="105"/>
      <c r="P954" s="102" t="str">
        <f>IF(R954="","",P951-R954)</f>
        <v/>
      </c>
      <c r="Q954" s="103" t="str">
        <f>IF(S954="","",P951-S954)</f>
        <v/>
      </c>
      <c r="R954" s="104"/>
      <c r="S954" s="104"/>
      <c r="T954" s="105"/>
      <c r="U954" s="108"/>
      <c r="V954" s="109"/>
    </row>
    <row r="955" spans="1:22" ht="9" customHeight="1" x14ac:dyDescent="0.55000000000000004">
      <c r="A955" s="19"/>
      <c r="B955" s="69"/>
      <c r="C955" s="70"/>
      <c r="D955" s="69"/>
      <c r="E955" s="71"/>
      <c r="F955" s="72"/>
      <c r="G955" s="73"/>
      <c r="H955" s="74"/>
      <c r="I955" s="75"/>
      <c r="J955" s="76"/>
      <c r="K955" s="72"/>
      <c r="L955" s="73"/>
      <c r="M955" s="74"/>
      <c r="N955" s="75"/>
      <c r="O955" s="76"/>
      <c r="P955" s="72"/>
      <c r="Q955" s="73"/>
      <c r="R955" s="74"/>
      <c r="S955" s="75"/>
      <c r="T955" s="76"/>
      <c r="U955" s="77" t="str">
        <f>IF(OR(F958="",P958=""),"",B955/(F958-P958))</f>
        <v/>
      </c>
      <c r="V955" s="78"/>
    </row>
    <row r="956" spans="1:22" ht="9" customHeight="1" x14ac:dyDescent="0.55000000000000004">
      <c r="A956" s="79"/>
      <c r="B956" s="80"/>
      <c r="C956" s="81"/>
      <c r="D956" s="80"/>
      <c r="E956" s="82"/>
      <c r="F956" s="83" t="str">
        <f>IF(H958="","",F955-H956)</f>
        <v/>
      </c>
      <c r="G956" s="84" t="str">
        <f>IF(I958="","",F955-I956)</f>
        <v/>
      </c>
      <c r="H956" s="85" t="str">
        <f>IF(OR($A958="集水",$A958="吸水"),0.4,"")</f>
        <v/>
      </c>
      <c r="I956" s="85" t="str">
        <f>IF(OR($A958="集水",$A958="吸水"),0.4,"")</f>
        <v/>
      </c>
      <c r="J956" s="86" t="str">
        <f>IF(G956="","",F956-G956)</f>
        <v/>
      </c>
      <c r="K956" s="83" t="str">
        <f>IF(M958="","",K955-M956)</f>
        <v/>
      </c>
      <c r="L956" s="87" t="str">
        <f>IF(N958="","",K955-N956)</f>
        <v/>
      </c>
      <c r="M956" s="85" t="str">
        <f>IF(M958="","",IF(OR($A958="集水",$A958="吸水"),0.4,""))</f>
        <v/>
      </c>
      <c r="N956" s="85" t="str">
        <f>IF(N958="","",IF(OR($A958="集水",$A958="吸水"),0.4,""))</f>
        <v/>
      </c>
      <c r="O956" s="86" t="str">
        <f>IF(L956="","",K956-L956)</f>
        <v/>
      </c>
      <c r="P956" s="83" t="str">
        <f>IF(R958="","",P955-R956)</f>
        <v/>
      </c>
      <c r="Q956" s="84" t="str">
        <f>IF(S958="","",P955-S956)</f>
        <v/>
      </c>
      <c r="R956" s="85" t="str">
        <f>IF(OR($A958="集水",$A958="吸水"),0.4,"")</f>
        <v/>
      </c>
      <c r="S956" s="85" t="str">
        <f>IF(OR($A958="集水",$A958="吸水"),0.4,"")</f>
        <v/>
      </c>
      <c r="T956" s="86" t="str">
        <f>IF(Q956="","",P956-Q956)</f>
        <v/>
      </c>
      <c r="U956" s="88"/>
      <c r="V956" s="89"/>
    </row>
    <row r="957" spans="1:22" ht="9" customHeight="1" x14ac:dyDescent="0.55000000000000004">
      <c r="A957" s="90"/>
      <c r="B957" s="91"/>
      <c r="C957" s="92" t="str">
        <f>IF(B955="","",B957-B955)</f>
        <v/>
      </c>
      <c r="D957" s="91"/>
      <c r="E957" s="93" t="str">
        <f>IF(D955="","",D957-D955)</f>
        <v/>
      </c>
      <c r="F957" s="94"/>
      <c r="G957" s="85"/>
      <c r="H957" s="85"/>
      <c r="I957" s="95"/>
      <c r="J957" s="86"/>
      <c r="K957" s="94"/>
      <c r="L957" s="85"/>
      <c r="M957" s="85"/>
      <c r="N957" s="95"/>
      <c r="O957" s="86"/>
      <c r="P957" s="94"/>
      <c r="Q957" s="85"/>
      <c r="R957" s="85"/>
      <c r="S957" s="95"/>
      <c r="T957" s="86"/>
      <c r="U957" s="96"/>
      <c r="V957" s="97"/>
    </row>
    <row r="958" spans="1:22" ht="9" customHeight="1" x14ac:dyDescent="0.55000000000000004">
      <c r="A958" s="98"/>
      <c r="B958" s="99"/>
      <c r="C958" s="100"/>
      <c r="D958" s="99"/>
      <c r="E958" s="101"/>
      <c r="F958" s="102" t="str">
        <f>IF(H958="","",F955-H958)</f>
        <v/>
      </c>
      <c r="G958" s="103" t="str">
        <f>IF(I958="","",F955-I958)</f>
        <v/>
      </c>
      <c r="H958" s="104"/>
      <c r="I958" s="104"/>
      <c r="J958" s="105"/>
      <c r="K958" s="106" t="str">
        <f>IF(M958="","",K955-M958)</f>
        <v/>
      </c>
      <c r="L958" s="103" t="str">
        <f>IF(N958="","",K955-N958)</f>
        <v/>
      </c>
      <c r="M958" s="104"/>
      <c r="N958" s="107"/>
      <c r="O958" s="105"/>
      <c r="P958" s="102" t="str">
        <f>IF(R958="","",P955-R958)</f>
        <v/>
      </c>
      <c r="Q958" s="103" t="str">
        <f>IF(S958="","",P955-S958)</f>
        <v/>
      </c>
      <c r="R958" s="104"/>
      <c r="S958" s="104"/>
      <c r="T958" s="105"/>
      <c r="U958" s="108"/>
      <c r="V958" s="109"/>
    </row>
    <row r="959" spans="1:22" ht="9" customHeight="1" x14ac:dyDescent="0.55000000000000004">
      <c r="A959" s="19"/>
      <c r="B959" s="69"/>
      <c r="C959" s="70"/>
      <c r="D959" s="69"/>
      <c r="E959" s="71"/>
      <c r="F959" s="72"/>
      <c r="G959" s="73"/>
      <c r="H959" s="74"/>
      <c r="I959" s="75"/>
      <c r="J959" s="76"/>
      <c r="K959" s="72"/>
      <c r="L959" s="73"/>
      <c r="M959" s="74"/>
      <c r="N959" s="75"/>
      <c r="O959" s="76"/>
      <c r="P959" s="72"/>
      <c r="Q959" s="73"/>
      <c r="R959" s="74"/>
      <c r="S959" s="75"/>
      <c r="T959" s="76"/>
      <c r="U959" s="77" t="str">
        <f>IF(OR(F962="",P962=""),"",B959/(F962-P962))</f>
        <v/>
      </c>
      <c r="V959" s="78"/>
    </row>
    <row r="960" spans="1:22" ht="9" customHeight="1" x14ac:dyDescent="0.55000000000000004">
      <c r="A960" s="79"/>
      <c r="B960" s="80"/>
      <c r="C960" s="81"/>
      <c r="D960" s="80"/>
      <c r="E960" s="82"/>
      <c r="F960" s="83" t="str">
        <f>IF(H962="","",F959-H960)</f>
        <v/>
      </c>
      <c r="G960" s="84" t="str">
        <f>IF(I962="","",F959-I960)</f>
        <v/>
      </c>
      <c r="H960" s="85" t="str">
        <f>IF(OR($A962="集水",$A962="吸水"),0.4,"")</f>
        <v/>
      </c>
      <c r="I960" s="85" t="str">
        <f>IF(OR($A962="集水",$A962="吸水"),0.4,"")</f>
        <v/>
      </c>
      <c r="J960" s="86" t="str">
        <f>IF(G960="","",F960-G960)</f>
        <v/>
      </c>
      <c r="K960" s="83" t="str">
        <f>IF(M962="","",K959-M960)</f>
        <v/>
      </c>
      <c r="L960" s="87" t="str">
        <f>IF(N962="","",K959-N960)</f>
        <v/>
      </c>
      <c r="M960" s="85" t="str">
        <f>IF(M962="","",IF(OR($A962="集水",$A962="吸水"),0.4,""))</f>
        <v/>
      </c>
      <c r="N960" s="85" t="str">
        <f>IF(N962="","",IF(OR($A962="集水",$A962="吸水"),0.4,""))</f>
        <v/>
      </c>
      <c r="O960" s="86" t="str">
        <f>IF(L960="","",K960-L960)</f>
        <v/>
      </c>
      <c r="P960" s="83" t="str">
        <f>IF(R962="","",P959-R960)</f>
        <v/>
      </c>
      <c r="Q960" s="84" t="str">
        <f>IF(S962="","",P959-S960)</f>
        <v/>
      </c>
      <c r="R960" s="85" t="str">
        <f>IF(OR($A962="集水",$A962="吸水"),0.4,"")</f>
        <v/>
      </c>
      <c r="S960" s="85" t="str">
        <f>IF(OR($A962="集水",$A962="吸水"),0.4,"")</f>
        <v/>
      </c>
      <c r="T960" s="86" t="str">
        <f>IF(Q960="","",P960-Q960)</f>
        <v/>
      </c>
      <c r="U960" s="88"/>
      <c r="V960" s="89"/>
    </row>
    <row r="961" spans="1:22" ht="9" customHeight="1" x14ac:dyDescent="0.55000000000000004">
      <c r="A961" s="90"/>
      <c r="B961" s="91"/>
      <c r="C961" s="92" t="str">
        <f>IF(B959="","",B961-B959)</f>
        <v/>
      </c>
      <c r="D961" s="91"/>
      <c r="E961" s="93" t="str">
        <f>IF(D959="","",D961-D959)</f>
        <v/>
      </c>
      <c r="F961" s="94"/>
      <c r="G961" s="85"/>
      <c r="H961" s="85"/>
      <c r="I961" s="95"/>
      <c r="J961" s="86"/>
      <c r="K961" s="94"/>
      <c r="L961" s="85"/>
      <c r="M961" s="85"/>
      <c r="N961" s="95"/>
      <c r="O961" s="86"/>
      <c r="P961" s="94"/>
      <c r="Q961" s="85"/>
      <c r="R961" s="85"/>
      <c r="S961" s="95"/>
      <c r="T961" s="86"/>
      <c r="U961" s="96"/>
      <c r="V961" s="97"/>
    </row>
    <row r="962" spans="1:22" ht="9" customHeight="1" x14ac:dyDescent="0.55000000000000004">
      <c r="A962" s="98"/>
      <c r="B962" s="99"/>
      <c r="C962" s="100"/>
      <c r="D962" s="99"/>
      <c r="E962" s="101"/>
      <c r="F962" s="102" t="str">
        <f>IF(H962="","",F959-H962)</f>
        <v/>
      </c>
      <c r="G962" s="103" t="str">
        <f>IF(I962="","",F959-I962)</f>
        <v/>
      </c>
      <c r="H962" s="104"/>
      <c r="I962" s="104"/>
      <c r="J962" s="105"/>
      <c r="K962" s="106" t="str">
        <f>IF(M962="","",K959-M962)</f>
        <v/>
      </c>
      <c r="L962" s="103" t="str">
        <f>IF(N962="","",K959-N962)</f>
        <v/>
      </c>
      <c r="M962" s="104"/>
      <c r="N962" s="107"/>
      <c r="O962" s="105"/>
      <c r="P962" s="102" t="str">
        <f>IF(R962="","",P959-R962)</f>
        <v/>
      </c>
      <c r="Q962" s="103" t="str">
        <f>IF(S962="","",P959-S962)</f>
        <v/>
      </c>
      <c r="R962" s="104"/>
      <c r="S962" s="104"/>
      <c r="T962" s="105"/>
      <c r="U962" s="108"/>
      <c r="V962" s="109"/>
    </row>
    <row r="963" spans="1:22" ht="9" customHeight="1" x14ac:dyDescent="0.55000000000000004">
      <c r="A963" s="19"/>
      <c r="B963" s="69"/>
      <c r="C963" s="70"/>
      <c r="D963" s="69"/>
      <c r="E963" s="71"/>
      <c r="F963" s="72"/>
      <c r="G963" s="73"/>
      <c r="H963" s="74"/>
      <c r="I963" s="75"/>
      <c r="J963" s="76"/>
      <c r="K963" s="72"/>
      <c r="L963" s="73"/>
      <c r="M963" s="74"/>
      <c r="N963" s="75"/>
      <c r="O963" s="76"/>
      <c r="P963" s="72"/>
      <c r="Q963" s="73"/>
      <c r="R963" s="74"/>
      <c r="S963" s="75"/>
      <c r="T963" s="76"/>
      <c r="U963" s="77" t="str">
        <f>IF(OR(F966="",P966=""),"",B963/(F966-P966))</f>
        <v/>
      </c>
      <c r="V963" s="78"/>
    </row>
    <row r="964" spans="1:22" ht="9" customHeight="1" x14ac:dyDescent="0.55000000000000004">
      <c r="A964" s="79"/>
      <c r="B964" s="80"/>
      <c r="C964" s="81"/>
      <c r="D964" s="80"/>
      <c r="E964" s="82"/>
      <c r="F964" s="83" t="str">
        <f>IF(H966="","",F963-H964)</f>
        <v/>
      </c>
      <c r="G964" s="84" t="str">
        <f>IF(I966="","",F963-I964)</f>
        <v/>
      </c>
      <c r="H964" s="85" t="str">
        <f>IF(OR($A966="集水",$A966="吸水"),0.4,"")</f>
        <v/>
      </c>
      <c r="I964" s="85" t="str">
        <f>IF(OR($A966="集水",$A966="吸水"),0.4,"")</f>
        <v/>
      </c>
      <c r="J964" s="86" t="str">
        <f>IF(G964="","",F964-G964)</f>
        <v/>
      </c>
      <c r="K964" s="83" t="str">
        <f>IF(M966="","",K963-M964)</f>
        <v/>
      </c>
      <c r="L964" s="87" t="str">
        <f>IF(N966="","",K963-N964)</f>
        <v/>
      </c>
      <c r="M964" s="85" t="str">
        <f>IF(M966="","",IF(OR($A966="集水",$A966="吸水"),0.4,""))</f>
        <v/>
      </c>
      <c r="N964" s="85" t="str">
        <f>IF(N966="","",IF(OR($A966="集水",$A966="吸水"),0.4,""))</f>
        <v/>
      </c>
      <c r="O964" s="86" t="str">
        <f>IF(L964="","",K964-L964)</f>
        <v/>
      </c>
      <c r="P964" s="83" t="str">
        <f>IF(R966="","",P963-R964)</f>
        <v/>
      </c>
      <c r="Q964" s="84" t="str">
        <f>IF(S966="","",P963-S964)</f>
        <v/>
      </c>
      <c r="R964" s="85" t="str">
        <f>IF(OR($A966="集水",$A966="吸水"),0.4,"")</f>
        <v/>
      </c>
      <c r="S964" s="85" t="str">
        <f>IF(OR($A966="集水",$A966="吸水"),0.4,"")</f>
        <v/>
      </c>
      <c r="T964" s="86" t="str">
        <f>IF(Q964="","",P964-Q964)</f>
        <v/>
      </c>
      <c r="U964" s="88"/>
      <c r="V964" s="89"/>
    </row>
    <row r="965" spans="1:22" ht="9" customHeight="1" x14ac:dyDescent="0.55000000000000004">
      <c r="A965" s="90"/>
      <c r="B965" s="91"/>
      <c r="C965" s="92" t="str">
        <f>IF(B963="","",B965-B963)</f>
        <v/>
      </c>
      <c r="D965" s="91"/>
      <c r="E965" s="93" t="str">
        <f>IF(D963="","",D965-D963)</f>
        <v/>
      </c>
      <c r="F965" s="94"/>
      <c r="G965" s="85"/>
      <c r="H965" s="85"/>
      <c r="I965" s="95"/>
      <c r="J965" s="86"/>
      <c r="K965" s="94"/>
      <c r="L965" s="85"/>
      <c r="M965" s="85"/>
      <c r="N965" s="95"/>
      <c r="O965" s="86"/>
      <c r="P965" s="94"/>
      <c r="Q965" s="85"/>
      <c r="R965" s="85"/>
      <c r="S965" s="95"/>
      <c r="T965" s="86"/>
      <c r="U965" s="96"/>
      <c r="V965" s="97"/>
    </row>
    <row r="966" spans="1:22" ht="9" customHeight="1" x14ac:dyDescent="0.55000000000000004">
      <c r="A966" s="98"/>
      <c r="B966" s="99"/>
      <c r="C966" s="100"/>
      <c r="D966" s="99"/>
      <c r="E966" s="101"/>
      <c r="F966" s="102" t="str">
        <f>IF(H966="","",F963-H966)</f>
        <v/>
      </c>
      <c r="G966" s="103" t="str">
        <f>IF(I966="","",F963-I966)</f>
        <v/>
      </c>
      <c r="H966" s="104"/>
      <c r="I966" s="104"/>
      <c r="J966" s="105"/>
      <c r="K966" s="106" t="str">
        <f>IF(M966="","",K963-M966)</f>
        <v/>
      </c>
      <c r="L966" s="103" t="str">
        <f>IF(N966="","",K963-N966)</f>
        <v/>
      </c>
      <c r="M966" s="104"/>
      <c r="N966" s="107"/>
      <c r="O966" s="105"/>
      <c r="P966" s="102" t="str">
        <f>IF(R966="","",P963-R966)</f>
        <v/>
      </c>
      <c r="Q966" s="103" t="str">
        <f>IF(S966="","",P963-S966)</f>
        <v/>
      </c>
      <c r="R966" s="104"/>
      <c r="S966" s="104"/>
      <c r="T966" s="105"/>
      <c r="U966" s="108"/>
      <c r="V966" s="109"/>
    </row>
    <row r="967" spans="1:22" ht="9" customHeight="1" x14ac:dyDescent="0.55000000000000004">
      <c r="A967" s="19"/>
      <c r="B967" s="69"/>
      <c r="C967" s="70"/>
      <c r="D967" s="69"/>
      <c r="E967" s="71"/>
      <c r="F967" s="72"/>
      <c r="G967" s="73"/>
      <c r="H967" s="74"/>
      <c r="I967" s="75"/>
      <c r="J967" s="76"/>
      <c r="K967" s="72"/>
      <c r="L967" s="73"/>
      <c r="M967" s="74"/>
      <c r="N967" s="75"/>
      <c r="O967" s="76"/>
      <c r="P967" s="72"/>
      <c r="Q967" s="73"/>
      <c r="R967" s="74"/>
      <c r="S967" s="75"/>
      <c r="T967" s="76"/>
      <c r="U967" s="77" t="str">
        <f>IF(OR(F970="",P970=""),"",B967/(F970-P970))</f>
        <v/>
      </c>
      <c r="V967" s="78"/>
    </row>
    <row r="968" spans="1:22" ht="9" customHeight="1" x14ac:dyDescent="0.55000000000000004">
      <c r="A968" s="79"/>
      <c r="B968" s="80"/>
      <c r="C968" s="81"/>
      <c r="D968" s="80"/>
      <c r="E968" s="82"/>
      <c r="F968" s="83" t="str">
        <f>IF(H970="","",F967-H968)</f>
        <v/>
      </c>
      <c r="G968" s="84" t="str">
        <f>IF(I970="","",F967-I968)</f>
        <v/>
      </c>
      <c r="H968" s="85" t="str">
        <f>IF(OR($A970="集水",$A970="吸水"),0.4,"")</f>
        <v/>
      </c>
      <c r="I968" s="85" t="str">
        <f>IF(OR($A970="集水",$A970="吸水"),0.4,"")</f>
        <v/>
      </c>
      <c r="J968" s="86" t="str">
        <f>IF(G968="","",F968-G968)</f>
        <v/>
      </c>
      <c r="K968" s="83" t="str">
        <f>IF(M970="","",K967-M968)</f>
        <v/>
      </c>
      <c r="L968" s="87" t="str">
        <f>IF(N970="","",K967-N968)</f>
        <v/>
      </c>
      <c r="M968" s="85" t="str">
        <f>IF(M970="","",IF(OR($A970="集水",$A970="吸水"),0.4,""))</f>
        <v/>
      </c>
      <c r="N968" s="85" t="str">
        <f>IF(N970="","",IF(OR($A970="集水",$A970="吸水"),0.4,""))</f>
        <v/>
      </c>
      <c r="O968" s="86" t="str">
        <f>IF(L968="","",K968-L968)</f>
        <v/>
      </c>
      <c r="P968" s="83" t="str">
        <f>IF(R970="","",P967-R968)</f>
        <v/>
      </c>
      <c r="Q968" s="84" t="str">
        <f>IF(S970="","",P967-S968)</f>
        <v/>
      </c>
      <c r="R968" s="85" t="str">
        <f>IF(OR($A970="集水",$A970="吸水"),0.4,"")</f>
        <v/>
      </c>
      <c r="S968" s="85" t="str">
        <f>IF(OR($A970="集水",$A970="吸水"),0.4,"")</f>
        <v/>
      </c>
      <c r="T968" s="86" t="str">
        <f>IF(Q968="","",P968-Q968)</f>
        <v/>
      </c>
      <c r="U968" s="88"/>
      <c r="V968" s="89"/>
    </row>
    <row r="969" spans="1:22" ht="9" customHeight="1" x14ac:dyDescent="0.55000000000000004">
      <c r="A969" s="90"/>
      <c r="B969" s="91"/>
      <c r="C969" s="92" t="str">
        <f>IF(B967="","",B969-B967)</f>
        <v/>
      </c>
      <c r="D969" s="91"/>
      <c r="E969" s="93" t="str">
        <f>IF(D967="","",D969-D967)</f>
        <v/>
      </c>
      <c r="F969" s="94"/>
      <c r="G969" s="85"/>
      <c r="H969" s="85"/>
      <c r="I969" s="95"/>
      <c r="J969" s="86"/>
      <c r="K969" s="94"/>
      <c r="L969" s="85"/>
      <c r="M969" s="85"/>
      <c r="N969" s="95"/>
      <c r="O969" s="86"/>
      <c r="P969" s="94"/>
      <c r="Q969" s="85"/>
      <c r="R969" s="85"/>
      <c r="S969" s="95"/>
      <c r="T969" s="86"/>
      <c r="U969" s="96"/>
      <c r="V969" s="97"/>
    </row>
    <row r="970" spans="1:22" ht="9" customHeight="1" x14ac:dyDescent="0.55000000000000004">
      <c r="A970" s="98"/>
      <c r="B970" s="99"/>
      <c r="C970" s="100"/>
      <c r="D970" s="99"/>
      <c r="E970" s="101"/>
      <c r="F970" s="102" t="str">
        <f>IF(H970="","",F967-H970)</f>
        <v/>
      </c>
      <c r="G970" s="103" t="str">
        <f>IF(I970="","",F967-I970)</f>
        <v/>
      </c>
      <c r="H970" s="104"/>
      <c r="I970" s="104"/>
      <c r="J970" s="105"/>
      <c r="K970" s="106" t="str">
        <f>IF(M970="","",K967-M970)</f>
        <v/>
      </c>
      <c r="L970" s="103" t="str">
        <f>IF(N970="","",K967-N970)</f>
        <v/>
      </c>
      <c r="M970" s="104"/>
      <c r="N970" s="107"/>
      <c r="O970" s="105"/>
      <c r="P970" s="102" t="str">
        <f>IF(R970="","",P967-R970)</f>
        <v/>
      </c>
      <c r="Q970" s="103" t="str">
        <f>IF(S970="","",P967-S970)</f>
        <v/>
      </c>
      <c r="R970" s="104"/>
      <c r="S970" s="104"/>
      <c r="T970" s="105"/>
      <c r="U970" s="108"/>
      <c r="V970" s="109"/>
    </row>
    <row r="971" spans="1:22" ht="9" customHeight="1" x14ac:dyDescent="0.55000000000000004">
      <c r="A971" s="19"/>
      <c r="B971" s="69"/>
      <c r="C971" s="70"/>
      <c r="D971" s="69"/>
      <c r="E971" s="71"/>
      <c r="F971" s="72"/>
      <c r="G971" s="73"/>
      <c r="H971" s="74"/>
      <c r="I971" s="75"/>
      <c r="J971" s="76"/>
      <c r="K971" s="72"/>
      <c r="L971" s="73"/>
      <c r="M971" s="74"/>
      <c r="N971" s="75"/>
      <c r="O971" s="76"/>
      <c r="P971" s="72"/>
      <c r="Q971" s="73"/>
      <c r="R971" s="74"/>
      <c r="S971" s="75"/>
      <c r="T971" s="76"/>
      <c r="U971" s="77" t="str">
        <f>IF(OR(F974="",P974=""),"",B971/(F974-P974))</f>
        <v/>
      </c>
      <c r="V971" s="78"/>
    </row>
    <row r="972" spans="1:22" ht="9" customHeight="1" x14ac:dyDescent="0.55000000000000004">
      <c r="A972" s="79"/>
      <c r="B972" s="80"/>
      <c r="C972" s="81"/>
      <c r="D972" s="80"/>
      <c r="E972" s="82"/>
      <c r="F972" s="83" t="str">
        <f>IF(H974="","",F971-H972)</f>
        <v/>
      </c>
      <c r="G972" s="84" t="str">
        <f>IF(I974="","",F971-I972)</f>
        <v/>
      </c>
      <c r="H972" s="85" t="str">
        <f>IF(OR($A974="集水",$A974="吸水"),0.4,"")</f>
        <v/>
      </c>
      <c r="I972" s="85" t="str">
        <f>IF(OR($A974="集水",$A974="吸水"),0.4,"")</f>
        <v/>
      </c>
      <c r="J972" s="86" t="str">
        <f>IF(G972="","",F972-G972)</f>
        <v/>
      </c>
      <c r="K972" s="83" t="str">
        <f>IF(M974="","",K971-M972)</f>
        <v/>
      </c>
      <c r="L972" s="87" t="str">
        <f>IF(N974="","",K971-N972)</f>
        <v/>
      </c>
      <c r="M972" s="85" t="str">
        <f>IF(M974="","",IF(OR($A974="集水",$A974="吸水"),0.4,""))</f>
        <v/>
      </c>
      <c r="N972" s="85" t="str">
        <f>IF(N974="","",IF(OR($A974="集水",$A974="吸水"),0.4,""))</f>
        <v/>
      </c>
      <c r="O972" s="86" t="str">
        <f>IF(L972="","",K972-L972)</f>
        <v/>
      </c>
      <c r="P972" s="83" t="str">
        <f>IF(R974="","",P971-R972)</f>
        <v/>
      </c>
      <c r="Q972" s="84" t="str">
        <f>IF(S974="","",P971-S972)</f>
        <v/>
      </c>
      <c r="R972" s="85" t="str">
        <f>IF(OR($A974="集水",$A974="吸水"),0.4,"")</f>
        <v/>
      </c>
      <c r="S972" s="85" t="str">
        <f>IF(OR($A974="集水",$A974="吸水"),0.4,"")</f>
        <v/>
      </c>
      <c r="T972" s="86" t="str">
        <f>IF(Q972="","",P972-Q972)</f>
        <v/>
      </c>
      <c r="U972" s="88"/>
      <c r="V972" s="89"/>
    </row>
    <row r="973" spans="1:22" ht="9" customHeight="1" x14ac:dyDescent="0.55000000000000004">
      <c r="A973" s="90"/>
      <c r="B973" s="91"/>
      <c r="C973" s="92" t="str">
        <f>IF(B971="","",B973-B971)</f>
        <v/>
      </c>
      <c r="D973" s="91"/>
      <c r="E973" s="93" t="str">
        <f>IF(D971="","",D973-D971)</f>
        <v/>
      </c>
      <c r="F973" s="94"/>
      <c r="G973" s="85"/>
      <c r="H973" s="85"/>
      <c r="I973" s="95"/>
      <c r="J973" s="86"/>
      <c r="K973" s="94"/>
      <c r="L973" s="85"/>
      <c r="M973" s="85"/>
      <c r="N973" s="95"/>
      <c r="O973" s="86"/>
      <c r="P973" s="94"/>
      <c r="Q973" s="85"/>
      <c r="R973" s="85"/>
      <c r="S973" s="95"/>
      <c r="T973" s="86"/>
      <c r="U973" s="96"/>
      <c r="V973" s="97"/>
    </row>
    <row r="974" spans="1:22" ht="9" customHeight="1" x14ac:dyDescent="0.55000000000000004">
      <c r="A974" s="98"/>
      <c r="B974" s="99"/>
      <c r="C974" s="100"/>
      <c r="D974" s="99"/>
      <c r="E974" s="101"/>
      <c r="F974" s="102" t="str">
        <f>IF(H974="","",F971-H974)</f>
        <v/>
      </c>
      <c r="G974" s="103" t="str">
        <f>IF(I974="","",F971-I974)</f>
        <v/>
      </c>
      <c r="H974" s="104"/>
      <c r="I974" s="104"/>
      <c r="J974" s="105"/>
      <c r="K974" s="106" t="str">
        <f>IF(M974="","",K971-M974)</f>
        <v/>
      </c>
      <c r="L974" s="103" t="str">
        <f>IF(N974="","",K971-N974)</f>
        <v/>
      </c>
      <c r="M974" s="104"/>
      <c r="N974" s="107"/>
      <c r="O974" s="105"/>
      <c r="P974" s="102" t="str">
        <f>IF(R974="","",P971-R974)</f>
        <v/>
      </c>
      <c r="Q974" s="103" t="str">
        <f>IF(S974="","",P971-S974)</f>
        <v/>
      </c>
      <c r="R974" s="104"/>
      <c r="S974" s="104"/>
      <c r="T974" s="105"/>
      <c r="U974" s="108"/>
      <c r="V974" s="109"/>
    </row>
    <row r="975" spans="1:22" ht="9" customHeight="1" x14ac:dyDescent="0.55000000000000004">
      <c r="A975" s="19"/>
      <c r="B975" s="69"/>
      <c r="C975" s="70"/>
      <c r="D975" s="69"/>
      <c r="E975" s="71"/>
      <c r="F975" s="72"/>
      <c r="G975" s="73"/>
      <c r="H975" s="74"/>
      <c r="I975" s="75"/>
      <c r="J975" s="76"/>
      <c r="K975" s="72"/>
      <c r="L975" s="73"/>
      <c r="M975" s="74"/>
      <c r="N975" s="75"/>
      <c r="O975" s="76"/>
      <c r="P975" s="72"/>
      <c r="Q975" s="73"/>
      <c r="R975" s="74"/>
      <c r="S975" s="75"/>
      <c r="T975" s="76"/>
      <c r="U975" s="77" t="str">
        <f>IF(OR(F978="",P978=""),"",B975/(F978-P978))</f>
        <v/>
      </c>
      <c r="V975" s="78"/>
    </row>
    <row r="976" spans="1:22" ht="9" customHeight="1" x14ac:dyDescent="0.55000000000000004">
      <c r="A976" s="79"/>
      <c r="B976" s="80"/>
      <c r="C976" s="81"/>
      <c r="D976" s="80"/>
      <c r="E976" s="82"/>
      <c r="F976" s="83" t="str">
        <f>IF(H978="","",F975-H976)</f>
        <v/>
      </c>
      <c r="G976" s="84" t="str">
        <f>IF(I978="","",F975-I976)</f>
        <v/>
      </c>
      <c r="H976" s="85" t="str">
        <f>IF(OR($A978="集水",$A978="吸水"),0.4,"")</f>
        <v/>
      </c>
      <c r="I976" s="85" t="str">
        <f>IF(OR($A978="集水",$A978="吸水"),0.4,"")</f>
        <v/>
      </c>
      <c r="J976" s="86" t="str">
        <f>IF(G976="","",F976-G976)</f>
        <v/>
      </c>
      <c r="K976" s="83" t="str">
        <f>IF(M978="","",K975-M976)</f>
        <v/>
      </c>
      <c r="L976" s="87" t="str">
        <f>IF(N978="","",K975-N976)</f>
        <v/>
      </c>
      <c r="M976" s="85" t="str">
        <f>IF(M978="","",IF(OR($A978="集水",$A978="吸水"),0.4,""))</f>
        <v/>
      </c>
      <c r="N976" s="85" t="str">
        <f>IF(N978="","",IF(OR($A978="集水",$A978="吸水"),0.4,""))</f>
        <v/>
      </c>
      <c r="O976" s="86" t="str">
        <f>IF(L976="","",K976-L976)</f>
        <v/>
      </c>
      <c r="P976" s="83" t="str">
        <f>IF(R978="","",P975-R976)</f>
        <v/>
      </c>
      <c r="Q976" s="84" t="str">
        <f>IF(S978="","",P975-S976)</f>
        <v/>
      </c>
      <c r="R976" s="85" t="str">
        <f>IF(OR($A978="集水",$A978="吸水"),0.4,"")</f>
        <v/>
      </c>
      <c r="S976" s="85" t="str">
        <f>IF(OR($A978="集水",$A978="吸水"),0.4,"")</f>
        <v/>
      </c>
      <c r="T976" s="86" t="str">
        <f>IF(Q976="","",P976-Q976)</f>
        <v/>
      </c>
      <c r="U976" s="88"/>
      <c r="V976" s="89"/>
    </row>
    <row r="977" spans="1:22" ht="9" customHeight="1" x14ac:dyDescent="0.55000000000000004">
      <c r="A977" s="90"/>
      <c r="B977" s="91"/>
      <c r="C977" s="92" t="str">
        <f>IF(B975="","",B977-B975)</f>
        <v/>
      </c>
      <c r="D977" s="91"/>
      <c r="E977" s="93" t="str">
        <f>IF(D975="","",D977-D975)</f>
        <v/>
      </c>
      <c r="F977" s="94"/>
      <c r="G977" s="85"/>
      <c r="H977" s="85"/>
      <c r="I977" s="95"/>
      <c r="J977" s="86"/>
      <c r="K977" s="94"/>
      <c r="L977" s="85"/>
      <c r="M977" s="85"/>
      <c r="N977" s="95"/>
      <c r="O977" s="86"/>
      <c r="P977" s="94"/>
      <c r="Q977" s="85"/>
      <c r="R977" s="85"/>
      <c r="S977" s="95"/>
      <c r="T977" s="86"/>
      <c r="U977" s="96"/>
      <c r="V977" s="97"/>
    </row>
    <row r="978" spans="1:22" ht="9" customHeight="1" x14ac:dyDescent="0.55000000000000004">
      <c r="A978" s="98"/>
      <c r="B978" s="99"/>
      <c r="C978" s="100"/>
      <c r="D978" s="99"/>
      <c r="E978" s="101"/>
      <c r="F978" s="102" t="str">
        <f>IF(H978="","",F975-H978)</f>
        <v/>
      </c>
      <c r="G978" s="103" t="str">
        <f>IF(I978="","",F975-I978)</f>
        <v/>
      </c>
      <c r="H978" s="104"/>
      <c r="I978" s="104"/>
      <c r="J978" s="105"/>
      <c r="K978" s="106" t="str">
        <f>IF(M978="","",K975-M978)</f>
        <v/>
      </c>
      <c r="L978" s="103" t="str">
        <f>IF(N978="","",K975-N978)</f>
        <v/>
      </c>
      <c r="M978" s="104"/>
      <c r="N978" s="107"/>
      <c r="O978" s="105"/>
      <c r="P978" s="102" t="str">
        <f>IF(R978="","",P975-R978)</f>
        <v/>
      </c>
      <c r="Q978" s="103" t="str">
        <f>IF(S978="","",P975-S978)</f>
        <v/>
      </c>
      <c r="R978" s="104"/>
      <c r="S978" s="104"/>
      <c r="T978" s="105"/>
      <c r="U978" s="108"/>
      <c r="V978" s="109"/>
    </row>
    <row r="979" spans="1:22" ht="9" customHeight="1" x14ac:dyDescent="0.55000000000000004">
      <c r="A979" s="19"/>
      <c r="B979" s="69"/>
      <c r="C979" s="70"/>
      <c r="D979" s="69"/>
      <c r="E979" s="71"/>
      <c r="F979" s="72"/>
      <c r="G979" s="73"/>
      <c r="H979" s="74"/>
      <c r="I979" s="75"/>
      <c r="J979" s="76"/>
      <c r="K979" s="72"/>
      <c r="L979" s="73"/>
      <c r="M979" s="74"/>
      <c r="N979" s="75"/>
      <c r="O979" s="76"/>
      <c r="P979" s="72"/>
      <c r="Q979" s="73"/>
      <c r="R979" s="74"/>
      <c r="S979" s="75"/>
      <c r="T979" s="76"/>
      <c r="U979" s="77" t="str">
        <f>IF(OR(F982="",P982=""),"",B979/(F982-P982))</f>
        <v/>
      </c>
      <c r="V979" s="78"/>
    </row>
    <row r="980" spans="1:22" ht="9" customHeight="1" x14ac:dyDescent="0.55000000000000004">
      <c r="A980" s="79"/>
      <c r="B980" s="80"/>
      <c r="C980" s="81"/>
      <c r="D980" s="80"/>
      <c r="E980" s="82"/>
      <c r="F980" s="83" t="str">
        <f>IF(H982="","",F979-H980)</f>
        <v/>
      </c>
      <c r="G980" s="84" t="str">
        <f>IF(I982="","",F979-I980)</f>
        <v/>
      </c>
      <c r="H980" s="85" t="str">
        <f>IF(OR($A982="集水",$A982="吸水"),0.4,"")</f>
        <v/>
      </c>
      <c r="I980" s="85" t="str">
        <f>IF(OR($A982="集水",$A982="吸水"),0.4,"")</f>
        <v/>
      </c>
      <c r="J980" s="86" t="str">
        <f>IF(G980="","",F980-G980)</f>
        <v/>
      </c>
      <c r="K980" s="83" t="str">
        <f>IF(M982="","",K979-M980)</f>
        <v/>
      </c>
      <c r="L980" s="87" t="str">
        <f>IF(N982="","",K979-N980)</f>
        <v/>
      </c>
      <c r="M980" s="85" t="str">
        <f>IF(M982="","",IF(OR($A982="集水",$A982="吸水"),0.4,""))</f>
        <v/>
      </c>
      <c r="N980" s="85" t="str">
        <f>IF(N982="","",IF(OR($A982="集水",$A982="吸水"),0.4,""))</f>
        <v/>
      </c>
      <c r="O980" s="86" t="str">
        <f>IF(L980="","",K980-L980)</f>
        <v/>
      </c>
      <c r="P980" s="83" t="str">
        <f>IF(R982="","",P979-R980)</f>
        <v/>
      </c>
      <c r="Q980" s="84" t="str">
        <f>IF(S982="","",P979-S980)</f>
        <v/>
      </c>
      <c r="R980" s="85" t="str">
        <f>IF(OR($A982="集水",$A982="吸水"),0.4,"")</f>
        <v/>
      </c>
      <c r="S980" s="85" t="str">
        <f>IF(OR($A982="集水",$A982="吸水"),0.4,"")</f>
        <v/>
      </c>
      <c r="T980" s="86" t="str">
        <f>IF(Q980="","",P980-Q980)</f>
        <v/>
      </c>
      <c r="U980" s="88"/>
      <c r="V980" s="89"/>
    </row>
    <row r="981" spans="1:22" ht="9" customHeight="1" x14ac:dyDescent="0.55000000000000004">
      <c r="A981" s="90"/>
      <c r="B981" s="91"/>
      <c r="C981" s="92" t="str">
        <f>IF(B979="","",B981-B979)</f>
        <v/>
      </c>
      <c r="D981" s="91"/>
      <c r="E981" s="93" t="str">
        <f>IF(D979="","",D981-D979)</f>
        <v/>
      </c>
      <c r="F981" s="94"/>
      <c r="G981" s="85"/>
      <c r="H981" s="85"/>
      <c r="I981" s="95"/>
      <c r="J981" s="86"/>
      <c r="K981" s="94"/>
      <c r="L981" s="85"/>
      <c r="M981" s="85"/>
      <c r="N981" s="95"/>
      <c r="O981" s="86"/>
      <c r="P981" s="94"/>
      <c r="Q981" s="85"/>
      <c r="R981" s="85"/>
      <c r="S981" s="95"/>
      <c r="T981" s="86"/>
      <c r="U981" s="96"/>
      <c r="V981" s="97"/>
    </row>
    <row r="982" spans="1:22" ht="9" customHeight="1" x14ac:dyDescent="0.55000000000000004">
      <c r="A982" s="98"/>
      <c r="B982" s="99"/>
      <c r="C982" s="100"/>
      <c r="D982" s="99"/>
      <c r="E982" s="101"/>
      <c r="F982" s="102" t="str">
        <f>IF(H982="","",F979-H982)</f>
        <v/>
      </c>
      <c r="G982" s="103" t="str">
        <f>IF(I982="","",F979-I982)</f>
        <v/>
      </c>
      <c r="H982" s="104"/>
      <c r="I982" s="104"/>
      <c r="J982" s="105"/>
      <c r="K982" s="106" t="str">
        <f>IF(M982="","",K979-M982)</f>
        <v/>
      </c>
      <c r="L982" s="103" t="str">
        <f>IF(N982="","",K979-N982)</f>
        <v/>
      </c>
      <c r="M982" s="104"/>
      <c r="N982" s="107"/>
      <c r="O982" s="105"/>
      <c r="P982" s="102" t="str">
        <f>IF(R982="","",P979-R982)</f>
        <v/>
      </c>
      <c r="Q982" s="103" t="str">
        <f>IF(S982="","",P979-S982)</f>
        <v/>
      </c>
      <c r="R982" s="104"/>
      <c r="S982" s="104"/>
      <c r="T982" s="105"/>
      <c r="U982" s="108"/>
      <c r="V982" s="109"/>
    </row>
    <row r="983" spans="1:22" ht="9" customHeight="1" x14ac:dyDescent="0.55000000000000004">
      <c r="A983" s="19"/>
      <c r="B983" s="69"/>
      <c r="C983" s="70"/>
      <c r="D983" s="69"/>
      <c r="E983" s="71"/>
      <c r="F983" s="72"/>
      <c r="G983" s="73"/>
      <c r="H983" s="74"/>
      <c r="I983" s="75"/>
      <c r="J983" s="76"/>
      <c r="K983" s="72"/>
      <c r="L983" s="73"/>
      <c r="M983" s="74"/>
      <c r="N983" s="75"/>
      <c r="O983" s="76"/>
      <c r="P983" s="72"/>
      <c r="Q983" s="73"/>
      <c r="R983" s="74"/>
      <c r="S983" s="75"/>
      <c r="T983" s="76"/>
      <c r="U983" s="77" t="str">
        <f>IF(OR(F986="",P986=""),"",B983/(F986-P986))</f>
        <v/>
      </c>
      <c r="V983" s="78"/>
    </row>
    <row r="984" spans="1:22" ht="9" customHeight="1" x14ac:dyDescent="0.55000000000000004">
      <c r="A984" s="79"/>
      <c r="B984" s="80"/>
      <c r="C984" s="81"/>
      <c r="D984" s="80"/>
      <c r="E984" s="82"/>
      <c r="F984" s="83" t="str">
        <f>IF(H986="","",F983-H984)</f>
        <v/>
      </c>
      <c r="G984" s="84" t="str">
        <f>IF(I986="","",F983-I984)</f>
        <v/>
      </c>
      <c r="H984" s="85" t="str">
        <f>IF(OR($A986="集水",$A986="吸水"),0.4,"")</f>
        <v/>
      </c>
      <c r="I984" s="85" t="str">
        <f>IF(OR($A986="集水",$A986="吸水"),0.4,"")</f>
        <v/>
      </c>
      <c r="J984" s="86" t="str">
        <f>IF(G984="","",F984-G984)</f>
        <v/>
      </c>
      <c r="K984" s="83" t="str">
        <f>IF(M986="","",K983-M984)</f>
        <v/>
      </c>
      <c r="L984" s="87" t="str">
        <f>IF(N986="","",K983-N984)</f>
        <v/>
      </c>
      <c r="M984" s="85" t="str">
        <f>IF(M986="","",IF(OR($A986="集水",$A986="吸水"),0.4,""))</f>
        <v/>
      </c>
      <c r="N984" s="85" t="str">
        <f>IF(N986="","",IF(OR($A986="集水",$A986="吸水"),0.4,""))</f>
        <v/>
      </c>
      <c r="O984" s="86" t="str">
        <f>IF(L984="","",K984-L984)</f>
        <v/>
      </c>
      <c r="P984" s="83" t="str">
        <f>IF(R986="","",P983-R984)</f>
        <v/>
      </c>
      <c r="Q984" s="84" t="str">
        <f>IF(S986="","",P983-S984)</f>
        <v/>
      </c>
      <c r="R984" s="85" t="str">
        <f>IF(OR($A986="集水",$A986="吸水"),0.4,"")</f>
        <v/>
      </c>
      <c r="S984" s="85" t="str">
        <f>IF(OR($A986="集水",$A986="吸水"),0.4,"")</f>
        <v/>
      </c>
      <c r="T984" s="86" t="str">
        <f>IF(Q984="","",P984-Q984)</f>
        <v/>
      </c>
      <c r="U984" s="88"/>
      <c r="V984" s="89"/>
    </row>
    <row r="985" spans="1:22" ht="9" customHeight="1" x14ac:dyDescent="0.55000000000000004">
      <c r="A985" s="90"/>
      <c r="B985" s="91"/>
      <c r="C985" s="92" t="str">
        <f>IF(B983="","",B985-B983)</f>
        <v/>
      </c>
      <c r="D985" s="91"/>
      <c r="E985" s="93" t="str">
        <f>IF(D983="","",D985-D983)</f>
        <v/>
      </c>
      <c r="F985" s="94"/>
      <c r="G985" s="85"/>
      <c r="H985" s="85"/>
      <c r="I985" s="95"/>
      <c r="J985" s="86"/>
      <c r="K985" s="94"/>
      <c r="L985" s="85"/>
      <c r="M985" s="85"/>
      <c r="N985" s="95"/>
      <c r="O985" s="86"/>
      <c r="P985" s="94"/>
      <c r="Q985" s="85"/>
      <c r="R985" s="85"/>
      <c r="S985" s="95"/>
      <c r="T985" s="86"/>
      <c r="U985" s="96"/>
      <c r="V985" s="97"/>
    </row>
    <row r="986" spans="1:22" ht="9" customHeight="1" x14ac:dyDescent="0.55000000000000004">
      <c r="A986" s="98"/>
      <c r="B986" s="99"/>
      <c r="C986" s="100"/>
      <c r="D986" s="99"/>
      <c r="E986" s="101"/>
      <c r="F986" s="102" t="str">
        <f>IF(H986="","",F983-H986)</f>
        <v/>
      </c>
      <c r="G986" s="103" t="str">
        <f>IF(I986="","",F983-I986)</f>
        <v/>
      </c>
      <c r="H986" s="104"/>
      <c r="I986" s="104"/>
      <c r="J986" s="105"/>
      <c r="K986" s="106" t="str">
        <f>IF(M986="","",K983-M986)</f>
        <v/>
      </c>
      <c r="L986" s="103" t="str">
        <f>IF(N986="","",K983-N986)</f>
        <v/>
      </c>
      <c r="M986" s="104"/>
      <c r="N986" s="107"/>
      <c r="O986" s="105"/>
      <c r="P986" s="102" t="str">
        <f>IF(R986="","",P983-R986)</f>
        <v/>
      </c>
      <c r="Q986" s="103" t="str">
        <f>IF(S986="","",P983-S986)</f>
        <v/>
      </c>
      <c r="R986" s="104"/>
      <c r="S986" s="104"/>
      <c r="T986" s="105"/>
      <c r="U986" s="108"/>
      <c r="V986" s="109"/>
    </row>
    <row r="987" spans="1:22" ht="9" customHeight="1" x14ac:dyDescent="0.55000000000000004">
      <c r="A987" s="19"/>
      <c r="B987" s="69"/>
      <c r="C987" s="70"/>
      <c r="D987" s="69"/>
      <c r="E987" s="71"/>
      <c r="F987" s="72"/>
      <c r="G987" s="73"/>
      <c r="H987" s="74"/>
      <c r="I987" s="75"/>
      <c r="J987" s="76"/>
      <c r="K987" s="72"/>
      <c r="L987" s="73"/>
      <c r="M987" s="74"/>
      <c r="N987" s="75"/>
      <c r="O987" s="76"/>
      <c r="P987" s="72"/>
      <c r="Q987" s="73"/>
      <c r="R987" s="74"/>
      <c r="S987" s="75"/>
      <c r="T987" s="76"/>
      <c r="U987" s="77" t="str">
        <f>IF(OR(F990="",P990=""),"",B987/(F990-P990))</f>
        <v/>
      </c>
      <c r="V987" s="78"/>
    </row>
    <row r="988" spans="1:22" ht="9" customHeight="1" x14ac:dyDescent="0.55000000000000004">
      <c r="A988" s="79"/>
      <c r="B988" s="80"/>
      <c r="C988" s="81"/>
      <c r="D988" s="80"/>
      <c r="E988" s="82"/>
      <c r="F988" s="83" t="str">
        <f>IF(H990="","",F987-H988)</f>
        <v/>
      </c>
      <c r="G988" s="84" t="str">
        <f>IF(I990="","",F987-I988)</f>
        <v/>
      </c>
      <c r="H988" s="85" t="str">
        <f>IF(OR($A990="集水",$A990="吸水"),0.4,"")</f>
        <v/>
      </c>
      <c r="I988" s="85" t="str">
        <f>IF(OR($A990="集水",$A990="吸水"),0.4,"")</f>
        <v/>
      </c>
      <c r="J988" s="86" t="str">
        <f>IF(G988="","",F988-G988)</f>
        <v/>
      </c>
      <c r="K988" s="83" t="str">
        <f>IF(M990="","",K987-M988)</f>
        <v/>
      </c>
      <c r="L988" s="87" t="str">
        <f>IF(N990="","",K987-N988)</f>
        <v/>
      </c>
      <c r="M988" s="85" t="str">
        <f>IF(M990="","",IF(OR($A990="集水",$A990="吸水"),0.4,""))</f>
        <v/>
      </c>
      <c r="N988" s="85" t="str">
        <f>IF(N990="","",IF(OR($A990="集水",$A990="吸水"),0.4,""))</f>
        <v/>
      </c>
      <c r="O988" s="86" t="str">
        <f>IF(L988="","",K988-L988)</f>
        <v/>
      </c>
      <c r="P988" s="83" t="str">
        <f>IF(R990="","",P987-R988)</f>
        <v/>
      </c>
      <c r="Q988" s="84" t="str">
        <f>IF(S990="","",P987-S988)</f>
        <v/>
      </c>
      <c r="R988" s="85" t="str">
        <f>IF(OR($A990="集水",$A990="吸水"),0.4,"")</f>
        <v/>
      </c>
      <c r="S988" s="85" t="str">
        <f>IF(OR($A990="集水",$A990="吸水"),0.4,"")</f>
        <v/>
      </c>
      <c r="T988" s="86" t="str">
        <f>IF(Q988="","",P988-Q988)</f>
        <v/>
      </c>
      <c r="U988" s="88"/>
      <c r="V988" s="89"/>
    </row>
    <row r="989" spans="1:22" ht="9" customHeight="1" x14ac:dyDescent="0.55000000000000004">
      <c r="A989" s="90"/>
      <c r="B989" s="91"/>
      <c r="C989" s="92" t="str">
        <f>IF(B987="","",B989-B987)</f>
        <v/>
      </c>
      <c r="D989" s="91"/>
      <c r="E989" s="93" t="str">
        <f>IF(D987="","",D989-D987)</f>
        <v/>
      </c>
      <c r="F989" s="94"/>
      <c r="G989" s="85"/>
      <c r="H989" s="85"/>
      <c r="I989" s="95"/>
      <c r="J989" s="86"/>
      <c r="K989" s="94"/>
      <c r="L989" s="85"/>
      <c r="M989" s="85"/>
      <c r="N989" s="95"/>
      <c r="O989" s="86"/>
      <c r="P989" s="94"/>
      <c r="Q989" s="85"/>
      <c r="R989" s="85"/>
      <c r="S989" s="95"/>
      <c r="T989" s="86"/>
      <c r="U989" s="96"/>
      <c r="V989" s="97"/>
    </row>
    <row r="990" spans="1:22" ht="9" customHeight="1" x14ac:dyDescent="0.55000000000000004">
      <c r="A990" s="98"/>
      <c r="B990" s="99"/>
      <c r="C990" s="100"/>
      <c r="D990" s="99"/>
      <c r="E990" s="101"/>
      <c r="F990" s="102" t="str">
        <f>IF(H990="","",F987-H990)</f>
        <v/>
      </c>
      <c r="G990" s="103" t="str">
        <f>IF(I990="","",F987-I990)</f>
        <v/>
      </c>
      <c r="H990" s="104"/>
      <c r="I990" s="104"/>
      <c r="J990" s="105"/>
      <c r="K990" s="106" t="str">
        <f>IF(M990="","",K987-M990)</f>
        <v/>
      </c>
      <c r="L990" s="103" t="str">
        <f>IF(N990="","",K987-N990)</f>
        <v/>
      </c>
      <c r="M990" s="104"/>
      <c r="N990" s="107"/>
      <c r="O990" s="105"/>
      <c r="P990" s="102" t="str">
        <f>IF(R990="","",P987-R990)</f>
        <v/>
      </c>
      <c r="Q990" s="103" t="str">
        <f>IF(S990="","",P987-S990)</f>
        <v/>
      </c>
      <c r="R990" s="104"/>
      <c r="S990" s="104"/>
      <c r="T990" s="105"/>
      <c r="U990" s="108"/>
      <c r="V990" s="109"/>
    </row>
    <row r="991" spans="1:22" ht="9" customHeight="1" x14ac:dyDescent="0.55000000000000004">
      <c r="A991" s="19"/>
      <c r="B991" s="69"/>
      <c r="C991" s="70"/>
      <c r="D991" s="69"/>
      <c r="E991" s="71"/>
      <c r="F991" s="72"/>
      <c r="G991" s="73"/>
      <c r="H991" s="74"/>
      <c r="I991" s="75"/>
      <c r="J991" s="76"/>
      <c r="K991" s="72"/>
      <c r="L991" s="73"/>
      <c r="M991" s="74"/>
      <c r="N991" s="75"/>
      <c r="O991" s="76"/>
      <c r="P991" s="72"/>
      <c r="Q991" s="73"/>
      <c r="R991" s="74"/>
      <c r="S991" s="75"/>
      <c r="T991" s="76"/>
      <c r="U991" s="77" t="str">
        <f>IF(OR(F994="",P994=""),"",B991/(F994-P994))</f>
        <v/>
      </c>
      <c r="V991" s="78"/>
    </row>
    <row r="992" spans="1:22" ht="9" customHeight="1" x14ac:dyDescent="0.55000000000000004">
      <c r="A992" s="79"/>
      <c r="B992" s="80"/>
      <c r="C992" s="81"/>
      <c r="D992" s="80"/>
      <c r="E992" s="82"/>
      <c r="F992" s="83" t="str">
        <f>IF(H994="","",F991-H992)</f>
        <v/>
      </c>
      <c r="G992" s="84" t="str">
        <f>IF(I994="","",F991-I992)</f>
        <v/>
      </c>
      <c r="H992" s="85" t="str">
        <f>IF(OR($A994="集水",$A994="吸水"),0.4,"")</f>
        <v/>
      </c>
      <c r="I992" s="85" t="str">
        <f>IF(OR($A994="集水",$A994="吸水"),0.4,"")</f>
        <v/>
      </c>
      <c r="J992" s="86" t="str">
        <f>IF(G992="","",F992-G992)</f>
        <v/>
      </c>
      <c r="K992" s="83" t="str">
        <f>IF(M994="","",K991-M992)</f>
        <v/>
      </c>
      <c r="L992" s="87" t="str">
        <f>IF(N994="","",K991-N992)</f>
        <v/>
      </c>
      <c r="M992" s="85" t="str">
        <f>IF(M994="","",IF(OR($A994="集水",$A994="吸水"),0.4,""))</f>
        <v/>
      </c>
      <c r="N992" s="85" t="str">
        <f>IF(N994="","",IF(OR($A994="集水",$A994="吸水"),0.4,""))</f>
        <v/>
      </c>
      <c r="O992" s="86" t="str">
        <f>IF(L992="","",K992-L992)</f>
        <v/>
      </c>
      <c r="P992" s="83" t="str">
        <f>IF(R994="","",P991-R992)</f>
        <v/>
      </c>
      <c r="Q992" s="84" t="str">
        <f>IF(S994="","",P991-S992)</f>
        <v/>
      </c>
      <c r="R992" s="85" t="str">
        <f>IF(OR($A994="集水",$A994="吸水"),0.4,"")</f>
        <v/>
      </c>
      <c r="S992" s="85" t="str">
        <f>IF(OR($A994="集水",$A994="吸水"),0.4,"")</f>
        <v/>
      </c>
      <c r="T992" s="86" t="str">
        <f>IF(Q992="","",P992-Q992)</f>
        <v/>
      </c>
      <c r="U992" s="88"/>
      <c r="V992" s="89"/>
    </row>
    <row r="993" spans="1:22" ht="9" customHeight="1" x14ac:dyDescent="0.55000000000000004">
      <c r="A993" s="90"/>
      <c r="B993" s="91"/>
      <c r="C993" s="92" t="str">
        <f>IF(B991="","",B993-B991)</f>
        <v/>
      </c>
      <c r="D993" s="91"/>
      <c r="E993" s="93" t="str">
        <f>IF(D991="","",D993-D991)</f>
        <v/>
      </c>
      <c r="F993" s="94"/>
      <c r="G993" s="85"/>
      <c r="H993" s="85"/>
      <c r="I993" s="95"/>
      <c r="J993" s="86"/>
      <c r="K993" s="94"/>
      <c r="L993" s="85"/>
      <c r="M993" s="85"/>
      <c r="N993" s="95"/>
      <c r="O993" s="86"/>
      <c r="P993" s="94"/>
      <c r="Q993" s="85"/>
      <c r="R993" s="85"/>
      <c r="S993" s="95"/>
      <c r="T993" s="86"/>
      <c r="U993" s="96"/>
      <c r="V993" s="97"/>
    </row>
    <row r="994" spans="1:22" ht="9" customHeight="1" x14ac:dyDescent="0.55000000000000004">
      <c r="A994" s="98"/>
      <c r="B994" s="99"/>
      <c r="C994" s="100"/>
      <c r="D994" s="99"/>
      <c r="E994" s="101"/>
      <c r="F994" s="102" t="str">
        <f>IF(H994="","",F991-H994)</f>
        <v/>
      </c>
      <c r="G994" s="103" t="str">
        <f>IF(I994="","",F991-I994)</f>
        <v/>
      </c>
      <c r="H994" s="104"/>
      <c r="I994" s="104"/>
      <c r="J994" s="105"/>
      <c r="K994" s="106" t="str">
        <f>IF(M994="","",K991-M994)</f>
        <v/>
      </c>
      <c r="L994" s="103" t="str">
        <f>IF(N994="","",K991-N994)</f>
        <v/>
      </c>
      <c r="M994" s="104"/>
      <c r="N994" s="107"/>
      <c r="O994" s="105"/>
      <c r="P994" s="102" t="str">
        <f>IF(R994="","",P991-R994)</f>
        <v/>
      </c>
      <c r="Q994" s="103" t="str">
        <f>IF(S994="","",P991-S994)</f>
        <v/>
      </c>
      <c r="R994" s="104"/>
      <c r="S994" s="104"/>
      <c r="T994" s="105"/>
      <c r="U994" s="108"/>
      <c r="V994" s="109"/>
    </row>
    <row r="995" spans="1:22" ht="9" customHeight="1" x14ac:dyDescent="0.55000000000000004">
      <c r="A995" s="19"/>
      <c r="B995" s="69"/>
      <c r="C995" s="70"/>
      <c r="D995" s="69"/>
      <c r="E995" s="71"/>
      <c r="F995" s="72"/>
      <c r="G995" s="73"/>
      <c r="H995" s="74"/>
      <c r="I995" s="75"/>
      <c r="J995" s="76"/>
      <c r="K995" s="72"/>
      <c r="L995" s="73"/>
      <c r="M995" s="74"/>
      <c r="N995" s="75"/>
      <c r="O995" s="76"/>
      <c r="P995" s="72"/>
      <c r="Q995" s="73"/>
      <c r="R995" s="74"/>
      <c r="S995" s="75"/>
      <c r="T995" s="76"/>
      <c r="U995" s="77" t="str">
        <f>IF(OR(F998="",P998=""),"",B995/(F998-P998))</f>
        <v/>
      </c>
      <c r="V995" s="78"/>
    </row>
    <row r="996" spans="1:22" ht="9" customHeight="1" x14ac:dyDescent="0.55000000000000004">
      <c r="A996" s="79"/>
      <c r="B996" s="80"/>
      <c r="C996" s="81"/>
      <c r="D996" s="80"/>
      <c r="E996" s="82"/>
      <c r="F996" s="83" t="str">
        <f>IF(H998="","",F995-H996)</f>
        <v/>
      </c>
      <c r="G996" s="84" t="str">
        <f>IF(I998="","",F995-I996)</f>
        <v/>
      </c>
      <c r="H996" s="85" t="str">
        <f>IF(OR($A998="集水",$A998="吸水"),0.4,"")</f>
        <v/>
      </c>
      <c r="I996" s="85" t="str">
        <f>IF(OR($A998="集水",$A998="吸水"),0.4,"")</f>
        <v/>
      </c>
      <c r="J996" s="86" t="str">
        <f>IF(G996="","",F996-G996)</f>
        <v/>
      </c>
      <c r="K996" s="83" t="str">
        <f>IF(M998="","",K995-M996)</f>
        <v/>
      </c>
      <c r="L996" s="87" t="str">
        <f>IF(N998="","",K995-N996)</f>
        <v/>
      </c>
      <c r="M996" s="85" t="str">
        <f>IF(M998="","",IF(OR($A998="集水",$A998="吸水"),0.4,""))</f>
        <v/>
      </c>
      <c r="N996" s="85" t="str">
        <f>IF(N998="","",IF(OR($A998="集水",$A998="吸水"),0.4,""))</f>
        <v/>
      </c>
      <c r="O996" s="86" t="str">
        <f>IF(L996="","",K996-L996)</f>
        <v/>
      </c>
      <c r="P996" s="83" t="str">
        <f>IF(R998="","",P995-R996)</f>
        <v/>
      </c>
      <c r="Q996" s="84" t="str">
        <f>IF(S998="","",P995-S996)</f>
        <v/>
      </c>
      <c r="R996" s="85" t="str">
        <f>IF(OR($A998="集水",$A998="吸水"),0.4,"")</f>
        <v/>
      </c>
      <c r="S996" s="85" t="str">
        <f>IF(OR($A998="集水",$A998="吸水"),0.4,"")</f>
        <v/>
      </c>
      <c r="T996" s="86" t="str">
        <f>IF(Q996="","",P996-Q996)</f>
        <v/>
      </c>
      <c r="U996" s="88"/>
      <c r="V996" s="89"/>
    </row>
    <row r="997" spans="1:22" ht="9" customHeight="1" x14ac:dyDescent="0.55000000000000004">
      <c r="A997" s="90"/>
      <c r="B997" s="91"/>
      <c r="C997" s="92" t="str">
        <f>IF(B995="","",B997-B995)</f>
        <v/>
      </c>
      <c r="D997" s="91"/>
      <c r="E997" s="93" t="str">
        <f>IF(D995="","",D997-D995)</f>
        <v/>
      </c>
      <c r="F997" s="94"/>
      <c r="G997" s="85"/>
      <c r="H997" s="85"/>
      <c r="I997" s="95"/>
      <c r="J997" s="86"/>
      <c r="K997" s="94"/>
      <c r="L997" s="85"/>
      <c r="M997" s="85"/>
      <c r="N997" s="95"/>
      <c r="O997" s="86"/>
      <c r="P997" s="94"/>
      <c r="Q997" s="85"/>
      <c r="R997" s="85"/>
      <c r="S997" s="95"/>
      <c r="T997" s="86"/>
      <c r="U997" s="96"/>
      <c r="V997" s="97"/>
    </row>
    <row r="998" spans="1:22" ht="9" customHeight="1" x14ac:dyDescent="0.55000000000000004">
      <c r="A998" s="98"/>
      <c r="B998" s="99"/>
      <c r="C998" s="100"/>
      <c r="D998" s="99"/>
      <c r="E998" s="101"/>
      <c r="F998" s="102" t="str">
        <f>IF(H998="","",F995-H998)</f>
        <v/>
      </c>
      <c r="G998" s="103" t="str">
        <f>IF(I998="","",F995-I998)</f>
        <v/>
      </c>
      <c r="H998" s="104"/>
      <c r="I998" s="104"/>
      <c r="J998" s="105"/>
      <c r="K998" s="106" t="str">
        <f>IF(M998="","",K995-M998)</f>
        <v/>
      </c>
      <c r="L998" s="103" t="str">
        <f>IF(N998="","",K995-N998)</f>
        <v/>
      </c>
      <c r="M998" s="104"/>
      <c r="N998" s="107"/>
      <c r="O998" s="105"/>
      <c r="P998" s="102" t="str">
        <f>IF(R998="","",P995-R998)</f>
        <v/>
      </c>
      <c r="Q998" s="103" t="str">
        <f>IF(S998="","",P995-S998)</f>
        <v/>
      </c>
      <c r="R998" s="104"/>
      <c r="S998" s="104"/>
      <c r="T998" s="105"/>
      <c r="U998" s="108"/>
      <c r="V998" s="109"/>
    </row>
    <row r="999" spans="1:22" ht="9" customHeight="1" x14ac:dyDescent="0.55000000000000004">
      <c r="A999" s="19"/>
      <c r="B999" s="69"/>
      <c r="C999" s="70"/>
      <c r="D999" s="69"/>
      <c r="E999" s="71"/>
      <c r="F999" s="72"/>
      <c r="G999" s="73"/>
      <c r="H999" s="74"/>
      <c r="I999" s="75"/>
      <c r="J999" s="76"/>
      <c r="K999" s="72"/>
      <c r="L999" s="73"/>
      <c r="M999" s="74"/>
      <c r="N999" s="75"/>
      <c r="O999" s="76"/>
      <c r="P999" s="72"/>
      <c r="Q999" s="73"/>
      <c r="R999" s="74"/>
      <c r="S999" s="75"/>
      <c r="T999" s="76"/>
      <c r="U999" s="77" t="str">
        <f>IF(OR(F1002="",P1002=""),"",B999/(F1002-P1002))</f>
        <v/>
      </c>
      <c r="V999" s="78"/>
    </row>
    <row r="1000" spans="1:22" ht="9" customHeight="1" x14ac:dyDescent="0.55000000000000004">
      <c r="A1000" s="79"/>
      <c r="B1000" s="80"/>
      <c r="C1000" s="81"/>
      <c r="D1000" s="80"/>
      <c r="E1000" s="82"/>
      <c r="F1000" s="83" t="str">
        <f>IF(H1002="","",F999-H1000)</f>
        <v/>
      </c>
      <c r="G1000" s="84" t="str">
        <f>IF(I1002="","",F999-I1000)</f>
        <v/>
      </c>
      <c r="H1000" s="85" t="str">
        <f>IF(OR($A1002="集水",$A1002="吸水"),0.4,"")</f>
        <v/>
      </c>
      <c r="I1000" s="85" t="str">
        <f>IF(OR($A1002="集水",$A1002="吸水"),0.4,"")</f>
        <v/>
      </c>
      <c r="J1000" s="86" t="str">
        <f>IF(G1000="","",F1000-G1000)</f>
        <v/>
      </c>
      <c r="K1000" s="83" t="str">
        <f>IF(M1002="","",K999-M1000)</f>
        <v/>
      </c>
      <c r="L1000" s="87" t="str">
        <f>IF(N1002="","",K999-N1000)</f>
        <v/>
      </c>
      <c r="M1000" s="85" t="str">
        <f>IF(M1002="","",IF(OR($A1002="集水",$A1002="吸水"),0.4,""))</f>
        <v/>
      </c>
      <c r="N1000" s="85" t="str">
        <f>IF(N1002="","",IF(OR($A1002="集水",$A1002="吸水"),0.4,""))</f>
        <v/>
      </c>
      <c r="O1000" s="86" t="str">
        <f>IF(L1000="","",K1000-L1000)</f>
        <v/>
      </c>
      <c r="P1000" s="83" t="str">
        <f>IF(R1002="","",P999-R1000)</f>
        <v/>
      </c>
      <c r="Q1000" s="84" t="str">
        <f>IF(S1002="","",P999-S1000)</f>
        <v/>
      </c>
      <c r="R1000" s="85" t="str">
        <f>IF(OR($A1002="集水",$A1002="吸水"),0.4,"")</f>
        <v/>
      </c>
      <c r="S1000" s="85" t="str">
        <f>IF(OR($A1002="集水",$A1002="吸水"),0.4,"")</f>
        <v/>
      </c>
      <c r="T1000" s="86" t="str">
        <f>IF(Q1000="","",P1000-Q1000)</f>
        <v/>
      </c>
      <c r="U1000" s="88"/>
      <c r="V1000" s="89"/>
    </row>
    <row r="1001" spans="1:22" ht="9" customHeight="1" x14ac:dyDescent="0.55000000000000004">
      <c r="A1001" s="90"/>
      <c r="B1001" s="91"/>
      <c r="C1001" s="92" t="str">
        <f>IF(B999="","",B1001-B999)</f>
        <v/>
      </c>
      <c r="D1001" s="91"/>
      <c r="E1001" s="93" t="str">
        <f>IF(D999="","",D1001-D999)</f>
        <v/>
      </c>
      <c r="F1001" s="94"/>
      <c r="G1001" s="85"/>
      <c r="H1001" s="85"/>
      <c r="I1001" s="95"/>
      <c r="J1001" s="86"/>
      <c r="K1001" s="94"/>
      <c r="L1001" s="85"/>
      <c r="M1001" s="85"/>
      <c r="N1001" s="95"/>
      <c r="O1001" s="86"/>
      <c r="P1001" s="94"/>
      <c r="Q1001" s="85"/>
      <c r="R1001" s="85"/>
      <c r="S1001" s="95"/>
      <c r="T1001" s="86"/>
      <c r="U1001" s="96"/>
      <c r="V1001" s="97"/>
    </row>
    <row r="1002" spans="1:22" ht="9" customHeight="1" x14ac:dyDescent="0.55000000000000004">
      <c r="A1002" s="98"/>
      <c r="B1002" s="99"/>
      <c r="C1002" s="100"/>
      <c r="D1002" s="99"/>
      <c r="E1002" s="101"/>
      <c r="F1002" s="102" t="str">
        <f>IF(H1002="","",F999-H1002)</f>
        <v/>
      </c>
      <c r="G1002" s="103" t="str">
        <f>IF(I1002="","",F999-I1002)</f>
        <v/>
      </c>
      <c r="H1002" s="104"/>
      <c r="I1002" s="104"/>
      <c r="J1002" s="105"/>
      <c r="K1002" s="106" t="str">
        <f>IF(M1002="","",K999-M1002)</f>
        <v/>
      </c>
      <c r="L1002" s="103" t="str">
        <f>IF(N1002="","",K999-N1002)</f>
        <v/>
      </c>
      <c r="M1002" s="104"/>
      <c r="N1002" s="107"/>
      <c r="O1002" s="105"/>
      <c r="P1002" s="102" t="str">
        <f>IF(R1002="","",P999-R1002)</f>
        <v/>
      </c>
      <c r="Q1002" s="103" t="str">
        <f>IF(S1002="","",P999-S1002)</f>
        <v/>
      </c>
      <c r="R1002" s="104"/>
      <c r="S1002" s="104"/>
      <c r="T1002" s="105"/>
      <c r="U1002" s="108"/>
      <c r="V1002" s="109"/>
    </row>
    <row r="1003" spans="1:22" ht="9" customHeight="1" x14ac:dyDescent="0.55000000000000004">
      <c r="A1003" s="19"/>
      <c r="B1003" s="69"/>
      <c r="C1003" s="70"/>
      <c r="D1003" s="69"/>
      <c r="E1003" s="71"/>
      <c r="F1003" s="72"/>
      <c r="G1003" s="73"/>
      <c r="H1003" s="74"/>
      <c r="I1003" s="75"/>
      <c r="J1003" s="76"/>
      <c r="K1003" s="72"/>
      <c r="L1003" s="73"/>
      <c r="M1003" s="74"/>
      <c r="N1003" s="75"/>
      <c r="O1003" s="76"/>
      <c r="P1003" s="72"/>
      <c r="Q1003" s="73"/>
      <c r="R1003" s="74"/>
      <c r="S1003" s="75"/>
      <c r="T1003" s="76"/>
      <c r="U1003" s="77" t="str">
        <f>IF(OR(F1006="",P1006=""),"",B1003/(F1006-P1006))</f>
        <v/>
      </c>
      <c r="V1003" s="78"/>
    </row>
    <row r="1004" spans="1:22" ht="9" customHeight="1" x14ac:dyDescent="0.55000000000000004">
      <c r="A1004" s="79"/>
      <c r="B1004" s="80"/>
      <c r="C1004" s="81"/>
      <c r="D1004" s="80"/>
      <c r="E1004" s="82"/>
      <c r="F1004" s="83" t="str">
        <f>IF(H1006="","",F1003-H1004)</f>
        <v/>
      </c>
      <c r="G1004" s="84" t="str">
        <f>IF(I1006="","",F1003-I1004)</f>
        <v/>
      </c>
      <c r="H1004" s="85" t="str">
        <f>IF(OR($A1006="集水",$A1006="吸水"),0.4,"")</f>
        <v/>
      </c>
      <c r="I1004" s="85" t="str">
        <f>IF(OR($A1006="集水",$A1006="吸水"),0.4,"")</f>
        <v/>
      </c>
      <c r="J1004" s="86" t="str">
        <f>IF(G1004="","",F1004-G1004)</f>
        <v/>
      </c>
      <c r="K1004" s="83" t="str">
        <f>IF(M1006="","",K1003-M1004)</f>
        <v/>
      </c>
      <c r="L1004" s="87" t="str">
        <f>IF(N1006="","",K1003-N1004)</f>
        <v/>
      </c>
      <c r="M1004" s="85" t="str">
        <f>IF(M1006="","",IF(OR($A1006="集水",$A1006="吸水"),0.4,""))</f>
        <v/>
      </c>
      <c r="N1004" s="85" t="str">
        <f>IF(N1006="","",IF(OR($A1006="集水",$A1006="吸水"),0.4,""))</f>
        <v/>
      </c>
      <c r="O1004" s="86" t="str">
        <f>IF(L1004="","",K1004-L1004)</f>
        <v/>
      </c>
      <c r="P1004" s="83" t="str">
        <f>IF(R1006="","",P1003-R1004)</f>
        <v/>
      </c>
      <c r="Q1004" s="84" t="str">
        <f>IF(S1006="","",P1003-S1004)</f>
        <v/>
      </c>
      <c r="R1004" s="85" t="str">
        <f>IF(OR($A1006="集水",$A1006="吸水"),0.4,"")</f>
        <v/>
      </c>
      <c r="S1004" s="85" t="str">
        <f>IF(OR($A1006="集水",$A1006="吸水"),0.4,"")</f>
        <v/>
      </c>
      <c r="T1004" s="86" t="str">
        <f>IF(Q1004="","",P1004-Q1004)</f>
        <v/>
      </c>
      <c r="U1004" s="88"/>
      <c r="V1004" s="89"/>
    </row>
    <row r="1005" spans="1:22" ht="9" customHeight="1" x14ac:dyDescent="0.55000000000000004">
      <c r="A1005" s="90"/>
      <c r="B1005" s="91"/>
      <c r="C1005" s="92" t="str">
        <f>IF(B1003="","",B1005-B1003)</f>
        <v/>
      </c>
      <c r="D1005" s="91"/>
      <c r="E1005" s="93" t="str">
        <f>IF(D1003="","",D1005-D1003)</f>
        <v/>
      </c>
      <c r="F1005" s="94"/>
      <c r="G1005" s="85"/>
      <c r="H1005" s="85"/>
      <c r="I1005" s="95"/>
      <c r="J1005" s="86"/>
      <c r="K1005" s="94"/>
      <c r="L1005" s="85"/>
      <c r="M1005" s="85"/>
      <c r="N1005" s="95"/>
      <c r="O1005" s="86"/>
      <c r="P1005" s="94"/>
      <c r="Q1005" s="85"/>
      <c r="R1005" s="85"/>
      <c r="S1005" s="95"/>
      <c r="T1005" s="86"/>
      <c r="U1005" s="96"/>
      <c r="V1005" s="97"/>
    </row>
    <row r="1006" spans="1:22" ht="9" customHeight="1" x14ac:dyDescent="0.55000000000000004">
      <c r="A1006" s="98"/>
      <c r="B1006" s="99"/>
      <c r="C1006" s="100"/>
      <c r="D1006" s="99"/>
      <c r="E1006" s="101"/>
      <c r="F1006" s="102" t="str">
        <f>IF(H1006="","",F1003-H1006)</f>
        <v/>
      </c>
      <c r="G1006" s="103" t="str">
        <f>IF(I1006="","",F1003-I1006)</f>
        <v/>
      </c>
      <c r="H1006" s="104"/>
      <c r="I1006" s="104"/>
      <c r="J1006" s="105"/>
      <c r="K1006" s="106" t="str">
        <f>IF(M1006="","",K1003-M1006)</f>
        <v/>
      </c>
      <c r="L1006" s="103" t="str">
        <f>IF(N1006="","",K1003-N1006)</f>
        <v/>
      </c>
      <c r="M1006" s="104"/>
      <c r="N1006" s="107"/>
      <c r="O1006" s="105"/>
      <c r="P1006" s="102" t="str">
        <f>IF(R1006="","",P1003-R1006)</f>
        <v/>
      </c>
      <c r="Q1006" s="103" t="str">
        <f>IF(S1006="","",P1003-S1006)</f>
        <v/>
      </c>
      <c r="R1006" s="104"/>
      <c r="S1006" s="104"/>
      <c r="T1006" s="105"/>
      <c r="U1006" s="108"/>
      <c r="V1006" s="109"/>
    </row>
    <row r="1007" spans="1:22" ht="9" customHeight="1" x14ac:dyDescent="0.55000000000000004">
      <c r="A1007" s="19"/>
      <c r="B1007" s="69"/>
      <c r="C1007" s="70"/>
      <c r="D1007" s="69"/>
      <c r="E1007" s="71"/>
      <c r="F1007" s="72"/>
      <c r="G1007" s="73"/>
      <c r="H1007" s="74"/>
      <c r="I1007" s="75"/>
      <c r="J1007" s="76"/>
      <c r="K1007" s="72"/>
      <c r="L1007" s="73"/>
      <c r="M1007" s="74"/>
      <c r="N1007" s="75"/>
      <c r="O1007" s="76"/>
      <c r="P1007" s="72"/>
      <c r="Q1007" s="73"/>
      <c r="R1007" s="74"/>
      <c r="S1007" s="75"/>
      <c r="T1007" s="76"/>
      <c r="U1007" s="77" t="str">
        <f>IF(OR(F1010="",P1010=""),"",B1007/(F1010-P1010))</f>
        <v/>
      </c>
      <c r="V1007" s="78"/>
    </row>
    <row r="1008" spans="1:22" ht="9" customHeight="1" x14ac:dyDescent="0.55000000000000004">
      <c r="A1008" s="79"/>
      <c r="B1008" s="80"/>
      <c r="C1008" s="81"/>
      <c r="D1008" s="80"/>
      <c r="E1008" s="82"/>
      <c r="F1008" s="83" t="str">
        <f>IF(H1010="","",F1007-H1008)</f>
        <v/>
      </c>
      <c r="G1008" s="84" t="str">
        <f>IF(I1010="","",F1007-I1008)</f>
        <v/>
      </c>
      <c r="H1008" s="85" t="str">
        <f>IF(OR($A1010="集水",$A1010="吸水"),0.4,"")</f>
        <v/>
      </c>
      <c r="I1008" s="85" t="str">
        <f>IF(OR($A1010="集水",$A1010="吸水"),0.4,"")</f>
        <v/>
      </c>
      <c r="J1008" s="86" t="str">
        <f>IF(G1008="","",F1008-G1008)</f>
        <v/>
      </c>
      <c r="K1008" s="83" t="str">
        <f>IF(M1010="","",K1007-M1008)</f>
        <v/>
      </c>
      <c r="L1008" s="87" t="str">
        <f>IF(N1010="","",K1007-N1008)</f>
        <v/>
      </c>
      <c r="M1008" s="85" t="str">
        <f>IF(M1010="","",IF(OR($A1010="集水",$A1010="吸水"),0.4,""))</f>
        <v/>
      </c>
      <c r="N1008" s="85" t="str">
        <f>IF(N1010="","",IF(OR($A1010="集水",$A1010="吸水"),0.4,""))</f>
        <v/>
      </c>
      <c r="O1008" s="86" t="str">
        <f>IF(L1008="","",K1008-L1008)</f>
        <v/>
      </c>
      <c r="P1008" s="83" t="str">
        <f>IF(R1010="","",P1007-R1008)</f>
        <v/>
      </c>
      <c r="Q1008" s="84" t="str">
        <f>IF(S1010="","",P1007-S1008)</f>
        <v/>
      </c>
      <c r="R1008" s="85" t="str">
        <f>IF(OR($A1010="集水",$A1010="吸水"),0.4,"")</f>
        <v/>
      </c>
      <c r="S1008" s="85" t="str">
        <f>IF(OR($A1010="集水",$A1010="吸水"),0.4,"")</f>
        <v/>
      </c>
      <c r="T1008" s="86" t="str">
        <f>IF(Q1008="","",P1008-Q1008)</f>
        <v/>
      </c>
      <c r="U1008" s="88"/>
      <c r="V1008" s="89"/>
    </row>
    <row r="1009" spans="1:22" ht="9" customHeight="1" x14ac:dyDescent="0.55000000000000004">
      <c r="A1009" s="90"/>
      <c r="B1009" s="91"/>
      <c r="C1009" s="92" t="str">
        <f>IF(B1007="","",B1009-B1007)</f>
        <v/>
      </c>
      <c r="D1009" s="91"/>
      <c r="E1009" s="93" t="str">
        <f>IF(D1007="","",D1009-D1007)</f>
        <v/>
      </c>
      <c r="F1009" s="94"/>
      <c r="G1009" s="85"/>
      <c r="H1009" s="85"/>
      <c r="I1009" s="95"/>
      <c r="J1009" s="86"/>
      <c r="K1009" s="94"/>
      <c r="L1009" s="85"/>
      <c r="M1009" s="85"/>
      <c r="N1009" s="95"/>
      <c r="O1009" s="86"/>
      <c r="P1009" s="94"/>
      <c r="Q1009" s="85"/>
      <c r="R1009" s="85"/>
      <c r="S1009" s="95"/>
      <c r="T1009" s="86"/>
      <c r="U1009" s="96"/>
      <c r="V1009" s="97"/>
    </row>
    <row r="1010" spans="1:22" ht="9" customHeight="1" x14ac:dyDescent="0.55000000000000004">
      <c r="A1010" s="98"/>
      <c r="B1010" s="99"/>
      <c r="C1010" s="100"/>
      <c r="D1010" s="99"/>
      <c r="E1010" s="101"/>
      <c r="F1010" s="102" t="str">
        <f>IF(H1010="","",F1007-H1010)</f>
        <v/>
      </c>
      <c r="G1010" s="103" t="str">
        <f>IF(I1010="","",F1007-I1010)</f>
        <v/>
      </c>
      <c r="H1010" s="104"/>
      <c r="I1010" s="104"/>
      <c r="J1010" s="105"/>
      <c r="K1010" s="106" t="str">
        <f>IF(M1010="","",K1007-M1010)</f>
        <v/>
      </c>
      <c r="L1010" s="103" t="str">
        <f>IF(N1010="","",K1007-N1010)</f>
        <v/>
      </c>
      <c r="M1010" s="104"/>
      <c r="N1010" s="107"/>
      <c r="O1010" s="105"/>
      <c r="P1010" s="102" t="str">
        <f>IF(R1010="","",P1007-R1010)</f>
        <v/>
      </c>
      <c r="Q1010" s="103" t="str">
        <f>IF(S1010="","",P1007-S1010)</f>
        <v/>
      </c>
      <c r="R1010" s="104"/>
      <c r="S1010" s="104"/>
      <c r="T1010" s="105"/>
      <c r="U1010" s="108"/>
      <c r="V1010" s="109"/>
    </row>
    <row r="1011" spans="1:22" ht="9" customHeight="1" x14ac:dyDescent="0.55000000000000004">
      <c r="A1011" s="19"/>
      <c r="B1011" s="69"/>
      <c r="C1011" s="70"/>
      <c r="D1011" s="69"/>
      <c r="E1011" s="71"/>
      <c r="F1011" s="72"/>
      <c r="G1011" s="73"/>
      <c r="H1011" s="74"/>
      <c r="I1011" s="75"/>
      <c r="J1011" s="76"/>
      <c r="K1011" s="72"/>
      <c r="L1011" s="73"/>
      <c r="M1011" s="74"/>
      <c r="N1011" s="75"/>
      <c r="O1011" s="76"/>
      <c r="P1011" s="72"/>
      <c r="Q1011" s="73"/>
      <c r="R1011" s="74"/>
      <c r="S1011" s="75"/>
      <c r="T1011" s="76"/>
      <c r="U1011" s="77" t="str">
        <f>IF(OR(F1014="",P1014=""),"",B1011/(F1014-P1014))</f>
        <v/>
      </c>
      <c r="V1011" s="78"/>
    </row>
    <row r="1012" spans="1:22" ht="9" customHeight="1" x14ac:dyDescent="0.55000000000000004">
      <c r="A1012" s="79"/>
      <c r="B1012" s="80"/>
      <c r="C1012" s="81"/>
      <c r="D1012" s="80"/>
      <c r="E1012" s="82"/>
      <c r="F1012" s="83" t="str">
        <f>IF(H1014="","",F1011-H1012)</f>
        <v/>
      </c>
      <c r="G1012" s="84" t="str">
        <f>IF(I1014="","",F1011-I1012)</f>
        <v/>
      </c>
      <c r="H1012" s="85" t="str">
        <f>IF(OR($A1014="集水",$A1014="吸水"),0.4,"")</f>
        <v/>
      </c>
      <c r="I1012" s="85" t="str">
        <f>IF(OR($A1014="集水",$A1014="吸水"),0.4,"")</f>
        <v/>
      </c>
      <c r="J1012" s="86" t="str">
        <f>IF(G1012="","",F1012-G1012)</f>
        <v/>
      </c>
      <c r="K1012" s="83" t="str">
        <f>IF(M1014="","",K1011-M1012)</f>
        <v/>
      </c>
      <c r="L1012" s="87" t="str">
        <f>IF(N1014="","",K1011-N1012)</f>
        <v/>
      </c>
      <c r="M1012" s="85" t="str">
        <f>IF(M1014="","",IF(OR($A1014="集水",$A1014="吸水"),0.4,""))</f>
        <v/>
      </c>
      <c r="N1012" s="85" t="str">
        <f>IF(N1014="","",IF(OR($A1014="集水",$A1014="吸水"),0.4,""))</f>
        <v/>
      </c>
      <c r="O1012" s="86" t="str">
        <f>IF(L1012="","",K1012-L1012)</f>
        <v/>
      </c>
      <c r="P1012" s="83" t="str">
        <f>IF(R1014="","",P1011-R1012)</f>
        <v/>
      </c>
      <c r="Q1012" s="84" t="str">
        <f>IF(S1014="","",P1011-S1012)</f>
        <v/>
      </c>
      <c r="R1012" s="85" t="str">
        <f>IF(OR($A1014="集水",$A1014="吸水"),0.4,"")</f>
        <v/>
      </c>
      <c r="S1012" s="85" t="str">
        <f>IF(OR($A1014="集水",$A1014="吸水"),0.4,"")</f>
        <v/>
      </c>
      <c r="T1012" s="86" t="str">
        <f>IF(Q1012="","",P1012-Q1012)</f>
        <v/>
      </c>
      <c r="U1012" s="88"/>
      <c r="V1012" s="89"/>
    </row>
    <row r="1013" spans="1:22" ht="9" customHeight="1" x14ac:dyDescent="0.55000000000000004">
      <c r="A1013" s="90"/>
      <c r="B1013" s="91"/>
      <c r="C1013" s="92" t="str">
        <f>IF(B1011="","",B1013-B1011)</f>
        <v/>
      </c>
      <c r="D1013" s="91"/>
      <c r="E1013" s="93" t="str">
        <f>IF(D1011="","",D1013-D1011)</f>
        <v/>
      </c>
      <c r="F1013" s="94"/>
      <c r="G1013" s="85"/>
      <c r="H1013" s="85"/>
      <c r="I1013" s="95"/>
      <c r="J1013" s="86"/>
      <c r="K1013" s="94"/>
      <c r="L1013" s="85"/>
      <c r="M1013" s="85"/>
      <c r="N1013" s="95"/>
      <c r="O1013" s="86"/>
      <c r="P1013" s="94"/>
      <c r="Q1013" s="85"/>
      <c r="R1013" s="85"/>
      <c r="S1013" s="95"/>
      <c r="T1013" s="86"/>
      <c r="U1013" s="96"/>
      <c r="V1013" s="97"/>
    </row>
    <row r="1014" spans="1:22" ht="9" customHeight="1" x14ac:dyDescent="0.55000000000000004">
      <c r="A1014" s="98"/>
      <c r="B1014" s="99"/>
      <c r="C1014" s="100"/>
      <c r="D1014" s="99"/>
      <c r="E1014" s="101"/>
      <c r="F1014" s="102" t="str">
        <f>IF(H1014="","",F1011-H1014)</f>
        <v/>
      </c>
      <c r="G1014" s="103" t="str">
        <f>IF(I1014="","",F1011-I1014)</f>
        <v/>
      </c>
      <c r="H1014" s="104"/>
      <c r="I1014" s="104"/>
      <c r="J1014" s="105"/>
      <c r="K1014" s="106" t="str">
        <f>IF(M1014="","",K1011-M1014)</f>
        <v/>
      </c>
      <c r="L1014" s="103" t="str">
        <f>IF(N1014="","",K1011-N1014)</f>
        <v/>
      </c>
      <c r="M1014" s="104"/>
      <c r="N1014" s="107"/>
      <c r="O1014" s="105"/>
      <c r="P1014" s="102" t="str">
        <f>IF(R1014="","",P1011-R1014)</f>
        <v/>
      </c>
      <c r="Q1014" s="103" t="str">
        <f>IF(S1014="","",P1011-S1014)</f>
        <v/>
      </c>
      <c r="R1014" s="104"/>
      <c r="S1014" s="104"/>
      <c r="T1014" s="105"/>
      <c r="U1014" s="108"/>
      <c r="V1014" s="109"/>
    </row>
    <row r="1015" spans="1:22" ht="9" customHeight="1" x14ac:dyDescent="0.55000000000000004">
      <c r="A1015" s="19"/>
      <c r="B1015" s="69"/>
      <c r="C1015" s="70"/>
      <c r="D1015" s="69"/>
      <c r="E1015" s="71"/>
      <c r="F1015" s="72"/>
      <c r="G1015" s="73"/>
      <c r="H1015" s="74"/>
      <c r="I1015" s="75"/>
      <c r="J1015" s="76"/>
      <c r="K1015" s="72"/>
      <c r="L1015" s="73"/>
      <c r="M1015" s="74"/>
      <c r="N1015" s="75"/>
      <c r="O1015" s="76"/>
      <c r="P1015" s="72"/>
      <c r="Q1015" s="73"/>
      <c r="R1015" s="74"/>
      <c r="S1015" s="75"/>
      <c r="T1015" s="76"/>
      <c r="U1015" s="77" t="str">
        <f>IF(OR(F1018="",P1018=""),"",B1015/(F1018-P1018))</f>
        <v/>
      </c>
      <c r="V1015" s="78"/>
    </row>
    <row r="1016" spans="1:22" ht="9" customHeight="1" x14ac:dyDescent="0.55000000000000004">
      <c r="A1016" s="79"/>
      <c r="B1016" s="80"/>
      <c r="C1016" s="81"/>
      <c r="D1016" s="80"/>
      <c r="E1016" s="82"/>
      <c r="F1016" s="83" t="str">
        <f>IF(H1018="","",F1015-H1016)</f>
        <v/>
      </c>
      <c r="G1016" s="84" t="str">
        <f>IF(I1018="","",F1015-I1016)</f>
        <v/>
      </c>
      <c r="H1016" s="85" t="str">
        <f>IF(OR($A1018="集水",$A1018="吸水"),0.4,"")</f>
        <v/>
      </c>
      <c r="I1016" s="85" t="str">
        <f>IF(OR($A1018="集水",$A1018="吸水"),0.4,"")</f>
        <v/>
      </c>
      <c r="J1016" s="86" t="str">
        <f>IF(G1016="","",F1016-G1016)</f>
        <v/>
      </c>
      <c r="K1016" s="83" t="str">
        <f>IF(M1018="","",K1015-M1016)</f>
        <v/>
      </c>
      <c r="L1016" s="87" t="str">
        <f>IF(N1018="","",K1015-N1016)</f>
        <v/>
      </c>
      <c r="M1016" s="85" t="str">
        <f>IF(M1018="","",IF(OR($A1018="集水",$A1018="吸水"),0.4,""))</f>
        <v/>
      </c>
      <c r="N1016" s="85" t="str">
        <f>IF(N1018="","",IF(OR($A1018="集水",$A1018="吸水"),0.4,""))</f>
        <v/>
      </c>
      <c r="O1016" s="86" t="str">
        <f>IF(L1016="","",K1016-L1016)</f>
        <v/>
      </c>
      <c r="P1016" s="83" t="str">
        <f>IF(R1018="","",P1015-R1016)</f>
        <v/>
      </c>
      <c r="Q1016" s="84" t="str">
        <f>IF(S1018="","",P1015-S1016)</f>
        <v/>
      </c>
      <c r="R1016" s="85" t="str">
        <f>IF(OR($A1018="集水",$A1018="吸水"),0.4,"")</f>
        <v/>
      </c>
      <c r="S1016" s="85" t="str">
        <f>IF(OR($A1018="集水",$A1018="吸水"),0.4,"")</f>
        <v/>
      </c>
      <c r="T1016" s="86" t="str">
        <f>IF(Q1016="","",P1016-Q1016)</f>
        <v/>
      </c>
      <c r="U1016" s="88"/>
      <c r="V1016" s="89"/>
    </row>
    <row r="1017" spans="1:22" ht="9" customHeight="1" x14ac:dyDescent="0.55000000000000004">
      <c r="A1017" s="90"/>
      <c r="B1017" s="91"/>
      <c r="C1017" s="92" t="str">
        <f>IF(B1015="","",B1017-B1015)</f>
        <v/>
      </c>
      <c r="D1017" s="91"/>
      <c r="E1017" s="93" t="str">
        <f>IF(D1015="","",D1017-D1015)</f>
        <v/>
      </c>
      <c r="F1017" s="94"/>
      <c r="G1017" s="85"/>
      <c r="H1017" s="85"/>
      <c r="I1017" s="95"/>
      <c r="J1017" s="86"/>
      <c r="K1017" s="94"/>
      <c r="L1017" s="85"/>
      <c r="M1017" s="85"/>
      <c r="N1017" s="95"/>
      <c r="O1017" s="86"/>
      <c r="P1017" s="94"/>
      <c r="Q1017" s="85"/>
      <c r="R1017" s="85"/>
      <c r="S1017" s="95"/>
      <c r="T1017" s="86"/>
      <c r="U1017" s="96"/>
      <c r="V1017" s="97"/>
    </row>
    <row r="1018" spans="1:22" ht="9" customHeight="1" x14ac:dyDescent="0.55000000000000004">
      <c r="A1018" s="98"/>
      <c r="B1018" s="99"/>
      <c r="C1018" s="100"/>
      <c r="D1018" s="99"/>
      <c r="E1018" s="101"/>
      <c r="F1018" s="102" t="str">
        <f>IF(H1018="","",F1015-H1018)</f>
        <v/>
      </c>
      <c r="G1018" s="103" t="str">
        <f>IF(I1018="","",F1015-I1018)</f>
        <v/>
      </c>
      <c r="H1018" s="104"/>
      <c r="I1018" s="104"/>
      <c r="J1018" s="105"/>
      <c r="K1018" s="106" t="str">
        <f>IF(M1018="","",K1015-M1018)</f>
        <v/>
      </c>
      <c r="L1018" s="103" t="str">
        <f>IF(N1018="","",K1015-N1018)</f>
        <v/>
      </c>
      <c r="M1018" s="104"/>
      <c r="N1018" s="107"/>
      <c r="O1018" s="105"/>
      <c r="P1018" s="102" t="str">
        <f>IF(R1018="","",P1015-R1018)</f>
        <v/>
      </c>
      <c r="Q1018" s="103" t="str">
        <f>IF(S1018="","",P1015-S1018)</f>
        <v/>
      </c>
      <c r="R1018" s="104"/>
      <c r="S1018" s="104"/>
      <c r="T1018" s="105"/>
      <c r="U1018" s="108"/>
      <c r="V1018" s="109"/>
    </row>
    <row r="1019" spans="1:22" ht="9" customHeight="1" x14ac:dyDescent="0.55000000000000004">
      <c r="A1019" s="19"/>
      <c r="B1019" s="69"/>
      <c r="C1019" s="70"/>
      <c r="D1019" s="69"/>
      <c r="E1019" s="71"/>
      <c r="F1019" s="72"/>
      <c r="G1019" s="73"/>
      <c r="H1019" s="74"/>
      <c r="I1019" s="75"/>
      <c r="J1019" s="76"/>
      <c r="K1019" s="72"/>
      <c r="L1019" s="73"/>
      <c r="M1019" s="74"/>
      <c r="N1019" s="75"/>
      <c r="O1019" s="76"/>
      <c r="P1019" s="72"/>
      <c r="Q1019" s="73"/>
      <c r="R1019" s="74"/>
      <c r="S1019" s="75"/>
      <c r="T1019" s="76"/>
      <c r="U1019" s="77" t="str">
        <f>IF(OR(F1022="",P1022=""),"",B1019/(F1022-P1022))</f>
        <v/>
      </c>
      <c r="V1019" s="78"/>
    </row>
    <row r="1020" spans="1:22" ht="9" customHeight="1" x14ac:dyDescent="0.55000000000000004">
      <c r="A1020" s="79"/>
      <c r="B1020" s="80"/>
      <c r="C1020" s="81"/>
      <c r="D1020" s="80"/>
      <c r="E1020" s="82"/>
      <c r="F1020" s="83" t="str">
        <f>IF(H1022="","",F1019-H1020)</f>
        <v/>
      </c>
      <c r="G1020" s="84" t="str">
        <f>IF(I1022="","",F1019-I1020)</f>
        <v/>
      </c>
      <c r="H1020" s="85" t="str">
        <f>IF(OR($A1022="集水",$A1022="吸水"),0.4,"")</f>
        <v/>
      </c>
      <c r="I1020" s="85" t="str">
        <f>IF(OR($A1022="集水",$A1022="吸水"),0.4,"")</f>
        <v/>
      </c>
      <c r="J1020" s="86" t="str">
        <f>IF(G1020="","",F1020-G1020)</f>
        <v/>
      </c>
      <c r="K1020" s="83" t="str">
        <f>IF(M1022="","",K1019-M1020)</f>
        <v/>
      </c>
      <c r="L1020" s="87" t="str">
        <f>IF(N1022="","",K1019-N1020)</f>
        <v/>
      </c>
      <c r="M1020" s="85" t="str">
        <f>IF(M1022="","",IF(OR($A1022="集水",$A1022="吸水"),0.4,""))</f>
        <v/>
      </c>
      <c r="N1020" s="85" t="str">
        <f>IF(N1022="","",IF(OR($A1022="集水",$A1022="吸水"),0.4,""))</f>
        <v/>
      </c>
      <c r="O1020" s="86" t="str">
        <f>IF(L1020="","",K1020-L1020)</f>
        <v/>
      </c>
      <c r="P1020" s="83" t="str">
        <f>IF(R1022="","",P1019-R1020)</f>
        <v/>
      </c>
      <c r="Q1020" s="84" t="str">
        <f>IF(S1022="","",P1019-S1020)</f>
        <v/>
      </c>
      <c r="R1020" s="85" t="str">
        <f>IF(OR($A1022="集水",$A1022="吸水"),0.4,"")</f>
        <v/>
      </c>
      <c r="S1020" s="85" t="str">
        <f>IF(OR($A1022="集水",$A1022="吸水"),0.4,"")</f>
        <v/>
      </c>
      <c r="T1020" s="86" t="str">
        <f>IF(Q1020="","",P1020-Q1020)</f>
        <v/>
      </c>
      <c r="U1020" s="88"/>
      <c r="V1020" s="89"/>
    </row>
    <row r="1021" spans="1:22" ht="9" customHeight="1" x14ac:dyDescent="0.55000000000000004">
      <c r="A1021" s="90"/>
      <c r="B1021" s="91"/>
      <c r="C1021" s="92" t="str">
        <f>IF(B1019="","",B1021-B1019)</f>
        <v/>
      </c>
      <c r="D1021" s="91"/>
      <c r="E1021" s="93" t="str">
        <f>IF(D1019="","",D1021-D1019)</f>
        <v/>
      </c>
      <c r="F1021" s="94"/>
      <c r="G1021" s="85"/>
      <c r="H1021" s="85"/>
      <c r="I1021" s="95"/>
      <c r="J1021" s="86"/>
      <c r="K1021" s="94"/>
      <c r="L1021" s="85"/>
      <c r="M1021" s="85"/>
      <c r="N1021" s="95"/>
      <c r="O1021" s="86"/>
      <c r="P1021" s="94"/>
      <c r="Q1021" s="85"/>
      <c r="R1021" s="85"/>
      <c r="S1021" s="95"/>
      <c r="T1021" s="86"/>
      <c r="U1021" s="96"/>
      <c r="V1021" s="97"/>
    </row>
    <row r="1022" spans="1:22" ht="9" customHeight="1" x14ac:dyDescent="0.55000000000000004">
      <c r="A1022" s="98"/>
      <c r="B1022" s="99"/>
      <c r="C1022" s="100"/>
      <c r="D1022" s="99"/>
      <c r="E1022" s="101"/>
      <c r="F1022" s="102" t="str">
        <f>IF(H1022="","",F1019-H1022)</f>
        <v/>
      </c>
      <c r="G1022" s="103" t="str">
        <f>IF(I1022="","",F1019-I1022)</f>
        <v/>
      </c>
      <c r="H1022" s="104"/>
      <c r="I1022" s="104"/>
      <c r="J1022" s="105"/>
      <c r="K1022" s="106" t="str">
        <f>IF(M1022="","",K1019-M1022)</f>
        <v/>
      </c>
      <c r="L1022" s="103" t="str">
        <f>IF(N1022="","",K1019-N1022)</f>
        <v/>
      </c>
      <c r="M1022" s="104"/>
      <c r="N1022" s="107"/>
      <c r="O1022" s="105"/>
      <c r="P1022" s="102" t="str">
        <f>IF(R1022="","",P1019-R1022)</f>
        <v/>
      </c>
      <c r="Q1022" s="103" t="str">
        <f>IF(S1022="","",P1019-S1022)</f>
        <v/>
      </c>
      <c r="R1022" s="104"/>
      <c r="S1022" s="104"/>
      <c r="T1022" s="105"/>
      <c r="U1022" s="108"/>
      <c r="V1022" s="109"/>
    </row>
    <row r="1023" spans="1:22" ht="9" customHeight="1" x14ac:dyDescent="0.55000000000000004">
      <c r="A1023" s="19"/>
      <c r="B1023" s="69"/>
      <c r="C1023" s="70"/>
      <c r="D1023" s="69"/>
      <c r="E1023" s="71"/>
      <c r="F1023" s="72"/>
      <c r="G1023" s="73"/>
      <c r="H1023" s="74"/>
      <c r="I1023" s="75"/>
      <c r="J1023" s="76"/>
      <c r="K1023" s="72"/>
      <c r="L1023" s="73"/>
      <c r="M1023" s="74"/>
      <c r="N1023" s="75"/>
      <c r="O1023" s="76"/>
      <c r="P1023" s="72"/>
      <c r="Q1023" s="73"/>
      <c r="R1023" s="74"/>
      <c r="S1023" s="75"/>
      <c r="T1023" s="76"/>
      <c r="U1023" s="77" t="str">
        <f>IF(OR(F1026="",P1026=""),"",B1023/(F1026-P1026))</f>
        <v/>
      </c>
      <c r="V1023" s="78"/>
    </row>
    <row r="1024" spans="1:22" ht="9" customHeight="1" x14ac:dyDescent="0.55000000000000004">
      <c r="A1024" s="79"/>
      <c r="B1024" s="80"/>
      <c r="C1024" s="81"/>
      <c r="D1024" s="80"/>
      <c r="E1024" s="82"/>
      <c r="F1024" s="83" t="str">
        <f>IF(H1026="","",F1023-H1024)</f>
        <v/>
      </c>
      <c r="G1024" s="84" t="str">
        <f>IF(I1026="","",F1023-I1024)</f>
        <v/>
      </c>
      <c r="H1024" s="85" t="str">
        <f>IF(OR($A1026="集水",$A1026="吸水"),0.4,"")</f>
        <v/>
      </c>
      <c r="I1024" s="85" t="str">
        <f>IF(OR($A1026="集水",$A1026="吸水"),0.4,"")</f>
        <v/>
      </c>
      <c r="J1024" s="86" t="str">
        <f>IF(G1024="","",F1024-G1024)</f>
        <v/>
      </c>
      <c r="K1024" s="83" t="str">
        <f>IF(M1026="","",K1023-M1024)</f>
        <v/>
      </c>
      <c r="L1024" s="87" t="str">
        <f>IF(N1026="","",K1023-N1024)</f>
        <v/>
      </c>
      <c r="M1024" s="85" t="str">
        <f>IF(M1026="","",IF(OR($A1026="集水",$A1026="吸水"),0.4,""))</f>
        <v/>
      </c>
      <c r="N1024" s="85" t="str">
        <f>IF(N1026="","",IF(OR($A1026="集水",$A1026="吸水"),0.4,""))</f>
        <v/>
      </c>
      <c r="O1024" s="86" t="str">
        <f>IF(L1024="","",K1024-L1024)</f>
        <v/>
      </c>
      <c r="P1024" s="83" t="str">
        <f>IF(R1026="","",P1023-R1024)</f>
        <v/>
      </c>
      <c r="Q1024" s="84" t="str">
        <f>IF(S1026="","",P1023-S1024)</f>
        <v/>
      </c>
      <c r="R1024" s="85" t="str">
        <f>IF(OR($A1026="集水",$A1026="吸水"),0.4,"")</f>
        <v/>
      </c>
      <c r="S1024" s="85" t="str">
        <f>IF(OR($A1026="集水",$A1026="吸水"),0.4,"")</f>
        <v/>
      </c>
      <c r="T1024" s="86" t="str">
        <f>IF(Q1024="","",P1024-Q1024)</f>
        <v/>
      </c>
      <c r="U1024" s="88"/>
      <c r="V1024" s="89"/>
    </row>
    <row r="1025" spans="1:22" ht="9" customHeight="1" x14ac:dyDescent="0.55000000000000004">
      <c r="A1025" s="90"/>
      <c r="B1025" s="91"/>
      <c r="C1025" s="92" t="str">
        <f>IF(B1023="","",B1025-B1023)</f>
        <v/>
      </c>
      <c r="D1025" s="91"/>
      <c r="E1025" s="93" t="str">
        <f>IF(D1023="","",D1025-D1023)</f>
        <v/>
      </c>
      <c r="F1025" s="94"/>
      <c r="G1025" s="85"/>
      <c r="H1025" s="85"/>
      <c r="I1025" s="95"/>
      <c r="J1025" s="86"/>
      <c r="K1025" s="94"/>
      <c r="L1025" s="85"/>
      <c r="M1025" s="85"/>
      <c r="N1025" s="95"/>
      <c r="O1025" s="86"/>
      <c r="P1025" s="94"/>
      <c r="Q1025" s="85"/>
      <c r="R1025" s="85"/>
      <c r="S1025" s="95"/>
      <c r="T1025" s="86"/>
      <c r="U1025" s="96"/>
      <c r="V1025" s="97"/>
    </row>
    <row r="1026" spans="1:22" ht="9" customHeight="1" x14ac:dyDescent="0.55000000000000004">
      <c r="A1026" s="98"/>
      <c r="B1026" s="99"/>
      <c r="C1026" s="100"/>
      <c r="D1026" s="99"/>
      <c r="E1026" s="101"/>
      <c r="F1026" s="102" t="str">
        <f>IF(H1026="","",F1023-H1026)</f>
        <v/>
      </c>
      <c r="G1026" s="103" t="str">
        <f>IF(I1026="","",F1023-I1026)</f>
        <v/>
      </c>
      <c r="H1026" s="104"/>
      <c r="I1026" s="104"/>
      <c r="J1026" s="105"/>
      <c r="K1026" s="106" t="str">
        <f>IF(M1026="","",K1023-M1026)</f>
        <v/>
      </c>
      <c r="L1026" s="103" t="str">
        <f>IF(N1026="","",K1023-N1026)</f>
        <v/>
      </c>
      <c r="M1026" s="104"/>
      <c r="N1026" s="107"/>
      <c r="O1026" s="105"/>
      <c r="P1026" s="102" t="str">
        <f>IF(R1026="","",P1023-R1026)</f>
        <v/>
      </c>
      <c r="Q1026" s="103" t="str">
        <f>IF(S1026="","",P1023-S1026)</f>
        <v/>
      </c>
      <c r="R1026" s="104"/>
      <c r="S1026" s="104"/>
      <c r="T1026" s="105"/>
      <c r="U1026" s="108"/>
      <c r="V1026" s="109"/>
    </row>
    <row r="1027" spans="1:22" ht="9" customHeight="1" x14ac:dyDescent="0.55000000000000004">
      <c r="A1027" s="19"/>
      <c r="B1027" s="69"/>
      <c r="C1027" s="70"/>
      <c r="D1027" s="69"/>
      <c r="E1027" s="71"/>
      <c r="F1027" s="72"/>
      <c r="G1027" s="73"/>
      <c r="H1027" s="74"/>
      <c r="I1027" s="75"/>
      <c r="J1027" s="76"/>
      <c r="K1027" s="72"/>
      <c r="L1027" s="73"/>
      <c r="M1027" s="74"/>
      <c r="N1027" s="75"/>
      <c r="O1027" s="76"/>
      <c r="P1027" s="72"/>
      <c r="Q1027" s="73"/>
      <c r="R1027" s="74"/>
      <c r="S1027" s="75"/>
      <c r="T1027" s="76"/>
      <c r="U1027" s="77" t="str">
        <f>IF(OR(F1030="",P1030=""),"",B1027/(F1030-P1030))</f>
        <v/>
      </c>
      <c r="V1027" s="78"/>
    </row>
    <row r="1028" spans="1:22" ht="9" customHeight="1" x14ac:dyDescent="0.55000000000000004">
      <c r="A1028" s="79"/>
      <c r="B1028" s="80"/>
      <c r="C1028" s="81"/>
      <c r="D1028" s="80"/>
      <c r="E1028" s="82"/>
      <c r="F1028" s="83" t="str">
        <f>IF(H1030="","",F1027-H1028)</f>
        <v/>
      </c>
      <c r="G1028" s="84" t="str">
        <f>IF(I1030="","",F1027-I1028)</f>
        <v/>
      </c>
      <c r="H1028" s="85" t="str">
        <f>IF(OR($A1030="集水",$A1030="吸水"),0.4,"")</f>
        <v/>
      </c>
      <c r="I1028" s="85" t="str">
        <f>IF(OR($A1030="集水",$A1030="吸水"),0.4,"")</f>
        <v/>
      </c>
      <c r="J1028" s="86" t="str">
        <f>IF(G1028="","",F1028-G1028)</f>
        <v/>
      </c>
      <c r="K1028" s="83" t="str">
        <f>IF(M1030="","",K1027-M1028)</f>
        <v/>
      </c>
      <c r="L1028" s="87" t="str">
        <f>IF(N1030="","",K1027-N1028)</f>
        <v/>
      </c>
      <c r="M1028" s="85" t="str">
        <f>IF(M1030="","",IF(OR($A1030="集水",$A1030="吸水"),0.4,""))</f>
        <v/>
      </c>
      <c r="N1028" s="85" t="str">
        <f>IF(N1030="","",IF(OR($A1030="集水",$A1030="吸水"),0.4,""))</f>
        <v/>
      </c>
      <c r="O1028" s="86" t="str">
        <f>IF(L1028="","",K1028-L1028)</f>
        <v/>
      </c>
      <c r="P1028" s="83" t="str">
        <f>IF(R1030="","",P1027-R1028)</f>
        <v/>
      </c>
      <c r="Q1028" s="84" t="str">
        <f>IF(S1030="","",P1027-S1028)</f>
        <v/>
      </c>
      <c r="R1028" s="85" t="str">
        <f>IF(OR($A1030="集水",$A1030="吸水"),0.4,"")</f>
        <v/>
      </c>
      <c r="S1028" s="85" t="str">
        <f>IF(OR($A1030="集水",$A1030="吸水"),0.4,"")</f>
        <v/>
      </c>
      <c r="T1028" s="86" t="str">
        <f>IF(Q1028="","",P1028-Q1028)</f>
        <v/>
      </c>
      <c r="U1028" s="88"/>
      <c r="V1028" s="89"/>
    </row>
    <row r="1029" spans="1:22" ht="9" customHeight="1" x14ac:dyDescent="0.55000000000000004">
      <c r="A1029" s="90"/>
      <c r="B1029" s="91"/>
      <c r="C1029" s="92" t="str">
        <f>IF(B1027="","",B1029-B1027)</f>
        <v/>
      </c>
      <c r="D1029" s="91"/>
      <c r="E1029" s="93" t="str">
        <f>IF(D1027="","",D1029-D1027)</f>
        <v/>
      </c>
      <c r="F1029" s="94"/>
      <c r="G1029" s="85"/>
      <c r="H1029" s="85"/>
      <c r="I1029" s="95"/>
      <c r="J1029" s="86"/>
      <c r="K1029" s="94"/>
      <c r="L1029" s="85"/>
      <c r="M1029" s="85"/>
      <c r="N1029" s="95"/>
      <c r="O1029" s="86"/>
      <c r="P1029" s="94"/>
      <c r="Q1029" s="85"/>
      <c r="R1029" s="85"/>
      <c r="S1029" s="95"/>
      <c r="T1029" s="86"/>
      <c r="U1029" s="96"/>
      <c r="V1029" s="97"/>
    </row>
    <row r="1030" spans="1:22" ht="9" customHeight="1" x14ac:dyDescent="0.55000000000000004">
      <c r="A1030" s="98"/>
      <c r="B1030" s="99"/>
      <c r="C1030" s="100"/>
      <c r="D1030" s="99"/>
      <c r="E1030" s="101"/>
      <c r="F1030" s="102" t="str">
        <f>IF(H1030="","",F1027-H1030)</f>
        <v/>
      </c>
      <c r="G1030" s="103" t="str">
        <f>IF(I1030="","",F1027-I1030)</f>
        <v/>
      </c>
      <c r="H1030" s="104"/>
      <c r="I1030" s="104"/>
      <c r="J1030" s="105"/>
      <c r="K1030" s="106" t="str">
        <f>IF(M1030="","",K1027-M1030)</f>
        <v/>
      </c>
      <c r="L1030" s="103" t="str">
        <f>IF(N1030="","",K1027-N1030)</f>
        <v/>
      </c>
      <c r="M1030" s="104"/>
      <c r="N1030" s="107"/>
      <c r="O1030" s="105"/>
      <c r="P1030" s="102" t="str">
        <f>IF(R1030="","",P1027-R1030)</f>
        <v/>
      </c>
      <c r="Q1030" s="103" t="str">
        <f>IF(S1030="","",P1027-S1030)</f>
        <v/>
      </c>
      <c r="R1030" s="104"/>
      <c r="S1030" s="104"/>
      <c r="T1030" s="105"/>
      <c r="U1030" s="108"/>
      <c r="V1030" s="109"/>
    </row>
    <row r="1031" spans="1:22" ht="9" customHeight="1" x14ac:dyDescent="0.55000000000000004">
      <c r="A1031" s="19"/>
      <c r="B1031" s="69"/>
      <c r="C1031" s="70"/>
      <c r="D1031" s="69"/>
      <c r="E1031" s="71"/>
      <c r="F1031" s="72"/>
      <c r="G1031" s="73"/>
      <c r="H1031" s="74"/>
      <c r="I1031" s="75"/>
      <c r="J1031" s="76"/>
      <c r="K1031" s="72"/>
      <c r="L1031" s="73"/>
      <c r="M1031" s="74"/>
      <c r="N1031" s="75"/>
      <c r="O1031" s="76"/>
      <c r="P1031" s="72"/>
      <c r="Q1031" s="73"/>
      <c r="R1031" s="74"/>
      <c r="S1031" s="75"/>
      <c r="T1031" s="76"/>
      <c r="U1031" s="77" t="str">
        <f>IF(OR(F1034="",P1034=""),"",B1031/(F1034-P1034))</f>
        <v/>
      </c>
      <c r="V1031" s="78"/>
    </row>
    <row r="1032" spans="1:22" ht="9" customHeight="1" x14ac:dyDescent="0.55000000000000004">
      <c r="A1032" s="79"/>
      <c r="B1032" s="80"/>
      <c r="C1032" s="81"/>
      <c r="D1032" s="80"/>
      <c r="E1032" s="82"/>
      <c r="F1032" s="83" t="str">
        <f>IF(H1034="","",F1031-H1032)</f>
        <v/>
      </c>
      <c r="G1032" s="84" t="str">
        <f>IF(I1034="","",F1031-I1032)</f>
        <v/>
      </c>
      <c r="H1032" s="85" t="str">
        <f>IF(OR($A1034="集水",$A1034="吸水"),0.4,"")</f>
        <v/>
      </c>
      <c r="I1032" s="85" t="str">
        <f>IF(OR($A1034="集水",$A1034="吸水"),0.4,"")</f>
        <v/>
      </c>
      <c r="J1032" s="86" t="str">
        <f>IF(G1032="","",F1032-G1032)</f>
        <v/>
      </c>
      <c r="K1032" s="83" t="str">
        <f>IF(M1034="","",K1031-M1032)</f>
        <v/>
      </c>
      <c r="L1032" s="87" t="str">
        <f>IF(N1034="","",K1031-N1032)</f>
        <v/>
      </c>
      <c r="M1032" s="85" t="str">
        <f>IF(M1034="","",IF(OR($A1034="集水",$A1034="吸水"),0.4,""))</f>
        <v/>
      </c>
      <c r="N1032" s="85" t="str">
        <f>IF(N1034="","",IF(OR($A1034="集水",$A1034="吸水"),0.4,""))</f>
        <v/>
      </c>
      <c r="O1032" s="86" t="str">
        <f>IF(L1032="","",K1032-L1032)</f>
        <v/>
      </c>
      <c r="P1032" s="83" t="str">
        <f>IF(R1034="","",P1031-R1032)</f>
        <v/>
      </c>
      <c r="Q1032" s="84" t="str">
        <f>IF(S1034="","",P1031-S1032)</f>
        <v/>
      </c>
      <c r="R1032" s="85" t="str">
        <f>IF(OR($A1034="集水",$A1034="吸水"),0.4,"")</f>
        <v/>
      </c>
      <c r="S1032" s="85" t="str">
        <f>IF(OR($A1034="集水",$A1034="吸水"),0.4,"")</f>
        <v/>
      </c>
      <c r="T1032" s="86" t="str">
        <f>IF(Q1032="","",P1032-Q1032)</f>
        <v/>
      </c>
      <c r="U1032" s="88"/>
      <c r="V1032" s="89"/>
    </row>
    <row r="1033" spans="1:22" ht="9" customHeight="1" x14ac:dyDescent="0.55000000000000004">
      <c r="A1033" s="90"/>
      <c r="B1033" s="91"/>
      <c r="C1033" s="92" t="str">
        <f>IF(B1031="","",B1033-B1031)</f>
        <v/>
      </c>
      <c r="D1033" s="91"/>
      <c r="E1033" s="93" t="str">
        <f>IF(D1031="","",D1033-D1031)</f>
        <v/>
      </c>
      <c r="F1033" s="94"/>
      <c r="G1033" s="85"/>
      <c r="H1033" s="85"/>
      <c r="I1033" s="95"/>
      <c r="J1033" s="86"/>
      <c r="K1033" s="94"/>
      <c r="L1033" s="85"/>
      <c r="M1033" s="85"/>
      <c r="N1033" s="95"/>
      <c r="O1033" s="86"/>
      <c r="P1033" s="94"/>
      <c r="Q1033" s="85"/>
      <c r="R1033" s="85"/>
      <c r="S1033" s="95"/>
      <c r="T1033" s="86"/>
      <c r="U1033" s="96"/>
      <c r="V1033" s="97"/>
    </row>
    <row r="1034" spans="1:22" ht="9" customHeight="1" x14ac:dyDescent="0.55000000000000004">
      <c r="A1034" s="98"/>
      <c r="B1034" s="99"/>
      <c r="C1034" s="100"/>
      <c r="D1034" s="99"/>
      <c r="E1034" s="101"/>
      <c r="F1034" s="102" t="str">
        <f>IF(H1034="","",F1031-H1034)</f>
        <v/>
      </c>
      <c r="G1034" s="103" t="str">
        <f>IF(I1034="","",F1031-I1034)</f>
        <v/>
      </c>
      <c r="H1034" s="104"/>
      <c r="I1034" s="104"/>
      <c r="J1034" s="105"/>
      <c r="K1034" s="106" t="str">
        <f>IF(M1034="","",K1031-M1034)</f>
        <v/>
      </c>
      <c r="L1034" s="103" t="str">
        <f>IF(N1034="","",K1031-N1034)</f>
        <v/>
      </c>
      <c r="M1034" s="104"/>
      <c r="N1034" s="107"/>
      <c r="O1034" s="105"/>
      <c r="P1034" s="102" t="str">
        <f>IF(R1034="","",P1031-R1034)</f>
        <v/>
      </c>
      <c r="Q1034" s="103" t="str">
        <f>IF(S1034="","",P1031-S1034)</f>
        <v/>
      </c>
      <c r="R1034" s="104"/>
      <c r="S1034" s="104"/>
      <c r="T1034" s="105"/>
      <c r="U1034" s="108"/>
      <c r="V1034" s="109"/>
    </row>
    <row r="1035" spans="1:22" ht="9" customHeight="1" x14ac:dyDescent="0.55000000000000004">
      <c r="A1035" s="19"/>
      <c r="B1035" s="69"/>
      <c r="C1035" s="70"/>
      <c r="D1035" s="69"/>
      <c r="E1035" s="71"/>
      <c r="F1035" s="72"/>
      <c r="G1035" s="73"/>
      <c r="H1035" s="74"/>
      <c r="I1035" s="75"/>
      <c r="J1035" s="76"/>
      <c r="K1035" s="72"/>
      <c r="L1035" s="73"/>
      <c r="M1035" s="74"/>
      <c r="N1035" s="75"/>
      <c r="O1035" s="76"/>
      <c r="P1035" s="72"/>
      <c r="Q1035" s="73"/>
      <c r="R1035" s="74"/>
      <c r="S1035" s="75"/>
      <c r="T1035" s="76"/>
      <c r="U1035" s="77" t="str">
        <f>IF(OR(F1038="",P1038=""),"",B1035/(F1038-P1038))</f>
        <v/>
      </c>
      <c r="V1035" s="78"/>
    </row>
    <row r="1036" spans="1:22" ht="9" customHeight="1" x14ac:dyDescent="0.55000000000000004">
      <c r="A1036" s="79"/>
      <c r="B1036" s="80"/>
      <c r="C1036" s="81"/>
      <c r="D1036" s="80"/>
      <c r="E1036" s="82"/>
      <c r="F1036" s="83" t="str">
        <f>IF(H1038="","",F1035-H1036)</f>
        <v/>
      </c>
      <c r="G1036" s="84" t="str">
        <f>IF(I1038="","",F1035-I1036)</f>
        <v/>
      </c>
      <c r="H1036" s="85" t="str">
        <f>IF(OR($A1038="集水",$A1038="吸水"),0.4,"")</f>
        <v/>
      </c>
      <c r="I1036" s="85" t="str">
        <f>IF(OR($A1038="集水",$A1038="吸水"),0.4,"")</f>
        <v/>
      </c>
      <c r="J1036" s="86" t="str">
        <f>IF(G1036="","",F1036-G1036)</f>
        <v/>
      </c>
      <c r="K1036" s="83" t="str">
        <f>IF(M1038="","",K1035-M1036)</f>
        <v/>
      </c>
      <c r="L1036" s="87" t="str">
        <f>IF(N1038="","",K1035-N1036)</f>
        <v/>
      </c>
      <c r="M1036" s="85" t="str">
        <f>IF(M1038="","",IF(OR($A1038="集水",$A1038="吸水"),0.4,""))</f>
        <v/>
      </c>
      <c r="N1036" s="85" t="str">
        <f>IF(N1038="","",IF(OR($A1038="集水",$A1038="吸水"),0.4,""))</f>
        <v/>
      </c>
      <c r="O1036" s="86" t="str">
        <f>IF(L1036="","",K1036-L1036)</f>
        <v/>
      </c>
      <c r="P1036" s="83" t="str">
        <f>IF(R1038="","",P1035-R1036)</f>
        <v/>
      </c>
      <c r="Q1036" s="84" t="str">
        <f>IF(S1038="","",P1035-S1036)</f>
        <v/>
      </c>
      <c r="R1036" s="85" t="str">
        <f>IF(OR($A1038="集水",$A1038="吸水"),0.4,"")</f>
        <v/>
      </c>
      <c r="S1036" s="85" t="str">
        <f>IF(OR($A1038="集水",$A1038="吸水"),0.4,"")</f>
        <v/>
      </c>
      <c r="T1036" s="86" t="str">
        <f>IF(Q1036="","",P1036-Q1036)</f>
        <v/>
      </c>
      <c r="U1036" s="88"/>
      <c r="V1036" s="89"/>
    </row>
    <row r="1037" spans="1:22" ht="9" customHeight="1" x14ac:dyDescent="0.55000000000000004">
      <c r="A1037" s="90"/>
      <c r="B1037" s="91"/>
      <c r="C1037" s="92" t="str">
        <f>IF(B1035="","",B1037-B1035)</f>
        <v/>
      </c>
      <c r="D1037" s="91"/>
      <c r="E1037" s="93" t="str">
        <f>IF(D1035="","",D1037-D1035)</f>
        <v/>
      </c>
      <c r="F1037" s="94"/>
      <c r="G1037" s="85"/>
      <c r="H1037" s="85"/>
      <c r="I1037" s="95"/>
      <c r="J1037" s="86"/>
      <c r="K1037" s="94"/>
      <c r="L1037" s="85"/>
      <c r="M1037" s="85"/>
      <c r="N1037" s="95"/>
      <c r="O1037" s="86"/>
      <c r="P1037" s="94"/>
      <c r="Q1037" s="85"/>
      <c r="R1037" s="85"/>
      <c r="S1037" s="95"/>
      <c r="T1037" s="86"/>
      <c r="U1037" s="96"/>
      <c r="V1037" s="97"/>
    </row>
    <row r="1038" spans="1:22" ht="9" customHeight="1" x14ac:dyDescent="0.55000000000000004">
      <c r="A1038" s="98"/>
      <c r="B1038" s="99"/>
      <c r="C1038" s="100"/>
      <c r="D1038" s="99"/>
      <c r="E1038" s="101"/>
      <c r="F1038" s="102" t="str">
        <f>IF(H1038="","",F1035-H1038)</f>
        <v/>
      </c>
      <c r="G1038" s="103" t="str">
        <f>IF(I1038="","",F1035-I1038)</f>
        <v/>
      </c>
      <c r="H1038" s="104"/>
      <c r="I1038" s="104"/>
      <c r="J1038" s="105"/>
      <c r="K1038" s="106" t="str">
        <f>IF(M1038="","",K1035-M1038)</f>
        <v/>
      </c>
      <c r="L1038" s="103" t="str">
        <f>IF(N1038="","",K1035-N1038)</f>
        <v/>
      </c>
      <c r="M1038" s="104"/>
      <c r="N1038" s="107"/>
      <c r="O1038" s="105"/>
      <c r="P1038" s="102" t="str">
        <f>IF(R1038="","",P1035-R1038)</f>
        <v/>
      </c>
      <c r="Q1038" s="103" t="str">
        <f>IF(S1038="","",P1035-S1038)</f>
        <v/>
      </c>
      <c r="R1038" s="104"/>
      <c r="S1038" s="104"/>
      <c r="T1038" s="105"/>
      <c r="U1038" s="108"/>
      <c r="V1038" s="109"/>
    </row>
    <row r="1039" spans="1:22" ht="9" customHeight="1" x14ac:dyDescent="0.55000000000000004">
      <c r="A1039" s="19"/>
      <c r="B1039" s="69"/>
      <c r="C1039" s="70"/>
      <c r="D1039" s="69"/>
      <c r="E1039" s="71"/>
      <c r="F1039" s="72"/>
      <c r="G1039" s="73"/>
      <c r="H1039" s="74"/>
      <c r="I1039" s="75"/>
      <c r="J1039" s="76"/>
      <c r="K1039" s="72"/>
      <c r="L1039" s="73"/>
      <c r="M1039" s="74"/>
      <c r="N1039" s="75"/>
      <c r="O1039" s="76"/>
      <c r="P1039" s="72"/>
      <c r="Q1039" s="73"/>
      <c r="R1039" s="74"/>
      <c r="S1039" s="75"/>
      <c r="T1039" s="76"/>
      <c r="U1039" s="77" t="str">
        <f>IF(OR(F1042="",P1042=""),"",B1039/(F1042-P1042))</f>
        <v/>
      </c>
      <c r="V1039" s="78"/>
    </row>
    <row r="1040" spans="1:22" ht="9" customHeight="1" x14ac:dyDescent="0.55000000000000004">
      <c r="A1040" s="79"/>
      <c r="B1040" s="80"/>
      <c r="C1040" s="81"/>
      <c r="D1040" s="80"/>
      <c r="E1040" s="82"/>
      <c r="F1040" s="83" t="str">
        <f>IF(H1042="","",F1039-H1040)</f>
        <v/>
      </c>
      <c r="G1040" s="84" t="str">
        <f>IF(I1042="","",F1039-I1040)</f>
        <v/>
      </c>
      <c r="H1040" s="85" t="str">
        <f>IF(OR($A1042="集水",$A1042="吸水"),0.4,"")</f>
        <v/>
      </c>
      <c r="I1040" s="85" t="str">
        <f>IF(OR($A1042="集水",$A1042="吸水"),0.4,"")</f>
        <v/>
      </c>
      <c r="J1040" s="86" t="str">
        <f>IF(G1040="","",F1040-G1040)</f>
        <v/>
      </c>
      <c r="K1040" s="83" t="str">
        <f>IF(M1042="","",K1039-M1040)</f>
        <v/>
      </c>
      <c r="L1040" s="87" t="str">
        <f>IF(N1042="","",K1039-N1040)</f>
        <v/>
      </c>
      <c r="M1040" s="85" t="str">
        <f>IF(M1042="","",IF(OR($A1042="集水",$A1042="吸水"),0.4,""))</f>
        <v/>
      </c>
      <c r="N1040" s="85" t="str">
        <f>IF(N1042="","",IF(OR($A1042="集水",$A1042="吸水"),0.4,""))</f>
        <v/>
      </c>
      <c r="O1040" s="86" t="str">
        <f>IF(L1040="","",K1040-L1040)</f>
        <v/>
      </c>
      <c r="P1040" s="83" t="str">
        <f>IF(R1042="","",P1039-R1040)</f>
        <v/>
      </c>
      <c r="Q1040" s="84" t="str">
        <f>IF(S1042="","",P1039-S1040)</f>
        <v/>
      </c>
      <c r="R1040" s="85" t="str">
        <f>IF(OR($A1042="集水",$A1042="吸水"),0.4,"")</f>
        <v/>
      </c>
      <c r="S1040" s="85" t="str">
        <f>IF(OR($A1042="集水",$A1042="吸水"),0.4,"")</f>
        <v/>
      </c>
      <c r="T1040" s="86" t="str">
        <f>IF(Q1040="","",P1040-Q1040)</f>
        <v/>
      </c>
      <c r="U1040" s="88"/>
      <c r="V1040" s="89"/>
    </row>
    <row r="1041" spans="1:22" ht="9" customHeight="1" x14ac:dyDescent="0.55000000000000004">
      <c r="A1041" s="90"/>
      <c r="B1041" s="91"/>
      <c r="C1041" s="92" t="str">
        <f>IF(B1039="","",B1041-B1039)</f>
        <v/>
      </c>
      <c r="D1041" s="91"/>
      <c r="E1041" s="93" t="str">
        <f>IF(D1039="","",D1041-D1039)</f>
        <v/>
      </c>
      <c r="F1041" s="94"/>
      <c r="G1041" s="85"/>
      <c r="H1041" s="85"/>
      <c r="I1041" s="95"/>
      <c r="J1041" s="86"/>
      <c r="K1041" s="94"/>
      <c r="L1041" s="85"/>
      <c r="M1041" s="85"/>
      <c r="N1041" s="95"/>
      <c r="O1041" s="86"/>
      <c r="P1041" s="94"/>
      <c r="Q1041" s="85"/>
      <c r="R1041" s="85"/>
      <c r="S1041" s="95"/>
      <c r="T1041" s="86"/>
      <c r="U1041" s="96"/>
      <c r="V1041" s="97"/>
    </row>
    <row r="1042" spans="1:22" ht="9" customHeight="1" x14ac:dyDescent="0.55000000000000004">
      <c r="A1042" s="98"/>
      <c r="B1042" s="99"/>
      <c r="C1042" s="100"/>
      <c r="D1042" s="99"/>
      <c r="E1042" s="101"/>
      <c r="F1042" s="102" t="str">
        <f>IF(H1042="","",F1039-H1042)</f>
        <v/>
      </c>
      <c r="G1042" s="103" t="str">
        <f>IF(I1042="","",F1039-I1042)</f>
        <v/>
      </c>
      <c r="H1042" s="104"/>
      <c r="I1042" s="104"/>
      <c r="J1042" s="105"/>
      <c r="K1042" s="106" t="str">
        <f>IF(M1042="","",K1039-M1042)</f>
        <v/>
      </c>
      <c r="L1042" s="103" t="str">
        <f>IF(N1042="","",K1039-N1042)</f>
        <v/>
      </c>
      <c r="M1042" s="104"/>
      <c r="N1042" s="107"/>
      <c r="O1042" s="105"/>
      <c r="P1042" s="102" t="str">
        <f>IF(R1042="","",P1039-R1042)</f>
        <v/>
      </c>
      <c r="Q1042" s="103" t="str">
        <f>IF(S1042="","",P1039-S1042)</f>
        <v/>
      </c>
      <c r="R1042" s="104"/>
      <c r="S1042" s="104"/>
      <c r="T1042" s="105"/>
      <c r="U1042" s="108"/>
      <c r="V1042" s="109"/>
    </row>
    <row r="1043" spans="1:22" ht="9" customHeight="1" x14ac:dyDescent="0.55000000000000004">
      <c r="A1043" s="19"/>
      <c r="B1043" s="69"/>
      <c r="C1043" s="70"/>
      <c r="D1043" s="69"/>
      <c r="E1043" s="71"/>
      <c r="F1043" s="72"/>
      <c r="G1043" s="73"/>
      <c r="H1043" s="74"/>
      <c r="I1043" s="75"/>
      <c r="J1043" s="76"/>
      <c r="K1043" s="72"/>
      <c r="L1043" s="73"/>
      <c r="M1043" s="74"/>
      <c r="N1043" s="75"/>
      <c r="O1043" s="76"/>
      <c r="P1043" s="72"/>
      <c r="Q1043" s="73"/>
      <c r="R1043" s="74"/>
      <c r="S1043" s="75"/>
      <c r="T1043" s="76"/>
      <c r="U1043" s="77" t="str">
        <f>IF(OR(F1046="",P1046=""),"",B1043/(F1046-P1046))</f>
        <v/>
      </c>
      <c r="V1043" s="78"/>
    </row>
    <row r="1044" spans="1:22" ht="9" customHeight="1" x14ac:dyDescent="0.55000000000000004">
      <c r="A1044" s="79"/>
      <c r="B1044" s="80"/>
      <c r="C1044" s="81"/>
      <c r="D1044" s="80"/>
      <c r="E1044" s="82"/>
      <c r="F1044" s="83" t="str">
        <f>IF(H1046="","",F1043-H1044)</f>
        <v/>
      </c>
      <c r="G1044" s="84" t="str">
        <f>IF(I1046="","",F1043-I1044)</f>
        <v/>
      </c>
      <c r="H1044" s="85" t="str">
        <f>IF(OR($A1046="集水",$A1046="吸水"),0.4,"")</f>
        <v/>
      </c>
      <c r="I1044" s="85" t="str">
        <f>IF(OR($A1046="集水",$A1046="吸水"),0.4,"")</f>
        <v/>
      </c>
      <c r="J1044" s="86" t="str">
        <f>IF(G1044="","",F1044-G1044)</f>
        <v/>
      </c>
      <c r="K1044" s="83" t="str">
        <f>IF(M1046="","",K1043-M1044)</f>
        <v/>
      </c>
      <c r="L1044" s="87" t="str">
        <f>IF(N1046="","",K1043-N1044)</f>
        <v/>
      </c>
      <c r="M1044" s="85" t="str">
        <f>IF(M1046="","",IF(OR($A1046="集水",$A1046="吸水"),0.4,""))</f>
        <v/>
      </c>
      <c r="N1044" s="85" t="str">
        <f>IF(N1046="","",IF(OR($A1046="集水",$A1046="吸水"),0.4,""))</f>
        <v/>
      </c>
      <c r="O1044" s="86" t="str">
        <f>IF(L1044="","",K1044-L1044)</f>
        <v/>
      </c>
      <c r="P1044" s="83" t="str">
        <f>IF(R1046="","",P1043-R1044)</f>
        <v/>
      </c>
      <c r="Q1044" s="84" t="str">
        <f>IF(S1046="","",P1043-S1044)</f>
        <v/>
      </c>
      <c r="R1044" s="85" t="str">
        <f>IF(OR($A1046="集水",$A1046="吸水"),0.4,"")</f>
        <v/>
      </c>
      <c r="S1044" s="85" t="str">
        <f>IF(OR($A1046="集水",$A1046="吸水"),0.4,"")</f>
        <v/>
      </c>
      <c r="T1044" s="86" t="str">
        <f>IF(Q1044="","",P1044-Q1044)</f>
        <v/>
      </c>
      <c r="U1044" s="88"/>
      <c r="V1044" s="89"/>
    </row>
    <row r="1045" spans="1:22" ht="9" customHeight="1" x14ac:dyDescent="0.55000000000000004">
      <c r="A1045" s="90"/>
      <c r="B1045" s="91"/>
      <c r="C1045" s="92" t="str">
        <f>IF(B1043="","",B1045-B1043)</f>
        <v/>
      </c>
      <c r="D1045" s="91"/>
      <c r="E1045" s="93" t="str">
        <f>IF(D1043="","",D1045-D1043)</f>
        <v/>
      </c>
      <c r="F1045" s="94"/>
      <c r="G1045" s="85"/>
      <c r="H1045" s="85"/>
      <c r="I1045" s="95"/>
      <c r="J1045" s="86"/>
      <c r="K1045" s="94"/>
      <c r="L1045" s="85"/>
      <c r="M1045" s="85"/>
      <c r="N1045" s="95"/>
      <c r="O1045" s="86"/>
      <c r="P1045" s="94"/>
      <c r="Q1045" s="85"/>
      <c r="R1045" s="85"/>
      <c r="S1045" s="95"/>
      <c r="T1045" s="86"/>
      <c r="U1045" s="96"/>
      <c r="V1045" s="97"/>
    </row>
    <row r="1046" spans="1:22" ht="9" customHeight="1" x14ac:dyDescent="0.55000000000000004">
      <c r="A1046" s="98"/>
      <c r="B1046" s="99"/>
      <c r="C1046" s="100"/>
      <c r="D1046" s="99"/>
      <c r="E1046" s="101"/>
      <c r="F1046" s="102" t="str">
        <f>IF(H1046="","",F1043-H1046)</f>
        <v/>
      </c>
      <c r="G1046" s="103" t="str">
        <f>IF(I1046="","",F1043-I1046)</f>
        <v/>
      </c>
      <c r="H1046" s="104"/>
      <c r="I1046" s="104"/>
      <c r="J1046" s="105"/>
      <c r="K1046" s="106" t="str">
        <f>IF(M1046="","",K1043-M1046)</f>
        <v/>
      </c>
      <c r="L1046" s="103" t="str">
        <f>IF(N1046="","",K1043-N1046)</f>
        <v/>
      </c>
      <c r="M1046" s="104"/>
      <c r="N1046" s="107"/>
      <c r="O1046" s="105"/>
      <c r="P1046" s="102" t="str">
        <f>IF(R1046="","",P1043-R1046)</f>
        <v/>
      </c>
      <c r="Q1046" s="103" t="str">
        <f>IF(S1046="","",P1043-S1046)</f>
        <v/>
      </c>
      <c r="R1046" s="104"/>
      <c r="S1046" s="104"/>
      <c r="T1046" s="105"/>
      <c r="U1046" s="108"/>
      <c r="V1046" s="109"/>
    </row>
    <row r="1047" spans="1:22" ht="9" customHeight="1" x14ac:dyDescent="0.55000000000000004">
      <c r="A1047" s="19"/>
      <c r="B1047" s="69"/>
      <c r="C1047" s="70"/>
      <c r="D1047" s="69"/>
      <c r="E1047" s="71"/>
      <c r="F1047" s="72"/>
      <c r="G1047" s="73"/>
      <c r="H1047" s="74"/>
      <c r="I1047" s="75"/>
      <c r="J1047" s="76"/>
      <c r="K1047" s="72"/>
      <c r="L1047" s="73"/>
      <c r="M1047" s="74"/>
      <c r="N1047" s="75"/>
      <c r="O1047" s="76"/>
      <c r="P1047" s="72"/>
      <c r="Q1047" s="73"/>
      <c r="R1047" s="74"/>
      <c r="S1047" s="75"/>
      <c r="T1047" s="76"/>
      <c r="U1047" s="77" t="str">
        <f>IF(OR(F1050="",P1050=""),"",B1047/(F1050-P1050))</f>
        <v/>
      </c>
      <c r="V1047" s="78"/>
    </row>
    <row r="1048" spans="1:22" ht="9" customHeight="1" x14ac:dyDescent="0.55000000000000004">
      <c r="A1048" s="79"/>
      <c r="B1048" s="80"/>
      <c r="C1048" s="81"/>
      <c r="D1048" s="80"/>
      <c r="E1048" s="82"/>
      <c r="F1048" s="83" t="str">
        <f>IF(H1050="","",F1047-H1048)</f>
        <v/>
      </c>
      <c r="G1048" s="84" t="str">
        <f>IF(I1050="","",F1047-I1048)</f>
        <v/>
      </c>
      <c r="H1048" s="85" t="str">
        <f>IF(OR($A1050="集水",$A1050="吸水"),0.4,"")</f>
        <v/>
      </c>
      <c r="I1048" s="85" t="str">
        <f>IF(OR($A1050="集水",$A1050="吸水"),0.4,"")</f>
        <v/>
      </c>
      <c r="J1048" s="86" t="str">
        <f>IF(G1048="","",F1048-G1048)</f>
        <v/>
      </c>
      <c r="K1048" s="83" t="str">
        <f>IF(M1050="","",K1047-M1048)</f>
        <v/>
      </c>
      <c r="L1048" s="87" t="str">
        <f>IF(N1050="","",K1047-N1048)</f>
        <v/>
      </c>
      <c r="M1048" s="85" t="str">
        <f>IF(M1050="","",IF(OR($A1050="集水",$A1050="吸水"),0.4,""))</f>
        <v/>
      </c>
      <c r="N1048" s="85" t="str">
        <f>IF(N1050="","",IF(OR($A1050="集水",$A1050="吸水"),0.4,""))</f>
        <v/>
      </c>
      <c r="O1048" s="86" t="str">
        <f>IF(L1048="","",K1048-L1048)</f>
        <v/>
      </c>
      <c r="P1048" s="83" t="str">
        <f>IF(R1050="","",P1047-R1048)</f>
        <v/>
      </c>
      <c r="Q1048" s="84" t="str">
        <f>IF(S1050="","",P1047-S1048)</f>
        <v/>
      </c>
      <c r="R1048" s="85" t="str">
        <f>IF(OR($A1050="集水",$A1050="吸水"),0.4,"")</f>
        <v/>
      </c>
      <c r="S1048" s="85" t="str">
        <f>IF(OR($A1050="集水",$A1050="吸水"),0.4,"")</f>
        <v/>
      </c>
      <c r="T1048" s="86" t="str">
        <f>IF(Q1048="","",P1048-Q1048)</f>
        <v/>
      </c>
      <c r="U1048" s="88"/>
      <c r="V1048" s="89"/>
    </row>
    <row r="1049" spans="1:22" ht="9" customHeight="1" x14ac:dyDescent="0.55000000000000004">
      <c r="A1049" s="90"/>
      <c r="B1049" s="91"/>
      <c r="C1049" s="92" t="str">
        <f>IF(B1047="","",B1049-B1047)</f>
        <v/>
      </c>
      <c r="D1049" s="91"/>
      <c r="E1049" s="93" t="str">
        <f>IF(D1047="","",D1049-D1047)</f>
        <v/>
      </c>
      <c r="F1049" s="94"/>
      <c r="G1049" s="85"/>
      <c r="H1049" s="85"/>
      <c r="I1049" s="95"/>
      <c r="J1049" s="86"/>
      <c r="K1049" s="94"/>
      <c r="L1049" s="85"/>
      <c r="M1049" s="85"/>
      <c r="N1049" s="95"/>
      <c r="O1049" s="86"/>
      <c r="P1049" s="94"/>
      <c r="Q1049" s="85"/>
      <c r="R1049" s="85"/>
      <c r="S1049" s="95"/>
      <c r="T1049" s="86"/>
      <c r="U1049" s="96"/>
      <c r="V1049" s="97"/>
    </row>
    <row r="1050" spans="1:22" ht="9" customHeight="1" x14ac:dyDescent="0.55000000000000004">
      <c r="A1050" s="98"/>
      <c r="B1050" s="99"/>
      <c r="C1050" s="100"/>
      <c r="D1050" s="99"/>
      <c r="E1050" s="101"/>
      <c r="F1050" s="102" t="str">
        <f>IF(H1050="","",F1047-H1050)</f>
        <v/>
      </c>
      <c r="G1050" s="103" t="str">
        <f>IF(I1050="","",F1047-I1050)</f>
        <v/>
      </c>
      <c r="H1050" s="104"/>
      <c r="I1050" s="104"/>
      <c r="J1050" s="105"/>
      <c r="K1050" s="106" t="str">
        <f>IF(M1050="","",K1047-M1050)</f>
        <v/>
      </c>
      <c r="L1050" s="103" t="str">
        <f>IF(N1050="","",K1047-N1050)</f>
        <v/>
      </c>
      <c r="M1050" s="104"/>
      <c r="N1050" s="107"/>
      <c r="O1050" s="105"/>
      <c r="P1050" s="102" t="str">
        <f>IF(R1050="","",P1047-R1050)</f>
        <v/>
      </c>
      <c r="Q1050" s="103" t="str">
        <f>IF(S1050="","",P1047-S1050)</f>
        <v/>
      </c>
      <c r="R1050" s="104"/>
      <c r="S1050" s="104"/>
      <c r="T1050" s="105"/>
      <c r="U1050" s="108"/>
      <c r="V1050" s="109"/>
    </row>
  </sheetData>
  <mergeCells count="3407">
    <mergeCell ref="K1047:L1047"/>
    <mergeCell ref="P1047:Q1047"/>
    <mergeCell ref="U1047:V1047"/>
    <mergeCell ref="B1049:B1050"/>
    <mergeCell ref="C1049:C1050"/>
    <mergeCell ref="D1049:D1050"/>
    <mergeCell ref="E1049:E1050"/>
    <mergeCell ref="A1047:A1048"/>
    <mergeCell ref="B1047:B1048"/>
    <mergeCell ref="C1047:C1048"/>
    <mergeCell ref="D1047:D1048"/>
    <mergeCell ref="E1047:E1048"/>
    <mergeCell ref="F1047:G1047"/>
    <mergeCell ref="K1043:L1043"/>
    <mergeCell ref="P1043:Q1043"/>
    <mergeCell ref="U1043:V1043"/>
    <mergeCell ref="B1045:B1046"/>
    <mergeCell ref="C1045:C1046"/>
    <mergeCell ref="D1045:D1046"/>
    <mergeCell ref="E1045:E1046"/>
    <mergeCell ref="A1043:A1044"/>
    <mergeCell ref="B1043:B1044"/>
    <mergeCell ref="C1043:C1044"/>
    <mergeCell ref="D1043:D1044"/>
    <mergeCell ref="E1043:E1044"/>
    <mergeCell ref="F1043:G1043"/>
    <mergeCell ref="K1039:L1039"/>
    <mergeCell ref="P1039:Q1039"/>
    <mergeCell ref="U1039:V1039"/>
    <mergeCell ref="B1041:B1042"/>
    <mergeCell ref="C1041:C1042"/>
    <mergeCell ref="D1041:D1042"/>
    <mergeCell ref="E1041:E1042"/>
    <mergeCell ref="A1039:A1040"/>
    <mergeCell ref="B1039:B1040"/>
    <mergeCell ref="C1039:C1040"/>
    <mergeCell ref="D1039:D1040"/>
    <mergeCell ref="E1039:E1040"/>
    <mergeCell ref="F1039:G1039"/>
    <mergeCell ref="K1035:L1035"/>
    <mergeCell ref="P1035:Q1035"/>
    <mergeCell ref="U1035:V1035"/>
    <mergeCell ref="B1037:B1038"/>
    <mergeCell ref="C1037:C1038"/>
    <mergeCell ref="D1037:D1038"/>
    <mergeCell ref="E1037:E1038"/>
    <mergeCell ref="A1035:A1036"/>
    <mergeCell ref="B1035:B1036"/>
    <mergeCell ref="C1035:C1036"/>
    <mergeCell ref="D1035:D1036"/>
    <mergeCell ref="E1035:E1036"/>
    <mergeCell ref="F1035:G1035"/>
    <mergeCell ref="K1031:L1031"/>
    <mergeCell ref="P1031:Q1031"/>
    <mergeCell ref="U1031:V1031"/>
    <mergeCell ref="B1033:B1034"/>
    <mergeCell ref="C1033:C1034"/>
    <mergeCell ref="D1033:D1034"/>
    <mergeCell ref="E1033:E1034"/>
    <mergeCell ref="A1031:A1032"/>
    <mergeCell ref="B1031:B1032"/>
    <mergeCell ref="C1031:C1032"/>
    <mergeCell ref="D1031:D1032"/>
    <mergeCell ref="E1031:E1032"/>
    <mergeCell ref="F1031:G1031"/>
    <mergeCell ref="K1027:L1027"/>
    <mergeCell ref="P1027:Q1027"/>
    <mergeCell ref="U1027:V1027"/>
    <mergeCell ref="B1029:B1030"/>
    <mergeCell ref="C1029:C1030"/>
    <mergeCell ref="D1029:D1030"/>
    <mergeCell ref="E1029:E1030"/>
    <mergeCell ref="A1027:A1028"/>
    <mergeCell ref="B1027:B1028"/>
    <mergeCell ref="C1027:C1028"/>
    <mergeCell ref="D1027:D1028"/>
    <mergeCell ref="E1027:E1028"/>
    <mergeCell ref="F1027:G1027"/>
    <mergeCell ref="K1023:L1023"/>
    <mergeCell ref="P1023:Q1023"/>
    <mergeCell ref="U1023:V1023"/>
    <mergeCell ref="B1025:B1026"/>
    <mergeCell ref="C1025:C1026"/>
    <mergeCell ref="D1025:D1026"/>
    <mergeCell ref="E1025:E1026"/>
    <mergeCell ref="A1023:A1024"/>
    <mergeCell ref="B1023:B1024"/>
    <mergeCell ref="C1023:C1024"/>
    <mergeCell ref="D1023:D1024"/>
    <mergeCell ref="E1023:E1024"/>
    <mergeCell ref="F1023:G1023"/>
    <mergeCell ref="K1019:L1019"/>
    <mergeCell ref="P1019:Q1019"/>
    <mergeCell ref="U1019:V1019"/>
    <mergeCell ref="B1021:B1022"/>
    <mergeCell ref="C1021:C1022"/>
    <mergeCell ref="D1021:D1022"/>
    <mergeCell ref="E1021:E1022"/>
    <mergeCell ref="A1019:A1020"/>
    <mergeCell ref="B1019:B1020"/>
    <mergeCell ref="C1019:C1020"/>
    <mergeCell ref="D1019:D1020"/>
    <mergeCell ref="E1019:E1020"/>
    <mergeCell ref="F1019:G1019"/>
    <mergeCell ref="K1015:L1015"/>
    <mergeCell ref="P1015:Q1015"/>
    <mergeCell ref="U1015:V1015"/>
    <mergeCell ref="B1017:B1018"/>
    <mergeCell ref="C1017:C1018"/>
    <mergeCell ref="D1017:D1018"/>
    <mergeCell ref="E1017:E1018"/>
    <mergeCell ref="A1015:A1016"/>
    <mergeCell ref="B1015:B1016"/>
    <mergeCell ref="C1015:C1016"/>
    <mergeCell ref="D1015:D1016"/>
    <mergeCell ref="E1015:E1016"/>
    <mergeCell ref="F1015:G1015"/>
    <mergeCell ref="K1011:L1011"/>
    <mergeCell ref="P1011:Q1011"/>
    <mergeCell ref="U1011:V1011"/>
    <mergeCell ref="B1013:B1014"/>
    <mergeCell ref="C1013:C1014"/>
    <mergeCell ref="D1013:D1014"/>
    <mergeCell ref="E1013:E1014"/>
    <mergeCell ref="A1011:A1012"/>
    <mergeCell ref="B1011:B1012"/>
    <mergeCell ref="C1011:C1012"/>
    <mergeCell ref="D1011:D1012"/>
    <mergeCell ref="E1011:E1012"/>
    <mergeCell ref="F1011:G1011"/>
    <mergeCell ref="K1007:L1007"/>
    <mergeCell ref="P1007:Q1007"/>
    <mergeCell ref="U1007:V1007"/>
    <mergeCell ref="B1009:B1010"/>
    <mergeCell ref="C1009:C1010"/>
    <mergeCell ref="D1009:D1010"/>
    <mergeCell ref="E1009:E1010"/>
    <mergeCell ref="A1007:A1008"/>
    <mergeCell ref="B1007:B1008"/>
    <mergeCell ref="C1007:C1008"/>
    <mergeCell ref="D1007:D1008"/>
    <mergeCell ref="E1007:E1008"/>
    <mergeCell ref="F1007:G1007"/>
    <mergeCell ref="K1003:L1003"/>
    <mergeCell ref="P1003:Q1003"/>
    <mergeCell ref="U1003:V1003"/>
    <mergeCell ref="B1005:B1006"/>
    <mergeCell ref="C1005:C1006"/>
    <mergeCell ref="D1005:D1006"/>
    <mergeCell ref="E1005:E1006"/>
    <mergeCell ref="A1003:A1004"/>
    <mergeCell ref="B1003:B1004"/>
    <mergeCell ref="C1003:C1004"/>
    <mergeCell ref="D1003:D1004"/>
    <mergeCell ref="E1003:E1004"/>
    <mergeCell ref="F1003:G1003"/>
    <mergeCell ref="K999:L999"/>
    <mergeCell ref="P999:Q999"/>
    <mergeCell ref="U999:V999"/>
    <mergeCell ref="B1001:B1002"/>
    <mergeCell ref="C1001:C1002"/>
    <mergeCell ref="D1001:D1002"/>
    <mergeCell ref="E1001:E1002"/>
    <mergeCell ref="A999:A1000"/>
    <mergeCell ref="B999:B1000"/>
    <mergeCell ref="C999:C1000"/>
    <mergeCell ref="D999:D1000"/>
    <mergeCell ref="E999:E1000"/>
    <mergeCell ref="F999:G999"/>
    <mergeCell ref="K995:L995"/>
    <mergeCell ref="P995:Q995"/>
    <mergeCell ref="U995:V995"/>
    <mergeCell ref="B997:B998"/>
    <mergeCell ref="C997:C998"/>
    <mergeCell ref="D997:D998"/>
    <mergeCell ref="E997:E998"/>
    <mergeCell ref="A995:A996"/>
    <mergeCell ref="B995:B996"/>
    <mergeCell ref="C995:C996"/>
    <mergeCell ref="D995:D996"/>
    <mergeCell ref="E995:E996"/>
    <mergeCell ref="F995:G995"/>
    <mergeCell ref="K991:L991"/>
    <mergeCell ref="P991:Q991"/>
    <mergeCell ref="U991:V991"/>
    <mergeCell ref="B993:B994"/>
    <mergeCell ref="C993:C994"/>
    <mergeCell ref="D993:D994"/>
    <mergeCell ref="E993:E994"/>
    <mergeCell ref="A991:A992"/>
    <mergeCell ref="B991:B992"/>
    <mergeCell ref="C991:C992"/>
    <mergeCell ref="D991:D992"/>
    <mergeCell ref="E991:E992"/>
    <mergeCell ref="F991:G991"/>
    <mergeCell ref="K987:L987"/>
    <mergeCell ref="P987:Q987"/>
    <mergeCell ref="U987:V987"/>
    <mergeCell ref="B989:B990"/>
    <mergeCell ref="C989:C990"/>
    <mergeCell ref="D989:D990"/>
    <mergeCell ref="E989:E990"/>
    <mergeCell ref="A987:A988"/>
    <mergeCell ref="B987:B988"/>
    <mergeCell ref="C987:C988"/>
    <mergeCell ref="D987:D988"/>
    <mergeCell ref="E987:E988"/>
    <mergeCell ref="F987:G987"/>
    <mergeCell ref="K983:L983"/>
    <mergeCell ref="P983:Q983"/>
    <mergeCell ref="U983:V983"/>
    <mergeCell ref="B985:B986"/>
    <mergeCell ref="C985:C986"/>
    <mergeCell ref="D985:D986"/>
    <mergeCell ref="E985:E986"/>
    <mergeCell ref="A983:A984"/>
    <mergeCell ref="B983:B984"/>
    <mergeCell ref="C983:C984"/>
    <mergeCell ref="D983:D984"/>
    <mergeCell ref="E983:E984"/>
    <mergeCell ref="F983:G983"/>
    <mergeCell ref="K979:L979"/>
    <mergeCell ref="P979:Q979"/>
    <mergeCell ref="U979:V979"/>
    <mergeCell ref="B981:B982"/>
    <mergeCell ref="C981:C982"/>
    <mergeCell ref="D981:D982"/>
    <mergeCell ref="E981:E982"/>
    <mergeCell ref="A979:A980"/>
    <mergeCell ref="B979:B980"/>
    <mergeCell ref="C979:C980"/>
    <mergeCell ref="D979:D980"/>
    <mergeCell ref="E979:E980"/>
    <mergeCell ref="F979:G979"/>
    <mergeCell ref="K975:L975"/>
    <mergeCell ref="P975:Q975"/>
    <mergeCell ref="U975:V975"/>
    <mergeCell ref="B977:B978"/>
    <mergeCell ref="C977:C978"/>
    <mergeCell ref="D977:D978"/>
    <mergeCell ref="E977:E978"/>
    <mergeCell ref="A975:A976"/>
    <mergeCell ref="B975:B976"/>
    <mergeCell ref="C975:C976"/>
    <mergeCell ref="D975:D976"/>
    <mergeCell ref="E975:E976"/>
    <mergeCell ref="F975:G975"/>
    <mergeCell ref="K971:L971"/>
    <mergeCell ref="P971:Q971"/>
    <mergeCell ref="U971:V971"/>
    <mergeCell ref="B973:B974"/>
    <mergeCell ref="C973:C974"/>
    <mergeCell ref="D973:D974"/>
    <mergeCell ref="E973:E974"/>
    <mergeCell ref="A971:A972"/>
    <mergeCell ref="B971:B972"/>
    <mergeCell ref="C971:C972"/>
    <mergeCell ref="D971:D972"/>
    <mergeCell ref="E971:E972"/>
    <mergeCell ref="F971:G971"/>
    <mergeCell ref="K967:L967"/>
    <mergeCell ref="P967:Q967"/>
    <mergeCell ref="U967:V967"/>
    <mergeCell ref="B969:B970"/>
    <mergeCell ref="C969:C970"/>
    <mergeCell ref="D969:D970"/>
    <mergeCell ref="E969:E970"/>
    <mergeCell ref="A967:A968"/>
    <mergeCell ref="B967:B968"/>
    <mergeCell ref="C967:C968"/>
    <mergeCell ref="D967:D968"/>
    <mergeCell ref="E967:E968"/>
    <mergeCell ref="F967:G967"/>
    <mergeCell ref="K963:L963"/>
    <mergeCell ref="P963:Q963"/>
    <mergeCell ref="U963:V963"/>
    <mergeCell ref="B965:B966"/>
    <mergeCell ref="C965:C966"/>
    <mergeCell ref="D965:D966"/>
    <mergeCell ref="E965:E966"/>
    <mergeCell ref="A963:A964"/>
    <mergeCell ref="B963:B964"/>
    <mergeCell ref="C963:C964"/>
    <mergeCell ref="D963:D964"/>
    <mergeCell ref="E963:E964"/>
    <mergeCell ref="F963:G963"/>
    <mergeCell ref="K959:L959"/>
    <mergeCell ref="P959:Q959"/>
    <mergeCell ref="U959:V959"/>
    <mergeCell ref="B961:B962"/>
    <mergeCell ref="C961:C962"/>
    <mergeCell ref="D961:D962"/>
    <mergeCell ref="E961:E962"/>
    <mergeCell ref="A959:A960"/>
    <mergeCell ref="B959:B960"/>
    <mergeCell ref="C959:C960"/>
    <mergeCell ref="D959:D960"/>
    <mergeCell ref="E959:E960"/>
    <mergeCell ref="F959:G959"/>
    <mergeCell ref="K955:L955"/>
    <mergeCell ref="P955:Q955"/>
    <mergeCell ref="U955:V955"/>
    <mergeCell ref="B957:B958"/>
    <mergeCell ref="C957:C958"/>
    <mergeCell ref="D957:D958"/>
    <mergeCell ref="E957:E958"/>
    <mergeCell ref="A955:A956"/>
    <mergeCell ref="B955:B956"/>
    <mergeCell ref="C955:C956"/>
    <mergeCell ref="D955:D956"/>
    <mergeCell ref="E955:E956"/>
    <mergeCell ref="F955:G955"/>
    <mergeCell ref="K951:L951"/>
    <mergeCell ref="P951:Q951"/>
    <mergeCell ref="U951:V951"/>
    <mergeCell ref="B953:B954"/>
    <mergeCell ref="C953:C954"/>
    <mergeCell ref="D953:D954"/>
    <mergeCell ref="E953:E954"/>
    <mergeCell ref="A951:A952"/>
    <mergeCell ref="B951:B952"/>
    <mergeCell ref="C951:C952"/>
    <mergeCell ref="D951:D952"/>
    <mergeCell ref="E951:E952"/>
    <mergeCell ref="F951:G951"/>
    <mergeCell ref="K947:L947"/>
    <mergeCell ref="P947:Q947"/>
    <mergeCell ref="U947:V947"/>
    <mergeCell ref="B949:B950"/>
    <mergeCell ref="C949:C950"/>
    <mergeCell ref="D949:D950"/>
    <mergeCell ref="E949:E950"/>
    <mergeCell ref="A947:A948"/>
    <mergeCell ref="B947:B948"/>
    <mergeCell ref="C947:C948"/>
    <mergeCell ref="D947:D948"/>
    <mergeCell ref="E947:E948"/>
    <mergeCell ref="F947:G947"/>
    <mergeCell ref="K943:L943"/>
    <mergeCell ref="P943:Q943"/>
    <mergeCell ref="U943:V943"/>
    <mergeCell ref="B945:B946"/>
    <mergeCell ref="C945:C946"/>
    <mergeCell ref="D945:D946"/>
    <mergeCell ref="E945:E946"/>
    <mergeCell ref="A943:A944"/>
    <mergeCell ref="B943:B944"/>
    <mergeCell ref="C943:C944"/>
    <mergeCell ref="D943:D944"/>
    <mergeCell ref="E943:E944"/>
    <mergeCell ref="F943:G943"/>
    <mergeCell ref="K939:L939"/>
    <mergeCell ref="P939:Q939"/>
    <mergeCell ref="U939:V939"/>
    <mergeCell ref="B941:B942"/>
    <mergeCell ref="C941:C942"/>
    <mergeCell ref="D941:D942"/>
    <mergeCell ref="E941:E942"/>
    <mergeCell ref="A939:A940"/>
    <mergeCell ref="B939:B940"/>
    <mergeCell ref="C939:C940"/>
    <mergeCell ref="D939:D940"/>
    <mergeCell ref="E939:E940"/>
    <mergeCell ref="F939:G939"/>
    <mergeCell ref="K935:L935"/>
    <mergeCell ref="P935:Q935"/>
    <mergeCell ref="U935:V935"/>
    <mergeCell ref="B937:B938"/>
    <mergeCell ref="C937:C938"/>
    <mergeCell ref="D937:D938"/>
    <mergeCell ref="E937:E938"/>
    <mergeCell ref="A935:A936"/>
    <mergeCell ref="B935:B936"/>
    <mergeCell ref="C935:C936"/>
    <mergeCell ref="D935:D936"/>
    <mergeCell ref="E935:E936"/>
    <mergeCell ref="F935:G935"/>
    <mergeCell ref="K931:L931"/>
    <mergeCell ref="P931:Q931"/>
    <mergeCell ref="U931:V931"/>
    <mergeCell ref="B933:B934"/>
    <mergeCell ref="C933:C934"/>
    <mergeCell ref="D933:D934"/>
    <mergeCell ref="E933:E934"/>
    <mergeCell ref="A931:A932"/>
    <mergeCell ref="B931:B932"/>
    <mergeCell ref="C931:C932"/>
    <mergeCell ref="D931:D932"/>
    <mergeCell ref="E931:E932"/>
    <mergeCell ref="F931:G931"/>
    <mergeCell ref="K927:L927"/>
    <mergeCell ref="P927:Q927"/>
    <mergeCell ref="U927:V927"/>
    <mergeCell ref="B929:B930"/>
    <mergeCell ref="C929:C930"/>
    <mergeCell ref="D929:D930"/>
    <mergeCell ref="E929:E930"/>
    <mergeCell ref="A927:A928"/>
    <mergeCell ref="B927:B928"/>
    <mergeCell ref="C927:C928"/>
    <mergeCell ref="D927:D928"/>
    <mergeCell ref="E927:E928"/>
    <mergeCell ref="F927:G927"/>
    <mergeCell ref="K923:L923"/>
    <mergeCell ref="P923:Q923"/>
    <mergeCell ref="U923:V923"/>
    <mergeCell ref="B925:B926"/>
    <mergeCell ref="C925:C926"/>
    <mergeCell ref="D925:D926"/>
    <mergeCell ref="E925:E926"/>
    <mergeCell ref="A923:A924"/>
    <mergeCell ref="B923:B924"/>
    <mergeCell ref="C923:C924"/>
    <mergeCell ref="D923:D924"/>
    <mergeCell ref="E923:E924"/>
    <mergeCell ref="F923:G923"/>
    <mergeCell ref="K919:L919"/>
    <mergeCell ref="P919:Q919"/>
    <mergeCell ref="U919:V919"/>
    <mergeCell ref="B921:B922"/>
    <mergeCell ref="C921:C922"/>
    <mergeCell ref="D921:D922"/>
    <mergeCell ref="E921:E922"/>
    <mergeCell ref="A919:A920"/>
    <mergeCell ref="B919:B920"/>
    <mergeCell ref="C919:C920"/>
    <mergeCell ref="D919:D920"/>
    <mergeCell ref="E919:E920"/>
    <mergeCell ref="F919:G919"/>
    <mergeCell ref="K915:L915"/>
    <mergeCell ref="P915:Q915"/>
    <mergeCell ref="U915:V915"/>
    <mergeCell ref="B917:B918"/>
    <mergeCell ref="C917:C918"/>
    <mergeCell ref="D917:D918"/>
    <mergeCell ref="E917:E918"/>
    <mergeCell ref="A915:A916"/>
    <mergeCell ref="B915:B916"/>
    <mergeCell ref="C915:C916"/>
    <mergeCell ref="D915:D916"/>
    <mergeCell ref="E915:E916"/>
    <mergeCell ref="F915:G915"/>
    <mergeCell ref="K911:L911"/>
    <mergeCell ref="P911:Q911"/>
    <mergeCell ref="U911:V911"/>
    <mergeCell ref="B913:B914"/>
    <mergeCell ref="C913:C914"/>
    <mergeCell ref="D913:D914"/>
    <mergeCell ref="E913:E914"/>
    <mergeCell ref="A911:A912"/>
    <mergeCell ref="B911:B912"/>
    <mergeCell ref="C911:C912"/>
    <mergeCell ref="D911:D912"/>
    <mergeCell ref="E911:E912"/>
    <mergeCell ref="F911:G911"/>
    <mergeCell ref="K907:L907"/>
    <mergeCell ref="P907:Q907"/>
    <mergeCell ref="U907:V907"/>
    <mergeCell ref="B909:B910"/>
    <mergeCell ref="C909:C910"/>
    <mergeCell ref="D909:D910"/>
    <mergeCell ref="E909:E910"/>
    <mergeCell ref="A907:A908"/>
    <mergeCell ref="B907:B908"/>
    <mergeCell ref="C907:C908"/>
    <mergeCell ref="D907:D908"/>
    <mergeCell ref="E907:E908"/>
    <mergeCell ref="F907:G907"/>
    <mergeCell ref="K903:L903"/>
    <mergeCell ref="P903:Q903"/>
    <mergeCell ref="U903:V903"/>
    <mergeCell ref="B905:B906"/>
    <mergeCell ref="C905:C906"/>
    <mergeCell ref="D905:D906"/>
    <mergeCell ref="E905:E906"/>
    <mergeCell ref="A903:A904"/>
    <mergeCell ref="B903:B904"/>
    <mergeCell ref="C903:C904"/>
    <mergeCell ref="D903:D904"/>
    <mergeCell ref="E903:E904"/>
    <mergeCell ref="F903:G903"/>
    <mergeCell ref="K899:L899"/>
    <mergeCell ref="P899:Q899"/>
    <mergeCell ref="U899:V899"/>
    <mergeCell ref="B901:B902"/>
    <mergeCell ref="C901:C902"/>
    <mergeCell ref="D901:D902"/>
    <mergeCell ref="E901:E902"/>
    <mergeCell ref="A899:A900"/>
    <mergeCell ref="B899:B900"/>
    <mergeCell ref="C899:C900"/>
    <mergeCell ref="D899:D900"/>
    <mergeCell ref="E899:E900"/>
    <mergeCell ref="F899:G899"/>
    <mergeCell ref="K895:L895"/>
    <mergeCell ref="P895:Q895"/>
    <mergeCell ref="U895:V895"/>
    <mergeCell ref="B897:B898"/>
    <mergeCell ref="C897:C898"/>
    <mergeCell ref="D897:D898"/>
    <mergeCell ref="E897:E898"/>
    <mergeCell ref="A895:A896"/>
    <mergeCell ref="B895:B896"/>
    <mergeCell ref="C895:C896"/>
    <mergeCell ref="D895:D896"/>
    <mergeCell ref="E895:E896"/>
    <mergeCell ref="F895:G895"/>
    <mergeCell ref="K891:L891"/>
    <mergeCell ref="P891:Q891"/>
    <mergeCell ref="U891:V891"/>
    <mergeCell ref="B893:B894"/>
    <mergeCell ref="C893:C894"/>
    <mergeCell ref="D893:D894"/>
    <mergeCell ref="E893:E894"/>
    <mergeCell ref="A891:A892"/>
    <mergeCell ref="B891:B892"/>
    <mergeCell ref="C891:C892"/>
    <mergeCell ref="D891:D892"/>
    <mergeCell ref="E891:E892"/>
    <mergeCell ref="F891:G891"/>
    <mergeCell ref="K887:L887"/>
    <mergeCell ref="P887:Q887"/>
    <mergeCell ref="U887:V887"/>
    <mergeCell ref="B889:B890"/>
    <mergeCell ref="C889:C890"/>
    <mergeCell ref="D889:D890"/>
    <mergeCell ref="E889:E890"/>
    <mergeCell ref="A887:A888"/>
    <mergeCell ref="B887:B888"/>
    <mergeCell ref="C887:C888"/>
    <mergeCell ref="D887:D888"/>
    <mergeCell ref="E887:E888"/>
    <mergeCell ref="F887:G887"/>
    <mergeCell ref="K883:L883"/>
    <mergeCell ref="P883:Q883"/>
    <mergeCell ref="U883:V883"/>
    <mergeCell ref="B885:B886"/>
    <mergeCell ref="C885:C886"/>
    <mergeCell ref="D885:D886"/>
    <mergeCell ref="E885:E886"/>
    <mergeCell ref="A883:A884"/>
    <mergeCell ref="B883:B884"/>
    <mergeCell ref="C883:C884"/>
    <mergeCell ref="D883:D884"/>
    <mergeCell ref="E883:E884"/>
    <mergeCell ref="F883:G883"/>
    <mergeCell ref="K879:L879"/>
    <mergeCell ref="P879:Q879"/>
    <mergeCell ref="U879:V879"/>
    <mergeCell ref="B881:B882"/>
    <mergeCell ref="C881:C882"/>
    <mergeCell ref="D881:D882"/>
    <mergeCell ref="E881:E882"/>
    <mergeCell ref="A879:A880"/>
    <mergeCell ref="B879:B880"/>
    <mergeCell ref="C879:C880"/>
    <mergeCell ref="D879:D880"/>
    <mergeCell ref="E879:E880"/>
    <mergeCell ref="F879:G879"/>
    <mergeCell ref="K875:L875"/>
    <mergeCell ref="P875:Q875"/>
    <mergeCell ref="U875:V875"/>
    <mergeCell ref="B877:B878"/>
    <mergeCell ref="C877:C878"/>
    <mergeCell ref="D877:D878"/>
    <mergeCell ref="E877:E878"/>
    <mergeCell ref="A875:A876"/>
    <mergeCell ref="B875:B876"/>
    <mergeCell ref="C875:C876"/>
    <mergeCell ref="D875:D876"/>
    <mergeCell ref="E875:E876"/>
    <mergeCell ref="F875:G875"/>
    <mergeCell ref="K871:L871"/>
    <mergeCell ref="P871:Q871"/>
    <mergeCell ref="U871:V871"/>
    <mergeCell ref="B873:B874"/>
    <mergeCell ref="C873:C874"/>
    <mergeCell ref="D873:D874"/>
    <mergeCell ref="E873:E874"/>
    <mergeCell ref="A871:A872"/>
    <mergeCell ref="B871:B872"/>
    <mergeCell ref="C871:C872"/>
    <mergeCell ref="D871:D872"/>
    <mergeCell ref="E871:E872"/>
    <mergeCell ref="F871:G871"/>
    <mergeCell ref="K867:L867"/>
    <mergeCell ref="P867:Q867"/>
    <mergeCell ref="U867:V867"/>
    <mergeCell ref="B869:B870"/>
    <mergeCell ref="C869:C870"/>
    <mergeCell ref="D869:D870"/>
    <mergeCell ref="E869:E870"/>
    <mergeCell ref="A867:A868"/>
    <mergeCell ref="B867:B868"/>
    <mergeCell ref="C867:C868"/>
    <mergeCell ref="D867:D868"/>
    <mergeCell ref="E867:E868"/>
    <mergeCell ref="F867:G867"/>
    <mergeCell ref="K863:L863"/>
    <mergeCell ref="P863:Q863"/>
    <mergeCell ref="U863:V863"/>
    <mergeCell ref="B865:B866"/>
    <mergeCell ref="C865:C866"/>
    <mergeCell ref="D865:D866"/>
    <mergeCell ref="E865:E866"/>
    <mergeCell ref="A863:A864"/>
    <mergeCell ref="B863:B864"/>
    <mergeCell ref="C863:C864"/>
    <mergeCell ref="D863:D864"/>
    <mergeCell ref="E863:E864"/>
    <mergeCell ref="F863:G863"/>
    <mergeCell ref="K859:L859"/>
    <mergeCell ref="P859:Q859"/>
    <mergeCell ref="U859:V859"/>
    <mergeCell ref="B861:B862"/>
    <mergeCell ref="C861:C862"/>
    <mergeCell ref="D861:D862"/>
    <mergeCell ref="E861:E862"/>
    <mergeCell ref="A859:A860"/>
    <mergeCell ref="B859:B860"/>
    <mergeCell ref="C859:C860"/>
    <mergeCell ref="D859:D860"/>
    <mergeCell ref="E859:E860"/>
    <mergeCell ref="F859:G859"/>
    <mergeCell ref="K855:L855"/>
    <mergeCell ref="P855:Q855"/>
    <mergeCell ref="U855:V855"/>
    <mergeCell ref="B857:B858"/>
    <mergeCell ref="C857:C858"/>
    <mergeCell ref="D857:D858"/>
    <mergeCell ref="E857:E858"/>
    <mergeCell ref="A855:A856"/>
    <mergeCell ref="B855:B856"/>
    <mergeCell ref="C855:C856"/>
    <mergeCell ref="D855:D856"/>
    <mergeCell ref="E855:E856"/>
    <mergeCell ref="F855:G855"/>
    <mergeCell ref="K851:L851"/>
    <mergeCell ref="P851:Q851"/>
    <mergeCell ref="U851:V851"/>
    <mergeCell ref="B853:B854"/>
    <mergeCell ref="C853:C854"/>
    <mergeCell ref="D853:D854"/>
    <mergeCell ref="E853:E854"/>
    <mergeCell ref="A851:A852"/>
    <mergeCell ref="B851:B852"/>
    <mergeCell ref="C851:C852"/>
    <mergeCell ref="D851:D852"/>
    <mergeCell ref="E851:E852"/>
    <mergeCell ref="F851:G851"/>
    <mergeCell ref="K847:L847"/>
    <mergeCell ref="P847:Q847"/>
    <mergeCell ref="U847:V847"/>
    <mergeCell ref="B849:B850"/>
    <mergeCell ref="C849:C850"/>
    <mergeCell ref="D849:D850"/>
    <mergeCell ref="E849:E850"/>
    <mergeCell ref="A847:A848"/>
    <mergeCell ref="B847:B848"/>
    <mergeCell ref="C847:C848"/>
    <mergeCell ref="D847:D848"/>
    <mergeCell ref="E847:E848"/>
    <mergeCell ref="F847:G847"/>
    <mergeCell ref="K843:L843"/>
    <mergeCell ref="P843:Q843"/>
    <mergeCell ref="U843:V843"/>
    <mergeCell ref="B845:B846"/>
    <mergeCell ref="C845:C846"/>
    <mergeCell ref="D845:D846"/>
    <mergeCell ref="E845:E846"/>
    <mergeCell ref="A843:A844"/>
    <mergeCell ref="B843:B844"/>
    <mergeCell ref="C843:C844"/>
    <mergeCell ref="D843:D844"/>
    <mergeCell ref="E843:E844"/>
    <mergeCell ref="F843:G843"/>
    <mergeCell ref="K839:L839"/>
    <mergeCell ref="P839:Q839"/>
    <mergeCell ref="U839:V839"/>
    <mergeCell ref="B841:B842"/>
    <mergeCell ref="C841:C842"/>
    <mergeCell ref="D841:D842"/>
    <mergeCell ref="E841:E842"/>
    <mergeCell ref="A839:A840"/>
    <mergeCell ref="B839:B840"/>
    <mergeCell ref="C839:C840"/>
    <mergeCell ref="D839:D840"/>
    <mergeCell ref="E839:E840"/>
    <mergeCell ref="F839:G839"/>
    <mergeCell ref="K835:L835"/>
    <mergeCell ref="P835:Q835"/>
    <mergeCell ref="U835:V835"/>
    <mergeCell ref="B837:B838"/>
    <mergeCell ref="C837:C838"/>
    <mergeCell ref="D837:D838"/>
    <mergeCell ref="E837:E838"/>
    <mergeCell ref="A835:A836"/>
    <mergeCell ref="B835:B836"/>
    <mergeCell ref="C835:C836"/>
    <mergeCell ref="D835:D836"/>
    <mergeCell ref="E835:E836"/>
    <mergeCell ref="F835:G835"/>
    <mergeCell ref="K831:L831"/>
    <mergeCell ref="P831:Q831"/>
    <mergeCell ref="U831:V831"/>
    <mergeCell ref="B833:B834"/>
    <mergeCell ref="C833:C834"/>
    <mergeCell ref="D833:D834"/>
    <mergeCell ref="E833:E834"/>
    <mergeCell ref="A831:A832"/>
    <mergeCell ref="B831:B832"/>
    <mergeCell ref="C831:C832"/>
    <mergeCell ref="D831:D832"/>
    <mergeCell ref="E831:E832"/>
    <mergeCell ref="F831:G831"/>
    <mergeCell ref="K827:L827"/>
    <mergeCell ref="P827:Q827"/>
    <mergeCell ref="U827:V827"/>
    <mergeCell ref="B829:B830"/>
    <mergeCell ref="C829:C830"/>
    <mergeCell ref="D829:D830"/>
    <mergeCell ref="E829:E830"/>
    <mergeCell ref="A827:A828"/>
    <mergeCell ref="B827:B828"/>
    <mergeCell ref="C827:C828"/>
    <mergeCell ref="D827:D828"/>
    <mergeCell ref="E827:E828"/>
    <mergeCell ref="F827:G827"/>
    <mergeCell ref="K823:L823"/>
    <mergeCell ref="P823:Q823"/>
    <mergeCell ref="U823:V823"/>
    <mergeCell ref="B825:B826"/>
    <mergeCell ref="C825:C826"/>
    <mergeCell ref="D825:D826"/>
    <mergeCell ref="E825:E826"/>
    <mergeCell ref="A823:A824"/>
    <mergeCell ref="B823:B824"/>
    <mergeCell ref="C823:C824"/>
    <mergeCell ref="D823:D824"/>
    <mergeCell ref="E823:E824"/>
    <mergeCell ref="F823:G823"/>
    <mergeCell ref="K819:L819"/>
    <mergeCell ref="P819:Q819"/>
    <mergeCell ref="U819:V819"/>
    <mergeCell ref="B821:B822"/>
    <mergeCell ref="C821:C822"/>
    <mergeCell ref="D821:D822"/>
    <mergeCell ref="E821:E822"/>
    <mergeCell ref="A819:A820"/>
    <mergeCell ref="B819:B820"/>
    <mergeCell ref="C819:C820"/>
    <mergeCell ref="D819:D820"/>
    <mergeCell ref="E819:E820"/>
    <mergeCell ref="F819:G819"/>
    <mergeCell ref="K815:L815"/>
    <mergeCell ref="P815:Q815"/>
    <mergeCell ref="U815:V815"/>
    <mergeCell ref="B817:B818"/>
    <mergeCell ref="C817:C818"/>
    <mergeCell ref="D817:D818"/>
    <mergeCell ref="E817:E818"/>
    <mergeCell ref="A815:A816"/>
    <mergeCell ref="B815:B816"/>
    <mergeCell ref="C815:C816"/>
    <mergeCell ref="D815:D816"/>
    <mergeCell ref="E815:E816"/>
    <mergeCell ref="F815:G815"/>
    <mergeCell ref="K811:L811"/>
    <mergeCell ref="P811:Q811"/>
    <mergeCell ref="U811:V811"/>
    <mergeCell ref="B813:B814"/>
    <mergeCell ref="C813:C814"/>
    <mergeCell ref="D813:D814"/>
    <mergeCell ref="E813:E814"/>
    <mergeCell ref="A811:A812"/>
    <mergeCell ref="B811:B812"/>
    <mergeCell ref="C811:C812"/>
    <mergeCell ref="D811:D812"/>
    <mergeCell ref="E811:E812"/>
    <mergeCell ref="F811:G811"/>
    <mergeCell ref="K807:L807"/>
    <mergeCell ref="P807:Q807"/>
    <mergeCell ref="U807:V807"/>
    <mergeCell ref="B809:B810"/>
    <mergeCell ref="C809:C810"/>
    <mergeCell ref="D809:D810"/>
    <mergeCell ref="E809:E810"/>
    <mergeCell ref="A807:A808"/>
    <mergeCell ref="B807:B808"/>
    <mergeCell ref="C807:C808"/>
    <mergeCell ref="D807:D808"/>
    <mergeCell ref="E807:E808"/>
    <mergeCell ref="F807:G807"/>
    <mergeCell ref="K803:L803"/>
    <mergeCell ref="P803:Q803"/>
    <mergeCell ref="U803:V803"/>
    <mergeCell ref="B805:B806"/>
    <mergeCell ref="C805:C806"/>
    <mergeCell ref="D805:D806"/>
    <mergeCell ref="E805:E806"/>
    <mergeCell ref="A803:A804"/>
    <mergeCell ref="B803:B804"/>
    <mergeCell ref="C803:C804"/>
    <mergeCell ref="D803:D804"/>
    <mergeCell ref="E803:E804"/>
    <mergeCell ref="F803:G803"/>
    <mergeCell ref="K799:L799"/>
    <mergeCell ref="P799:Q799"/>
    <mergeCell ref="U799:V799"/>
    <mergeCell ref="B801:B802"/>
    <mergeCell ref="C801:C802"/>
    <mergeCell ref="D801:D802"/>
    <mergeCell ref="E801:E802"/>
    <mergeCell ref="A799:A800"/>
    <mergeCell ref="B799:B800"/>
    <mergeCell ref="C799:C800"/>
    <mergeCell ref="D799:D800"/>
    <mergeCell ref="E799:E800"/>
    <mergeCell ref="F799:G799"/>
    <mergeCell ref="K795:L795"/>
    <mergeCell ref="P795:Q795"/>
    <mergeCell ref="U795:V795"/>
    <mergeCell ref="B797:B798"/>
    <mergeCell ref="C797:C798"/>
    <mergeCell ref="D797:D798"/>
    <mergeCell ref="E797:E798"/>
    <mergeCell ref="A795:A796"/>
    <mergeCell ref="B795:B796"/>
    <mergeCell ref="C795:C796"/>
    <mergeCell ref="D795:D796"/>
    <mergeCell ref="E795:E796"/>
    <mergeCell ref="F795:G795"/>
    <mergeCell ref="K791:L791"/>
    <mergeCell ref="P791:Q791"/>
    <mergeCell ref="U791:V791"/>
    <mergeCell ref="B793:B794"/>
    <mergeCell ref="C793:C794"/>
    <mergeCell ref="D793:D794"/>
    <mergeCell ref="E793:E794"/>
    <mergeCell ref="A791:A792"/>
    <mergeCell ref="B791:B792"/>
    <mergeCell ref="C791:C792"/>
    <mergeCell ref="D791:D792"/>
    <mergeCell ref="E791:E792"/>
    <mergeCell ref="F791:G791"/>
    <mergeCell ref="K787:L787"/>
    <mergeCell ref="P787:Q787"/>
    <mergeCell ref="U787:V787"/>
    <mergeCell ref="B789:B790"/>
    <mergeCell ref="C789:C790"/>
    <mergeCell ref="D789:D790"/>
    <mergeCell ref="E789:E790"/>
    <mergeCell ref="A787:A788"/>
    <mergeCell ref="B787:B788"/>
    <mergeCell ref="C787:C788"/>
    <mergeCell ref="D787:D788"/>
    <mergeCell ref="E787:E788"/>
    <mergeCell ref="F787:G787"/>
    <mergeCell ref="K783:L783"/>
    <mergeCell ref="P783:Q783"/>
    <mergeCell ref="U783:V783"/>
    <mergeCell ref="B785:B786"/>
    <mergeCell ref="C785:C786"/>
    <mergeCell ref="D785:D786"/>
    <mergeCell ref="E785:E786"/>
    <mergeCell ref="A783:A784"/>
    <mergeCell ref="B783:B784"/>
    <mergeCell ref="C783:C784"/>
    <mergeCell ref="D783:D784"/>
    <mergeCell ref="E783:E784"/>
    <mergeCell ref="F783:G783"/>
    <mergeCell ref="K779:L779"/>
    <mergeCell ref="P779:Q779"/>
    <mergeCell ref="U779:V779"/>
    <mergeCell ref="B781:B782"/>
    <mergeCell ref="C781:C782"/>
    <mergeCell ref="D781:D782"/>
    <mergeCell ref="E781:E782"/>
    <mergeCell ref="A779:A780"/>
    <mergeCell ref="B779:B780"/>
    <mergeCell ref="C779:C780"/>
    <mergeCell ref="D779:D780"/>
    <mergeCell ref="E779:E780"/>
    <mergeCell ref="F779:G779"/>
    <mergeCell ref="K775:L775"/>
    <mergeCell ref="P775:Q775"/>
    <mergeCell ref="U775:V775"/>
    <mergeCell ref="B777:B778"/>
    <mergeCell ref="C777:C778"/>
    <mergeCell ref="D777:D778"/>
    <mergeCell ref="E777:E778"/>
    <mergeCell ref="A775:A776"/>
    <mergeCell ref="B775:B776"/>
    <mergeCell ref="C775:C776"/>
    <mergeCell ref="D775:D776"/>
    <mergeCell ref="E775:E776"/>
    <mergeCell ref="F775:G775"/>
    <mergeCell ref="K771:L771"/>
    <mergeCell ref="P771:Q771"/>
    <mergeCell ref="U771:V771"/>
    <mergeCell ref="B773:B774"/>
    <mergeCell ref="C773:C774"/>
    <mergeCell ref="D773:D774"/>
    <mergeCell ref="E773:E774"/>
    <mergeCell ref="A771:A772"/>
    <mergeCell ref="B771:B772"/>
    <mergeCell ref="C771:C772"/>
    <mergeCell ref="D771:D772"/>
    <mergeCell ref="E771:E772"/>
    <mergeCell ref="F771:G771"/>
    <mergeCell ref="K767:L767"/>
    <mergeCell ref="P767:Q767"/>
    <mergeCell ref="U767:V767"/>
    <mergeCell ref="B769:B770"/>
    <mergeCell ref="C769:C770"/>
    <mergeCell ref="D769:D770"/>
    <mergeCell ref="E769:E770"/>
    <mergeCell ref="A767:A768"/>
    <mergeCell ref="B767:B768"/>
    <mergeCell ref="C767:C768"/>
    <mergeCell ref="D767:D768"/>
    <mergeCell ref="E767:E768"/>
    <mergeCell ref="F767:G767"/>
    <mergeCell ref="K763:L763"/>
    <mergeCell ref="P763:Q763"/>
    <mergeCell ref="U763:V763"/>
    <mergeCell ref="B765:B766"/>
    <mergeCell ref="C765:C766"/>
    <mergeCell ref="D765:D766"/>
    <mergeCell ref="E765:E766"/>
    <mergeCell ref="A763:A764"/>
    <mergeCell ref="B763:B764"/>
    <mergeCell ref="C763:C764"/>
    <mergeCell ref="D763:D764"/>
    <mergeCell ref="E763:E764"/>
    <mergeCell ref="F763:G763"/>
    <mergeCell ref="K759:L759"/>
    <mergeCell ref="P759:Q759"/>
    <mergeCell ref="U759:V759"/>
    <mergeCell ref="B761:B762"/>
    <mergeCell ref="C761:C762"/>
    <mergeCell ref="D761:D762"/>
    <mergeCell ref="E761:E762"/>
    <mergeCell ref="A759:A760"/>
    <mergeCell ref="B759:B760"/>
    <mergeCell ref="C759:C760"/>
    <mergeCell ref="D759:D760"/>
    <mergeCell ref="E759:E760"/>
    <mergeCell ref="F759:G759"/>
    <mergeCell ref="K755:L755"/>
    <mergeCell ref="P755:Q755"/>
    <mergeCell ref="U755:V755"/>
    <mergeCell ref="B757:B758"/>
    <mergeCell ref="C757:C758"/>
    <mergeCell ref="D757:D758"/>
    <mergeCell ref="E757:E758"/>
    <mergeCell ref="A755:A756"/>
    <mergeCell ref="B755:B756"/>
    <mergeCell ref="C755:C756"/>
    <mergeCell ref="D755:D756"/>
    <mergeCell ref="E755:E756"/>
    <mergeCell ref="F755:G755"/>
    <mergeCell ref="K751:L751"/>
    <mergeCell ref="P751:Q751"/>
    <mergeCell ref="U751:V751"/>
    <mergeCell ref="B753:B754"/>
    <mergeCell ref="C753:C754"/>
    <mergeCell ref="D753:D754"/>
    <mergeCell ref="E753:E754"/>
    <mergeCell ref="A751:A752"/>
    <mergeCell ref="B751:B752"/>
    <mergeCell ref="C751:C752"/>
    <mergeCell ref="D751:D752"/>
    <mergeCell ref="E751:E752"/>
    <mergeCell ref="F751:G751"/>
    <mergeCell ref="K747:L747"/>
    <mergeCell ref="P747:Q747"/>
    <mergeCell ref="U747:V747"/>
    <mergeCell ref="B749:B750"/>
    <mergeCell ref="C749:C750"/>
    <mergeCell ref="D749:D750"/>
    <mergeCell ref="E749:E750"/>
    <mergeCell ref="A747:A748"/>
    <mergeCell ref="B747:B748"/>
    <mergeCell ref="C747:C748"/>
    <mergeCell ref="D747:D748"/>
    <mergeCell ref="E747:E748"/>
    <mergeCell ref="F747:G747"/>
    <mergeCell ref="K743:L743"/>
    <mergeCell ref="P743:Q743"/>
    <mergeCell ref="U743:V743"/>
    <mergeCell ref="B745:B746"/>
    <mergeCell ref="C745:C746"/>
    <mergeCell ref="D745:D746"/>
    <mergeCell ref="E745:E746"/>
    <mergeCell ref="A743:A744"/>
    <mergeCell ref="B743:B744"/>
    <mergeCell ref="C743:C744"/>
    <mergeCell ref="D743:D744"/>
    <mergeCell ref="E743:E744"/>
    <mergeCell ref="F743:G743"/>
    <mergeCell ref="K739:L739"/>
    <mergeCell ref="P739:Q739"/>
    <mergeCell ref="U739:V739"/>
    <mergeCell ref="B741:B742"/>
    <mergeCell ref="C741:C742"/>
    <mergeCell ref="D741:D742"/>
    <mergeCell ref="E741:E742"/>
    <mergeCell ref="A739:A740"/>
    <mergeCell ref="B739:B740"/>
    <mergeCell ref="C739:C740"/>
    <mergeCell ref="D739:D740"/>
    <mergeCell ref="E739:E740"/>
    <mergeCell ref="F739:G739"/>
    <mergeCell ref="K735:L735"/>
    <mergeCell ref="P735:Q735"/>
    <mergeCell ref="U735:V735"/>
    <mergeCell ref="B737:B738"/>
    <mergeCell ref="C737:C738"/>
    <mergeCell ref="D737:D738"/>
    <mergeCell ref="E737:E738"/>
    <mergeCell ref="A735:A736"/>
    <mergeCell ref="B735:B736"/>
    <mergeCell ref="C735:C736"/>
    <mergeCell ref="D735:D736"/>
    <mergeCell ref="E735:E736"/>
    <mergeCell ref="F735:G735"/>
    <mergeCell ref="K731:L731"/>
    <mergeCell ref="P731:Q731"/>
    <mergeCell ref="U731:V731"/>
    <mergeCell ref="B733:B734"/>
    <mergeCell ref="C733:C734"/>
    <mergeCell ref="D733:D734"/>
    <mergeCell ref="E733:E734"/>
    <mergeCell ref="A731:A732"/>
    <mergeCell ref="B731:B732"/>
    <mergeCell ref="C731:C732"/>
    <mergeCell ref="D731:D732"/>
    <mergeCell ref="E731:E732"/>
    <mergeCell ref="F731:G731"/>
    <mergeCell ref="K727:L727"/>
    <mergeCell ref="P727:Q727"/>
    <mergeCell ref="U727:V727"/>
    <mergeCell ref="B729:B730"/>
    <mergeCell ref="C729:C730"/>
    <mergeCell ref="D729:D730"/>
    <mergeCell ref="E729:E730"/>
    <mergeCell ref="A727:A728"/>
    <mergeCell ref="B727:B728"/>
    <mergeCell ref="C727:C728"/>
    <mergeCell ref="D727:D728"/>
    <mergeCell ref="E727:E728"/>
    <mergeCell ref="F727:G727"/>
    <mergeCell ref="K723:L723"/>
    <mergeCell ref="P723:Q723"/>
    <mergeCell ref="U723:V723"/>
    <mergeCell ref="B725:B726"/>
    <mergeCell ref="C725:C726"/>
    <mergeCell ref="D725:D726"/>
    <mergeCell ref="E725:E726"/>
    <mergeCell ref="A723:A724"/>
    <mergeCell ref="B723:B724"/>
    <mergeCell ref="C723:C724"/>
    <mergeCell ref="D723:D724"/>
    <mergeCell ref="E723:E724"/>
    <mergeCell ref="F723:G723"/>
    <mergeCell ref="K719:L719"/>
    <mergeCell ref="P719:Q719"/>
    <mergeCell ref="U719:V719"/>
    <mergeCell ref="B721:B722"/>
    <mergeCell ref="C721:C722"/>
    <mergeCell ref="D721:D722"/>
    <mergeCell ref="E721:E722"/>
    <mergeCell ref="A719:A720"/>
    <mergeCell ref="B719:B720"/>
    <mergeCell ref="C719:C720"/>
    <mergeCell ref="D719:D720"/>
    <mergeCell ref="E719:E720"/>
    <mergeCell ref="F719:G719"/>
    <mergeCell ref="K715:L715"/>
    <mergeCell ref="P715:Q715"/>
    <mergeCell ref="U715:V715"/>
    <mergeCell ref="B717:B718"/>
    <mergeCell ref="C717:C718"/>
    <mergeCell ref="D717:D718"/>
    <mergeCell ref="E717:E718"/>
    <mergeCell ref="A715:A716"/>
    <mergeCell ref="B715:B716"/>
    <mergeCell ref="C715:C716"/>
    <mergeCell ref="D715:D716"/>
    <mergeCell ref="E715:E716"/>
    <mergeCell ref="F715:G715"/>
    <mergeCell ref="K711:L711"/>
    <mergeCell ref="P711:Q711"/>
    <mergeCell ref="U711:V711"/>
    <mergeCell ref="B713:B714"/>
    <mergeCell ref="C713:C714"/>
    <mergeCell ref="D713:D714"/>
    <mergeCell ref="E713:E714"/>
    <mergeCell ref="A711:A712"/>
    <mergeCell ref="B711:B712"/>
    <mergeCell ref="C711:C712"/>
    <mergeCell ref="D711:D712"/>
    <mergeCell ref="E711:E712"/>
    <mergeCell ref="F711:G711"/>
    <mergeCell ref="K707:L707"/>
    <mergeCell ref="P707:Q707"/>
    <mergeCell ref="U707:V707"/>
    <mergeCell ref="B709:B710"/>
    <mergeCell ref="C709:C710"/>
    <mergeCell ref="D709:D710"/>
    <mergeCell ref="E709:E710"/>
    <mergeCell ref="A707:A708"/>
    <mergeCell ref="B707:B708"/>
    <mergeCell ref="C707:C708"/>
    <mergeCell ref="D707:D708"/>
    <mergeCell ref="E707:E708"/>
    <mergeCell ref="F707:G707"/>
    <mergeCell ref="K703:L703"/>
    <mergeCell ref="P703:Q703"/>
    <mergeCell ref="U703:V703"/>
    <mergeCell ref="B705:B706"/>
    <mergeCell ref="C705:C706"/>
    <mergeCell ref="D705:D706"/>
    <mergeCell ref="E705:E706"/>
    <mergeCell ref="A703:A704"/>
    <mergeCell ref="B703:B704"/>
    <mergeCell ref="C703:C704"/>
    <mergeCell ref="D703:D704"/>
    <mergeCell ref="E703:E704"/>
    <mergeCell ref="F703:G703"/>
    <mergeCell ref="K699:L699"/>
    <mergeCell ref="P699:Q699"/>
    <mergeCell ref="U699:V699"/>
    <mergeCell ref="B701:B702"/>
    <mergeCell ref="C701:C702"/>
    <mergeCell ref="D701:D702"/>
    <mergeCell ref="E701:E702"/>
    <mergeCell ref="A699:A700"/>
    <mergeCell ref="B699:B700"/>
    <mergeCell ref="C699:C700"/>
    <mergeCell ref="D699:D700"/>
    <mergeCell ref="E699:E700"/>
    <mergeCell ref="F699:G699"/>
    <mergeCell ref="K695:L695"/>
    <mergeCell ref="P695:Q695"/>
    <mergeCell ref="U695:V695"/>
    <mergeCell ref="B697:B698"/>
    <mergeCell ref="C697:C698"/>
    <mergeCell ref="D697:D698"/>
    <mergeCell ref="E697:E698"/>
    <mergeCell ref="A695:A696"/>
    <mergeCell ref="B695:B696"/>
    <mergeCell ref="C695:C696"/>
    <mergeCell ref="D695:D696"/>
    <mergeCell ref="E695:E696"/>
    <mergeCell ref="F695:G695"/>
    <mergeCell ref="K691:L691"/>
    <mergeCell ref="P691:Q691"/>
    <mergeCell ref="U691:V691"/>
    <mergeCell ref="B693:B694"/>
    <mergeCell ref="C693:C694"/>
    <mergeCell ref="D693:D694"/>
    <mergeCell ref="E693:E694"/>
    <mergeCell ref="A691:A692"/>
    <mergeCell ref="B691:B692"/>
    <mergeCell ref="C691:C692"/>
    <mergeCell ref="D691:D692"/>
    <mergeCell ref="E691:E692"/>
    <mergeCell ref="F691:G691"/>
    <mergeCell ref="K687:L687"/>
    <mergeCell ref="P687:Q687"/>
    <mergeCell ref="U687:V687"/>
    <mergeCell ref="B689:B690"/>
    <mergeCell ref="C689:C690"/>
    <mergeCell ref="D689:D690"/>
    <mergeCell ref="E689:E690"/>
    <mergeCell ref="A687:A688"/>
    <mergeCell ref="B687:B688"/>
    <mergeCell ref="C687:C688"/>
    <mergeCell ref="D687:D688"/>
    <mergeCell ref="E687:E688"/>
    <mergeCell ref="F687:G687"/>
    <mergeCell ref="K683:L683"/>
    <mergeCell ref="P683:Q683"/>
    <mergeCell ref="U683:V683"/>
    <mergeCell ref="B685:B686"/>
    <mergeCell ref="C685:C686"/>
    <mergeCell ref="D685:D686"/>
    <mergeCell ref="E685:E686"/>
    <mergeCell ref="A683:A684"/>
    <mergeCell ref="B683:B684"/>
    <mergeCell ref="C683:C684"/>
    <mergeCell ref="D683:D684"/>
    <mergeCell ref="E683:E684"/>
    <mergeCell ref="F683:G683"/>
    <mergeCell ref="K679:L679"/>
    <mergeCell ref="P679:Q679"/>
    <mergeCell ref="U679:V679"/>
    <mergeCell ref="B681:B682"/>
    <mergeCell ref="C681:C682"/>
    <mergeCell ref="D681:D682"/>
    <mergeCell ref="E681:E682"/>
    <mergeCell ref="A679:A680"/>
    <mergeCell ref="B679:B680"/>
    <mergeCell ref="C679:C680"/>
    <mergeCell ref="D679:D680"/>
    <mergeCell ref="E679:E680"/>
    <mergeCell ref="F679:G679"/>
    <mergeCell ref="K675:L675"/>
    <mergeCell ref="P675:Q675"/>
    <mergeCell ref="U675:V675"/>
    <mergeCell ref="B677:B678"/>
    <mergeCell ref="C677:C678"/>
    <mergeCell ref="D677:D678"/>
    <mergeCell ref="E677:E678"/>
    <mergeCell ref="A675:A676"/>
    <mergeCell ref="B675:B676"/>
    <mergeCell ref="C675:C676"/>
    <mergeCell ref="D675:D676"/>
    <mergeCell ref="E675:E676"/>
    <mergeCell ref="F675:G675"/>
    <mergeCell ref="K671:L671"/>
    <mergeCell ref="P671:Q671"/>
    <mergeCell ref="U671:V671"/>
    <mergeCell ref="B673:B674"/>
    <mergeCell ref="C673:C674"/>
    <mergeCell ref="D673:D674"/>
    <mergeCell ref="E673:E674"/>
    <mergeCell ref="A671:A672"/>
    <mergeCell ref="B671:B672"/>
    <mergeCell ref="C671:C672"/>
    <mergeCell ref="D671:D672"/>
    <mergeCell ref="E671:E672"/>
    <mergeCell ref="F671:G671"/>
    <mergeCell ref="K667:L667"/>
    <mergeCell ref="P667:Q667"/>
    <mergeCell ref="U667:V667"/>
    <mergeCell ref="B669:B670"/>
    <mergeCell ref="C669:C670"/>
    <mergeCell ref="D669:D670"/>
    <mergeCell ref="E669:E670"/>
    <mergeCell ref="A667:A668"/>
    <mergeCell ref="B667:B668"/>
    <mergeCell ref="C667:C668"/>
    <mergeCell ref="D667:D668"/>
    <mergeCell ref="E667:E668"/>
    <mergeCell ref="F667:G667"/>
    <mergeCell ref="K663:L663"/>
    <mergeCell ref="P663:Q663"/>
    <mergeCell ref="U663:V663"/>
    <mergeCell ref="B665:B666"/>
    <mergeCell ref="C665:C666"/>
    <mergeCell ref="D665:D666"/>
    <mergeCell ref="E665:E666"/>
    <mergeCell ref="A663:A664"/>
    <mergeCell ref="B663:B664"/>
    <mergeCell ref="C663:C664"/>
    <mergeCell ref="D663:D664"/>
    <mergeCell ref="E663:E664"/>
    <mergeCell ref="F663:G663"/>
    <mergeCell ref="K659:L659"/>
    <mergeCell ref="P659:Q659"/>
    <mergeCell ref="U659:V659"/>
    <mergeCell ref="B661:B662"/>
    <mergeCell ref="C661:C662"/>
    <mergeCell ref="D661:D662"/>
    <mergeCell ref="E661:E662"/>
    <mergeCell ref="A659:A660"/>
    <mergeCell ref="B659:B660"/>
    <mergeCell ref="C659:C660"/>
    <mergeCell ref="D659:D660"/>
    <mergeCell ref="E659:E660"/>
    <mergeCell ref="F659:G659"/>
    <mergeCell ref="K655:L655"/>
    <mergeCell ref="P655:Q655"/>
    <mergeCell ref="U655:V655"/>
    <mergeCell ref="B657:B658"/>
    <mergeCell ref="C657:C658"/>
    <mergeCell ref="D657:D658"/>
    <mergeCell ref="E657:E658"/>
    <mergeCell ref="A655:A656"/>
    <mergeCell ref="B655:B656"/>
    <mergeCell ref="C655:C656"/>
    <mergeCell ref="D655:D656"/>
    <mergeCell ref="E655:E656"/>
    <mergeCell ref="F655:G655"/>
    <mergeCell ref="K651:L651"/>
    <mergeCell ref="P651:Q651"/>
    <mergeCell ref="U651:V651"/>
    <mergeCell ref="B653:B654"/>
    <mergeCell ref="C653:C654"/>
    <mergeCell ref="D653:D654"/>
    <mergeCell ref="E653:E654"/>
    <mergeCell ref="A651:A652"/>
    <mergeCell ref="B651:B652"/>
    <mergeCell ref="C651:C652"/>
    <mergeCell ref="D651:D652"/>
    <mergeCell ref="E651:E652"/>
    <mergeCell ref="F651:G651"/>
    <mergeCell ref="K647:L647"/>
    <mergeCell ref="P647:Q647"/>
    <mergeCell ref="U647:V647"/>
    <mergeCell ref="B649:B650"/>
    <mergeCell ref="C649:C650"/>
    <mergeCell ref="D649:D650"/>
    <mergeCell ref="E649:E650"/>
    <mergeCell ref="A647:A648"/>
    <mergeCell ref="B647:B648"/>
    <mergeCell ref="C647:C648"/>
    <mergeCell ref="D647:D648"/>
    <mergeCell ref="E647:E648"/>
    <mergeCell ref="F647:G647"/>
    <mergeCell ref="K643:L643"/>
    <mergeCell ref="P643:Q643"/>
    <mergeCell ref="U643:V643"/>
    <mergeCell ref="B645:B646"/>
    <mergeCell ref="C645:C646"/>
    <mergeCell ref="D645:D646"/>
    <mergeCell ref="E645:E646"/>
    <mergeCell ref="A643:A644"/>
    <mergeCell ref="B643:B644"/>
    <mergeCell ref="C643:C644"/>
    <mergeCell ref="D643:D644"/>
    <mergeCell ref="E643:E644"/>
    <mergeCell ref="F643:G643"/>
    <mergeCell ref="K639:L639"/>
    <mergeCell ref="P639:Q639"/>
    <mergeCell ref="U639:V639"/>
    <mergeCell ref="B641:B642"/>
    <mergeCell ref="C641:C642"/>
    <mergeCell ref="D641:D642"/>
    <mergeCell ref="E641:E642"/>
    <mergeCell ref="A639:A640"/>
    <mergeCell ref="B639:B640"/>
    <mergeCell ref="C639:C640"/>
    <mergeCell ref="D639:D640"/>
    <mergeCell ref="E639:E640"/>
    <mergeCell ref="F639:G639"/>
    <mergeCell ref="K635:L635"/>
    <mergeCell ref="P635:Q635"/>
    <mergeCell ref="U635:V635"/>
    <mergeCell ref="B637:B638"/>
    <mergeCell ref="C637:C638"/>
    <mergeCell ref="D637:D638"/>
    <mergeCell ref="E637:E638"/>
    <mergeCell ref="A635:A636"/>
    <mergeCell ref="B635:B636"/>
    <mergeCell ref="C635:C636"/>
    <mergeCell ref="D635:D636"/>
    <mergeCell ref="E635:E636"/>
    <mergeCell ref="F635:G635"/>
    <mergeCell ref="K631:L631"/>
    <mergeCell ref="P631:Q631"/>
    <mergeCell ref="U631:V631"/>
    <mergeCell ref="B633:B634"/>
    <mergeCell ref="C633:C634"/>
    <mergeCell ref="D633:D634"/>
    <mergeCell ref="E633:E634"/>
    <mergeCell ref="A631:A632"/>
    <mergeCell ref="B631:B632"/>
    <mergeCell ref="C631:C632"/>
    <mergeCell ref="D631:D632"/>
    <mergeCell ref="E631:E632"/>
    <mergeCell ref="F631:G631"/>
    <mergeCell ref="K627:L627"/>
    <mergeCell ref="P627:Q627"/>
    <mergeCell ref="U627:V627"/>
    <mergeCell ref="B629:B630"/>
    <mergeCell ref="C629:C630"/>
    <mergeCell ref="D629:D630"/>
    <mergeCell ref="E629:E630"/>
    <mergeCell ref="A627:A628"/>
    <mergeCell ref="B627:B628"/>
    <mergeCell ref="C627:C628"/>
    <mergeCell ref="D627:D628"/>
    <mergeCell ref="E627:E628"/>
    <mergeCell ref="F627:G627"/>
    <mergeCell ref="K623:L623"/>
    <mergeCell ref="P623:Q623"/>
    <mergeCell ref="U623:V623"/>
    <mergeCell ref="B625:B626"/>
    <mergeCell ref="C625:C626"/>
    <mergeCell ref="D625:D626"/>
    <mergeCell ref="E625:E626"/>
    <mergeCell ref="A623:A624"/>
    <mergeCell ref="B623:B624"/>
    <mergeCell ref="C623:C624"/>
    <mergeCell ref="D623:D624"/>
    <mergeCell ref="E623:E624"/>
    <mergeCell ref="F623:G623"/>
    <mergeCell ref="K619:L619"/>
    <mergeCell ref="P619:Q619"/>
    <mergeCell ref="U619:V619"/>
    <mergeCell ref="B621:B622"/>
    <mergeCell ref="C621:C622"/>
    <mergeCell ref="D621:D622"/>
    <mergeCell ref="E621:E622"/>
    <mergeCell ref="A619:A620"/>
    <mergeCell ref="B619:B620"/>
    <mergeCell ref="C619:C620"/>
    <mergeCell ref="D619:D620"/>
    <mergeCell ref="E619:E620"/>
    <mergeCell ref="F619:G619"/>
    <mergeCell ref="K615:L615"/>
    <mergeCell ref="P615:Q615"/>
    <mergeCell ref="U615:V615"/>
    <mergeCell ref="B617:B618"/>
    <mergeCell ref="C617:C618"/>
    <mergeCell ref="D617:D618"/>
    <mergeCell ref="E617:E618"/>
    <mergeCell ref="A615:A616"/>
    <mergeCell ref="B615:B616"/>
    <mergeCell ref="C615:C616"/>
    <mergeCell ref="D615:D616"/>
    <mergeCell ref="E615:E616"/>
    <mergeCell ref="F615:G615"/>
    <mergeCell ref="K611:L611"/>
    <mergeCell ref="P611:Q611"/>
    <mergeCell ref="U611:V611"/>
    <mergeCell ref="B613:B614"/>
    <mergeCell ref="C613:C614"/>
    <mergeCell ref="D613:D614"/>
    <mergeCell ref="E613:E614"/>
    <mergeCell ref="A611:A612"/>
    <mergeCell ref="B611:B612"/>
    <mergeCell ref="C611:C612"/>
    <mergeCell ref="D611:D612"/>
    <mergeCell ref="E611:E612"/>
    <mergeCell ref="F611:G611"/>
    <mergeCell ref="K607:L607"/>
    <mergeCell ref="P607:Q607"/>
    <mergeCell ref="U607:V607"/>
    <mergeCell ref="B609:B610"/>
    <mergeCell ref="C609:C610"/>
    <mergeCell ref="D609:D610"/>
    <mergeCell ref="E609:E610"/>
    <mergeCell ref="A607:A608"/>
    <mergeCell ref="B607:B608"/>
    <mergeCell ref="C607:C608"/>
    <mergeCell ref="D607:D608"/>
    <mergeCell ref="E607:E608"/>
    <mergeCell ref="F607:G607"/>
    <mergeCell ref="K603:L603"/>
    <mergeCell ref="P603:Q603"/>
    <mergeCell ref="U603:V603"/>
    <mergeCell ref="B605:B606"/>
    <mergeCell ref="C605:C606"/>
    <mergeCell ref="D605:D606"/>
    <mergeCell ref="E605:E606"/>
    <mergeCell ref="A603:A604"/>
    <mergeCell ref="B603:B604"/>
    <mergeCell ref="C603:C604"/>
    <mergeCell ref="D603:D604"/>
    <mergeCell ref="E603:E604"/>
    <mergeCell ref="F603:G603"/>
    <mergeCell ref="K599:L599"/>
    <mergeCell ref="P599:Q599"/>
    <mergeCell ref="U599:V599"/>
    <mergeCell ref="B601:B602"/>
    <mergeCell ref="C601:C602"/>
    <mergeCell ref="D601:D602"/>
    <mergeCell ref="E601:E602"/>
    <mergeCell ref="A599:A600"/>
    <mergeCell ref="B599:B600"/>
    <mergeCell ref="C599:C600"/>
    <mergeCell ref="D599:D600"/>
    <mergeCell ref="E599:E600"/>
    <mergeCell ref="F599:G599"/>
    <mergeCell ref="K595:L595"/>
    <mergeCell ref="P595:Q595"/>
    <mergeCell ref="U595:V595"/>
    <mergeCell ref="B597:B598"/>
    <mergeCell ref="C597:C598"/>
    <mergeCell ref="D597:D598"/>
    <mergeCell ref="E597:E598"/>
    <mergeCell ref="A595:A596"/>
    <mergeCell ref="B595:B596"/>
    <mergeCell ref="C595:C596"/>
    <mergeCell ref="D595:D596"/>
    <mergeCell ref="E595:E596"/>
    <mergeCell ref="F595:G595"/>
    <mergeCell ref="K591:L591"/>
    <mergeCell ref="P591:Q591"/>
    <mergeCell ref="U591:V591"/>
    <mergeCell ref="B593:B594"/>
    <mergeCell ref="C593:C594"/>
    <mergeCell ref="D593:D594"/>
    <mergeCell ref="E593:E594"/>
    <mergeCell ref="A591:A592"/>
    <mergeCell ref="B591:B592"/>
    <mergeCell ref="C591:C592"/>
    <mergeCell ref="D591:D592"/>
    <mergeCell ref="E591:E592"/>
    <mergeCell ref="F591:G591"/>
    <mergeCell ref="K587:L587"/>
    <mergeCell ref="P587:Q587"/>
    <mergeCell ref="U587:V587"/>
    <mergeCell ref="B589:B590"/>
    <mergeCell ref="C589:C590"/>
    <mergeCell ref="D589:D590"/>
    <mergeCell ref="E589:E590"/>
    <mergeCell ref="A587:A588"/>
    <mergeCell ref="B587:B588"/>
    <mergeCell ref="C587:C588"/>
    <mergeCell ref="D587:D588"/>
    <mergeCell ref="E587:E588"/>
    <mergeCell ref="F587:G587"/>
    <mergeCell ref="K583:L583"/>
    <mergeCell ref="P583:Q583"/>
    <mergeCell ref="U583:V583"/>
    <mergeCell ref="B585:B586"/>
    <mergeCell ref="C585:C586"/>
    <mergeCell ref="D585:D586"/>
    <mergeCell ref="E585:E586"/>
    <mergeCell ref="A583:A584"/>
    <mergeCell ref="B583:B584"/>
    <mergeCell ref="C583:C584"/>
    <mergeCell ref="D583:D584"/>
    <mergeCell ref="E583:E584"/>
    <mergeCell ref="F583:G583"/>
    <mergeCell ref="K579:L579"/>
    <mergeCell ref="P579:Q579"/>
    <mergeCell ref="U579:V579"/>
    <mergeCell ref="B581:B582"/>
    <mergeCell ref="C581:C582"/>
    <mergeCell ref="D581:D582"/>
    <mergeCell ref="E581:E582"/>
    <mergeCell ref="A579:A580"/>
    <mergeCell ref="B579:B580"/>
    <mergeCell ref="C579:C580"/>
    <mergeCell ref="D579:D580"/>
    <mergeCell ref="E579:E580"/>
    <mergeCell ref="F579:G579"/>
    <mergeCell ref="K575:L575"/>
    <mergeCell ref="P575:Q575"/>
    <mergeCell ref="U575:V575"/>
    <mergeCell ref="B577:B578"/>
    <mergeCell ref="C577:C578"/>
    <mergeCell ref="D577:D578"/>
    <mergeCell ref="E577:E578"/>
    <mergeCell ref="A575:A576"/>
    <mergeCell ref="B575:B576"/>
    <mergeCell ref="C575:C576"/>
    <mergeCell ref="D575:D576"/>
    <mergeCell ref="E575:E576"/>
    <mergeCell ref="F575:G575"/>
    <mergeCell ref="K571:L571"/>
    <mergeCell ref="P571:Q571"/>
    <mergeCell ref="U571:V571"/>
    <mergeCell ref="B573:B574"/>
    <mergeCell ref="C573:C574"/>
    <mergeCell ref="D573:D574"/>
    <mergeCell ref="E573:E574"/>
    <mergeCell ref="A571:A572"/>
    <mergeCell ref="B571:B572"/>
    <mergeCell ref="C571:C572"/>
    <mergeCell ref="D571:D572"/>
    <mergeCell ref="E571:E572"/>
    <mergeCell ref="F571:G571"/>
    <mergeCell ref="K567:L567"/>
    <mergeCell ref="P567:Q567"/>
    <mergeCell ref="U567:V567"/>
    <mergeCell ref="B569:B570"/>
    <mergeCell ref="C569:C570"/>
    <mergeCell ref="D569:D570"/>
    <mergeCell ref="E569:E570"/>
    <mergeCell ref="A567:A568"/>
    <mergeCell ref="B567:B568"/>
    <mergeCell ref="C567:C568"/>
    <mergeCell ref="D567:D568"/>
    <mergeCell ref="E567:E568"/>
    <mergeCell ref="F567:G567"/>
    <mergeCell ref="K563:L563"/>
    <mergeCell ref="P563:Q563"/>
    <mergeCell ref="U563:V563"/>
    <mergeCell ref="B565:B566"/>
    <mergeCell ref="C565:C566"/>
    <mergeCell ref="D565:D566"/>
    <mergeCell ref="E565:E566"/>
    <mergeCell ref="A563:A564"/>
    <mergeCell ref="B563:B564"/>
    <mergeCell ref="C563:C564"/>
    <mergeCell ref="D563:D564"/>
    <mergeCell ref="E563:E564"/>
    <mergeCell ref="F563:G563"/>
    <mergeCell ref="K559:L559"/>
    <mergeCell ref="P559:Q559"/>
    <mergeCell ref="U559:V559"/>
    <mergeCell ref="B561:B562"/>
    <mergeCell ref="C561:C562"/>
    <mergeCell ref="D561:D562"/>
    <mergeCell ref="E561:E562"/>
    <mergeCell ref="A559:A560"/>
    <mergeCell ref="B559:B560"/>
    <mergeCell ref="C559:C560"/>
    <mergeCell ref="D559:D560"/>
    <mergeCell ref="E559:E560"/>
    <mergeCell ref="F559:G559"/>
    <mergeCell ref="K555:L555"/>
    <mergeCell ref="P555:Q555"/>
    <mergeCell ref="U555:V555"/>
    <mergeCell ref="B557:B558"/>
    <mergeCell ref="C557:C558"/>
    <mergeCell ref="D557:D558"/>
    <mergeCell ref="E557:E558"/>
    <mergeCell ref="A555:A556"/>
    <mergeCell ref="B555:B556"/>
    <mergeCell ref="C555:C556"/>
    <mergeCell ref="D555:D556"/>
    <mergeCell ref="E555:E556"/>
    <mergeCell ref="F555:G555"/>
    <mergeCell ref="K551:L551"/>
    <mergeCell ref="P551:Q551"/>
    <mergeCell ref="U551:V551"/>
    <mergeCell ref="B553:B554"/>
    <mergeCell ref="C553:C554"/>
    <mergeCell ref="D553:D554"/>
    <mergeCell ref="E553:E554"/>
    <mergeCell ref="A551:A552"/>
    <mergeCell ref="B551:B552"/>
    <mergeCell ref="C551:C552"/>
    <mergeCell ref="D551:D552"/>
    <mergeCell ref="E551:E552"/>
    <mergeCell ref="F551:G551"/>
    <mergeCell ref="K547:L547"/>
    <mergeCell ref="P547:Q547"/>
    <mergeCell ref="U547:V547"/>
    <mergeCell ref="B549:B550"/>
    <mergeCell ref="C549:C550"/>
    <mergeCell ref="D549:D550"/>
    <mergeCell ref="E549:E550"/>
    <mergeCell ref="A547:A548"/>
    <mergeCell ref="B547:B548"/>
    <mergeCell ref="C547:C548"/>
    <mergeCell ref="D547:D548"/>
    <mergeCell ref="E547:E548"/>
    <mergeCell ref="F547:G547"/>
    <mergeCell ref="K543:L543"/>
    <mergeCell ref="P543:Q543"/>
    <mergeCell ref="U543:V543"/>
    <mergeCell ref="B545:B546"/>
    <mergeCell ref="C545:C546"/>
    <mergeCell ref="D545:D546"/>
    <mergeCell ref="E545:E546"/>
    <mergeCell ref="A543:A544"/>
    <mergeCell ref="B543:B544"/>
    <mergeCell ref="C543:C544"/>
    <mergeCell ref="D543:D544"/>
    <mergeCell ref="E543:E544"/>
    <mergeCell ref="F543:G543"/>
    <mergeCell ref="K539:L539"/>
    <mergeCell ref="P539:Q539"/>
    <mergeCell ref="U539:V539"/>
    <mergeCell ref="B541:B542"/>
    <mergeCell ref="C541:C542"/>
    <mergeCell ref="D541:D542"/>
    <mergeCell ref="E541:E542"/>
    <mergeCell ref="A539:A540"/>
    <mergeCell ref="B539:B540"/>
    <mergeCell ref="C539:C540"/>
    <mergeCell ref="D539:D540"/>
    <mergeCell ref="E539:E540"/>
    <mergeCell ref="F539:G539"/>
    <mergeCell ref="K535:L535"/>
    <mergeCell ref="P535:Q535"/>
    <mergeCell ref="U535:V535"/>
    <mergeCell ref="B537:B538"/>
    <mergeCell ref="C537:C538"/>
    <mergeCell ref="D537:D538"/>
    <mergeCell ref="E537:E538"/>
    <mergeCell ref="A535:A536"/>
    <mergeCell ref="B535:B536"/>
    <mergeCell ref="C535:C536"/>
    <mergeCell ref="D535:D536"/>
    <mergeCell ref="E535:E536"/>
    <mergeCell ref="F535:G535"/>
    <mergeCell ref="K531:L531"/>
    <mergeCell ref="P531:Q531"/>
    <mergeCell ref="U531:V531"/>
    <mergeCell ref="B533:B534"/>
    <mergeCell ref="C533:C534"/>
    <mergeCell ref="D533:D534"/>
    <mergeCell ref="E533:E534"/>
    <mergeCell ref="A531:A532"/>
    <mergeCell ref="B531:B532"/>
    <mergeCell ref="C531:C532"/>
    <mergeCell ref="D531:D532"/>
    <mergeCell ref="E531:E532"/>
    <mergeCell ref="F531:G531"/>
    <mergeCell ref="K527:L527"/>
    <mergeCell ref="P527:Q527"/>
    <mergeCell ref="U527:V527"/>
    <mergeCell ref="B529:B530"/>
    <mergeCell ref="C529:C530"/>
    <mergeCell ref="D529:D530"/>
    <mergeCell ref="E529:E530"/>
    <mergeCell ref="A527:A528"/>
    <mergeCell ref="B527:B528"/>
    <mergeCell ref="C527:C528"/>
    <mergeCell ref="D527:D528"/>
    <mergeCell ref="E527:E528"/>
    <mergeCell ref="F527:G527"/>
    <mergeCell ref="K523:L523"/>
    <mergeCell ref="P523:Q523"/>
    <mergeCell ref="U523:V523"/>
    <mergeCell ref="B525:B526"/>
    <mergeCell ref="C525:C526"/>
    <mergeCell ref="D525:D526"/>
    <mergeCell ref="E525:E526"/>
    <mergeCell ref="A523:A524"/>
    <mergeCell ref="B523:B524"/>
    <mergeCell ref="C523:C524"/>
    <mergeCell ref="D523:D524"/>
    <mergeCell ref="E523:E524"/>
    <mergeCell ref="F523:G523"/>
    <mergeCell ref="K519:L519"/>
    <mergeCell ref="P519:Q519"/>
    <mergeCell ref="U519:V519"/>
    <mergeCell ref="B521:B522"/>
    <mergeCell ref="C521:C522"/>
    <mergeCell ref="D521:D522"/>
    <mergeCell ref="E521:E522"/>
    <mergeCell ref="A519:A520"/>
    <mergeCell ref="B519:B520"/>
    <mergeCell ref="C519:C520"/>
    <mergeCell ref="D519:D520"/>
    <mergeCell ref="E519:E520"/>
    <mergeCell ref="F519:G519"/>
    <mergeCell ref="K515:L515"/>
    <mergeCell ref="P515:Q515"/>
    <mergeCell ref="U515:V515"/>
    <mergeCell ref="B517:B518"/>
    <mergeCell ref="C517:C518"/>
    <mergeCell ref="D517:D518"/>
    <mergeCell ref="E517:E518"/>
    <mergeCell ref="A515:A516"/>
    <mergeCell ref="B515:B516"/>
    <mergeCell ref="C515:C516"/>
    <mergeCell ref="D515:D516"/>
    <mergeCell ref="E515:E516"/>
    <mergeCell ref="F515:G515"/>
    <mergeCell ref="K511:L511"/>
    <mergeCell ref="P511:Q511"/>
    <mergeCell ref="U511:V511"/>
    <mergeCell ref="B513:B514"/>
    <mergeCell ref="C513:C514"/>
    <mergeCell ref="D513:D514"/>
    <mergeCell ref="E513:E514"/>
    <mergeCell ref="A511:A512"/>
    <mergeCell ref="B511:B512"/>
    <mergeCell ref="C511:C512"/>
    <mergeCell ref="D511:D512"/>
    <mergeCell ref="E511:E512"/>
    <mergeCell ref="F511:G511"/>
    <mergeCell ref="K507:L507"/>
    <mergeCell ref="P507:Q507"/>
    <mergeCell ref="U507:V507"/>
    <mergeCell ref="B509:B510"/>
    <mergeCell ref="C509:C510"/>
    <mergeCell ref="D509:D510"/>
    <mergeCell ref="E509:E510"/>
    <mergeCell ref="A507:A508"/>
    <mergeCell ref="B507:B508"/>
    <mergeCell ref="C507:C508"/>
    <mergeCell ref="D507:D508"/>
    <mergeCell ref="E507:E508"/>
    <mergeCell ref="F507:G507"/>
    <mergeCell ref="K503:L503"/>
    <mergeCell ref="P503:Q503"/>
    <mergeCell ref="U503:V503"/>
    <mergeCell ref="B505:B506"/>
    <mergeCell ref="C505:C506"/>
    <mergeCell ref="D505:D506"/>
    <mergeCell ref="E505:E506"/>
    <mergeCell ref="A503:A504"/>
    <mergeCell ref="B503:B504"/>
    <mergeCell ref="C503:C504"/>
    <mergeCell ref="D503:D504"/>
    <mergeCell ref="E503:E504"/>
    <mergeCell ref="F503:G503"/>
    <mergeCell ref="K499:L499"/>
    <mergeCell ref="P499:Q499"/>
    <mergeCell ref="U499:V499"/>
    <mergeCell ref="B501:B502"/>
    <mergeCell ref="C501:C502"/>
    <mergeCell ref="D501:D502"/>
    <mergeCell ref="E501:E502"/>
    <mergeCell ref="A499:A500"/>
    <mergeCell ref="B499:B500"/>
    <mergeCell ref="C499:C500"/>
    <mergeCell ref="D499:D500"/>
    <mergeCell ref="E499:E500"/>
    <mergeCell ref="F499:G499"/>
    <mergeCell ref="K495:L495"/>
    <mergeCell ref="P495:Q495"/>
    <mergeCell ref="U495:V495"/>
    <mergeCell ref="B497:B498"/>
    <mergeCell ref="C497:C498"/>
    <mergeCell ref="D497:D498"/>
    <mergeCell ref="E497:E498"/>
    <mergeCell ref="A495:A496"/>
    <mergeCell ref="B495:B496"/>
    <mergeCell ref="C495:C496"/>
    <mergeCell ref="D495:D496"/>
    <mergeCell ref="E495:E496"/>
    <mergeCell ref="F495:G495"/>
    <mergeCell ref="K491:L491"/>
    <mergeCell ref="P491:Q491"/>
    <mergeCell ref="U491:V491"/>
    <mergeCell ref="B493:B494"/>
    <mergeCell ref="C493:C494"/>
    <mergeCell ref="D493:D494"/>
    <mergeCell ref="E493:E494"/>
    <mergeCell ref="A491:A492"/>
    <mergeCell ref="B491:B492"/>
    <mergeCell ref="C491:C492"/>
    <mergeCell ref="D491:D492"/>
    <mergeCell ref="E491:E492"/>
    <mergeCell ref="F491:G491"/>
    <mergeCell ref="K487:L487"/>
    <mergeCell ref="P487:Q487"/>
    <mergeCell ref="U487:V487"/>
    <mergeCell ref="B489:B490"/>
    <mergeCell ref="C489:C490"/>
    <mergeCell ref="D489:D490"/>
    <mergeCell ref="E489:E490"/>
    <mergeCell ref="A487:A488"/>
    <mergeCell ref="B487:B488"/>
    <mergeCell ref="C487:C488"/>
    <mergeCell ref="D487:D488"/>
    <mergeCell ref="E487:E488"/>
    <mergeCell ref="F487:G487"/>
    <mergeCell ref="K483:L483"/>
    <mergeCell ref="P483:Q483"/>
    <mergeCell ref="U483:V483"/>
    <mergeCell ref="B485:B486"/>
    <mergeCell ref="C485:C486"/>
    <mergeCell ref="D485:D486"/>
    <mergeCell ref="E485:E486"/>
    <mergeCell ref="A483:A484"/>
    <mergeCell ref="B483:B484"/>
    <mergeCell ref="C483:C484"/>
    <mergeCell ref="D483:D484"/>
    <mergeCell ref="E483:E484"/>
    <mergeCell ref="F483:G483"/>
    <mergeCell ref="K479:L479"/>
    <mergeCell ref="P479:Q479"/>
    <mergeCell ref="U479:V479"/>
    <mergeCell ref="B481:B482"/>
    <mergeCell ref="C481:C482"/>
    <mergeCell ref="D481:D482"/>
    <mergeCell ref="E481:E482"/>
    <mergeCell ref="A479:A480"/>
    <mergeCell ref="B479:B480"/>
    <mergeCell ref="C479:C480"/>
    <mergeCell ref="D479:D480"/>
    <mergeCell ref="E479:E480"/>
    <mergeCell ref="F479:G479"/>
    <mergeCell ref="K475:L475"/>
    <mergeCell ref="P475:Q475"/>
    <mergeCell ref="U475:V475"/>
    <mergeCell ref="B477:B478"/>
    <mergeCell ref="C477:C478"/>
    <mergeCell ref="D477:D478"/>
    <mergeCell ref="E477:E478"/>
    <mergeCell ref="A475:A476"/>
    <mergeCell ref="B475:B476"/>
    <mergeCell ref="C475:C476"/>
    <mergeCell ref="D475:D476"/>
    <mergeCell ref="E475:E476"/>
    <mergeCell ref="F475:G475"/>
    <mergeCell ref="K471:L471"/>
    <mergeCell ref="P471:Q471"/>
    <mergeCell ref="U471:V471"/>
    <mergeCell ref="B473:B474"/>
    <mergeCell ref="C473:C474"/>
    <mergeCell ref="D473:D474"/>
    <mergeCell ref="E473:E474"/>
    <mergeCell ref="A471:A472"/>
    <mergeCell ref="B471:B472"/>
    <mergeCell ref="C471:C472"/>
    <mergeCell ref="D471:D472"/>
    <mergeCell ref="E471:E472"/>
    <mergeCell ref="F471:G471"/>
    <mergeCell ref="K467:L467"/>
    <mergeCell ref="P467:Q467"/>
    <mergeCell ref="U467:V467"/>
    <mergeCell ref="B469:B470"/>
    <mergeCell ref="C469:C470"/>
    <mergeCell ref="D469:D470"/>
    <mergeCell ref="E469:E470"/>
    <mergeCell ref="A467:A468"/>
    <mergeCell ref="B467:B468"/>
    <mergeCell ref="C467:C468"/>
    <mergeCell ref="D467:D468"/>
    <mergeCell ref="E467:E468"/>
    <mergeCell ref="F467:G467"/>
    <mergeCell ref="K463:L463"/>
    <mergeCell ref="P463:Q463"/>
    <mergeCell ref="U463:V463"/>
    <mergeCell ref="B465:B466"/>
    <mergeCell ref="C465:C466"/>
    <mergeCell ref="D465:D466"/>
    <mergeCell ref="E465:E466"/>
    <mergeCell ref="A463:A464"/>
    <mergeCell ref="B463:B464"/>
    <mergeCell ref="C463:C464"/>
    <mergeCell ref="D463:D464"/>
    <mergeCell ref="E463:E464"/>
    <mergeCell ref="F463:G463"/>
    <mergeCell ref="K459:L459"/>
    <mergeCell ref="P459:Q459"/>
    <mergeCell ref="U459:V459"/>
    <mergeCell ref="B461:B462"/>
    <mergeCell ref="C461:C462"/>
    <mergeCell ref="D461:D462"/>
    <mergeCell ref="E461:E462"/>
    <mergeCell ref="A459:A460"/>
    <mergeCell ref="B459:B460"/>
    <mergeCell ref="C459:C460"/>
    <mergeCell ref="D459:D460"/>
    <mergeCell ref="E459:E460"/>
    <mergeCell ref="F459:G459"/>
    <mergeCell ref="K455:L455"/>
    <mergeCell ref="P455:Q455"/>
    <mergeCell ref="U455:V455"/>
    <mergeCell ref="B457:B458"/>
    <mergeCell ref="C457:C458"/>
    <mergeCell ref="D457:D458"/>
    <mergeCell ref="E457:E458"/>
    <mergeCell ref="A455:A456"/>
    <mergeCell ref="B455:B456"/>
    <mergeCell ref="C455:C456"/>
    <mergeCell ref="D455:D456"/>
    <mergeCell ref="E455:E456"/>
    <mergeCell ref="F455:G455"/>
    <mergeCell ref="K451:L451"/>
    <mergeCell ref="P451:Q451"/>
    <mergeCell ref="U451:V451"/>
    <mergeCell ref="B453:B454"/>
    <mergeCell ref="C453:C454"/>
    <mergeCell ref="D453:D454"/>
    <mergeCell ref="E453:E454"/>
    <mergeCell ref="A451:A452"/>
    <mergeCell ref="B451:B452"/>
    <mergeCell ref="C451:C452"/>
    <mergeCell ref="D451:D452"/>
    <mergeCell ref="E451:E452"/>
    <mergeCell ref="F451:G451"/>
    <mergeCell ref="K447:L447"/>
    <mergeCell ref="P447:Q447"/>
    <mergeCell ref="U447:V447"/>
    <mergeCell ref="B449:B450"/>
    <mergeCell ref="C449:C450"/>
    <mergeCell ref="D449:D450"/>
    <mergeCell ref="E449:E450"/>
    <mergeCell ref="A447:A448"/>
    <mergeCell ref="B447:B448"/>
    <mergeCell ref="C447:C448"/>
    <mergeCell ref="D447:D448"/>
    <mergeCell ref="E447:E448"/>
    <mergeCell ref="F447:G447"/>
    <mergeCell ref="K443:L443"/>
    <mergeCell ref="P443:Q443"/>
    <mergeCell ref="U443:V443"/>
    <mergeCell ref="B445:B446"/>
    <mergeCell ref="C445:C446"/>
    <mergeCell ref="D445:D446"/>
    <mergeCell ref="E445:E446"/>
    <mergeCell ref="A443:A444"/>
    <mergeCell ref="B443:B444"/>
    <mergeCell ref="C443:C444"/>
    <mergeCell ref="D443:D444"/>
    <mergeCell ref="E443:E444"/>
    <mergeCell ref="F443:G443"/>
    <mergeCell ref="K439:L439"/>
    <mergeCell ref="P439:Q439"/>
    <mergeCell ref="U439:V439"/>
    <mergeCell ref="B441:B442"/>
    <mergeCell ref="C441:C442"/>
    <mergeCell ref="D441:D442"/>
    <mergeCell ref="E441:E442"/>
    <mergeCell ref="A439:A440"/>
    <mergeCell ref="B439:B440"/>
    <mergeCell ref="C439:C440"/>
    <mergeCell ref="D439:D440"/>
    <mergeCell ref="E439:E440"/>
    <mergeCell ref="F439:G439"/>
    <mergeCell ref="K435:L435"/>
    <mergeCell ref="P435:Q435"/>
    <mergeCell ref="U435:V435"/>
    <mergeCell ref="B437:B438"/>
    <mergeCell ref="C437:C438"/>
    <mergeCell ref="D437:D438"/>
    <mergeCell ref="E437:E438"/>
    <mergeCell ref="A435:A436"/>
    <mergeCell ref="B435:B436"/>
    <mergeCell ref="C435:C436"/>
    <mergeCell ref="D435:D436"/>
    <mergeCell ref="E435:E436"/>
    <mergeCell ref="F435:G435"/>
    <mergeCell ref="K431:L431"/>
    <mergeCell ref="P431:Q431"/>
    <mergeCell ref="U431:V431"/>
    <mergeCell ref="B433:B434"/>
    <mergeCell ref="C433:C434"/>
    <mergeCell ref="D433:D434"/>
    <mergeCell ref="E433:E434"/>
    <mergeCell ref="A431:A432"/>
    <mergeCell ref="B431:B432"/>
    <mergeCell ref="C431:C432"/>
    <mergeCell ref="D431:D432"/>
    <mergeCell ref="E431:E432"/>
    <mergeCell ref="F431:G431"/>
    <mergeCell ref="K427:L427"/>
    <mergeCell ref="P427:Q427"/>
    <mergeCell ref="U427:V427"/>
    <mergeCell ref="B429:B430"/>
    <mergeCell ref="C429:C430"/>
    <mergeCell ref="D429:D430"/>
    <mergeCell ref="E429:E430"/>
    <mergeCell ref="A427:A428"/>
    <mergeCell ref="B427:B428"/>
    <mergeCell ref="C427:C428"/>
    <mergeCell ref="D427:D428"/>
    <mergeCell ref="E427:E428"/>
    <mergeCell ref="F427:G427"/>
    <mergeCell ref="K423:L423"/>
    <mergeCell ref="P423:Q423"/>
    <mergeCell ref="U423:V423"/>
    <mergeCell ref="B425:B426"/>
    <mergeCell ref="C425:C426"/>
    <mergeCell ref="D425:D426"/>
    <mergeCell ref="E425:E426"/>
    <mergeCell ref="A423:A424"/>
    <mergeCell ref="B423:B424"/>
    <mergeCell ref="C423:C424"/>
    <mergeCell ref="D423:D424"/>
    <mergeCell ref="E423:E424"/>
    <mergeCell ref="F423:G423"/>
    <mergeCell ref="K419:L419"/>
    <mergeCell ref="P419:Q419"/>
    <mergeCell ref="U419:V419"/>
    <mergeCell ref="B421:B422"/>
    <mergeCell ref="C421:C422"/>
    <mergeCell ref="D421:D422"/>
    <mergeCell ref="E421:E422"/>
    <mergeCell ref="A419:A420"/>
    <mergeCell ref="B419:B420"/>
    <mergeCell ref="C419:C420"/>
    <mergeCell ref="D419:D420"/>
    <mergeCell ref="E419:E420"/>
    <mergeCell ref="F419:G419"/>
    <mergeCell ref="K415:L415"/>
    <mergeCell ref="P415:Q415"/>
    <mergeCell ref="U415:V415"/>
    <mergeCell ref="B417:B418"/>
    <mergeCell ref="C417:C418"/>
    <mergeCell ref="D417:D418"/>
    <mergeCell ref="E417:E418"/>
    <mergeCell ref="A415:A416"/>
    <mergeCell ref="B415:B416"/>
    <mergeCell ref="C415:C416"/>
    <mergeCell ref="D415:D416"/>
    <mergeCell ref="E415:E416"/>
    <mergeCell ref="F415:G415"/>
    <mergeCell ref="K411:L411"/>
    <mergeCell ref="P411:Q411"/>
    <mergeCell ref="U411:V411"/>
    <mergeCell ref="B413:B414"/>
    <mergeCell ref="C413:C414"/>
    <mergeCell ref="D413:D414"/>
    <mergeCell ref="E413:E414"/>
    <mergeCell ref="A411:A412"/>
    <mergeCell ref="B411:B412"/>
    <mergeCell ref="C411:C412"/>
    <mergeCell ref="D411:D412"/>
    <mergeCell ref="E411:E412"/>
    <mergeCell ref="F411:G411"/>
    <mergeCell ref="K407:L407"/>
    <mergeCell ref="P407:Q407"/>
    <mergeCell ref="U407:V407"/>
    <mergeCell ref="B409:B410"/>
    <mergeCell ref="C409:C410"/>
    <mergeCell ref="D409:D410"/>
    <mergeCell ref="E409:E410"/>
    <mergeCell ref="A407:A408"/>
    <mergeCell ref="B407:B408"/>
    <mergeCell ref="C407:C408"/>
    <mergeCell ref="D407:D408"/>
    <mergeCell ref="E407:E408"/>
    <mergeCell ref="F407:G407"/>
    <mergeCell ref="K403:L403"/>
    <mergeCell ref="P403:Q403"/>
    <mergeCell ref="U403:V403"/>
    <mergeCell ref="B405:B406"/>
    <mergeCell ref="C405:C406"/>
    <mergeCell ref="D405:D406"/>
    <mergeCell ref="E405:E406"/>
    <mergeCell ref="A403:A404"/>
    <mergeCell ref="B403:B404"/>
    <mergeCell ref="C403:C404"/>
    <mergeCell ref="D403:D404"/>
    <mergeCell ref="E403:E404"/>
    <mergeCell ref="F403:G403"/>
    <mergeCell ref="K399:L399"/>
    <mergeCell ref="P399:Q399"/>
    <mergeCell ref="U399:V399"/>
    <mergeCell ref="B401:B402"/>
    <mergeCell ref="C401:C402"/>
    <mergeCell ref="D401:D402"/>
    <mergeCell ref="E401:E402"/>
    <mergeCell ref="A399:A400"/>
    <mergeCell ref="B399:B400"/>
    <mergeCell ref="C399:C400"/>
    <mergeCell ref="D399:D400"/>
    <mergeCell ref="E399:E400"/>
    <mergeCell ref="F399:G399"/>
    <mergeCell ref="K395:L395"/>
    <mergeCell ref="P395:Q395"/>
    <mergeCell ref="U395:V395"/>
    <mergeCell ref="B397:B398"/>
    <mergeCell ref="C397:C398"/>
    <mergeCell ref="D397:D398"/>
    <mergeCell ref="E397:E398"/>
    <mergeCell ref="A395:A396"/>
    <mergeCell ref="B395:B396"/>
    <mergeCell ref="C395:C396"/>
    <mergeCell ref="D395:D396"/>
    <mergeCell ref="E395:E396"/>
    <mergeCell ref="F395:G395"/>
    <mergeCell ref="K391:L391"/>
    <mergeCell ref="P391:Q391"/>
    <mergeCell ref="U391:V391"/>
    <mergeCell ref="B393:B394"/>
    <mergeCell ref="C393:C394"/>
    <mergeCell ref="D393:D394"/>
    <mergeCell ref="E393:E394"/>
    <mergeCell ref="A391:A392"/>
    <mergeCell ref="B391:B392"/>
    <mergeCell ref="C391:C392"/>
    <mergeCell ref="D391:D392"/>
    <mergeCell ref="E391:E392"/>
    <mergeCell ref="F391:G391"/>
    <mergeCell ref="K387:L387"/>
    <mergeCell ref="P387:Q387"/>
    <mergeCell ref="U387:V387"/>
    <mergeCell ref="B389:B390"/>
    <mergeCell ref="C389:C390"/>
    <mergeCell ref="D389:D390"/>
    <mergeCell ref="E389:E390"/>
    <mergeCell ref="A387:A388"/>
    <mergeCell ref="B387:B388"/>
    <mergeCell ref="C387:C388"/>
    <mergeCell ref="D387:D388"/>
    <mergeCell ref="E387:E388"/>
    <mergeCell ref="F387:G387"/>
    <mergeCell ref="K383:L383"/>
    <mergeCell ref="P383:Q383"/>
    <mergeCell ref="U383:V383"/>
    <mergeCell ref="B385:B386"/>
    <mergeCell ref="C385:C386"/>
    <mergeCell ref="D385:D386"/>
    <mergeCell ref="E385:E386"/>
    <mergeCell ref="A383:A384"/>
    <mergeCell ref="B383:B384"/>
    <mergeCell ref="C383:C384"/>
    <mergeCell ref="D383:D384"/>
    <mergeCell ref="E383:E384"/>
    <mergeCell ref="F383:G383"/>
    <mergeCell ref="K379:L379"/>
    <mergeCell ref="P379:Q379"/>
    <mergeCell ref="U379:V379"/>
    <mergeCell ref="B381:B382"/>
    <mergeCell ref="C381:C382"/>
    <mergeCell ref="D381:D382"/>
    <mergeCell ref="E381:E382"/>
    <mergeCell ref="A379:A380"/>
    <mergeCell ref="B379:B380"/>
    <mergeCell ref="C379:C380"/>
    <mergeCell ref="D379:D380"/>
    <mergeCell ref="E379:E380"/>
    <mergeCell ref="F379:G379"/>
    <mergeCell ref="K375:L375"/>
    <mergeCell ref="P375:Q375"/>
    <mergeCell ref="U375:V375"/>
    <mergeCell ref="B377:B378"/>
    <mergeCell ref="C377:C378"/>
    <mergeCell ref="D377:D378"/>
    <mergeCell ref="E377:E378"/>
    <mergeCell ref="A375:A376"/>
    <mergeCell ref="B375:B376"/>
    <mergeCell ref="C375:C376"/>
    <mergeCell ref="D375:D376"/>
    <mergeCell ref="E375:E376"/>
    <mergeCell ref="F375:G375"/>
    <mergeCell ref="K371:L371"/>
    <mergeCell ref="P371:Q371"/>
    <mergeCell ref="U371:V371"/>
    <mergeCell ref="B373:B374"/>
    <mergeCell ref="C373:C374"/>
    <mergeCell ref="D373:D374"/>
    <mergeCell ref="E373:E374"/>
    <mergeCell ref="A371:A372"/>
    <mergeCell ref="B371:B372"/>
    <mergeCell ref="C371:C372"/>
    <mergeCell ref="D371:D372"/>
    <mergeCell ref="E371:E372"/>
    <mergeCell ref="F371:G371"/>
    <mergeCell ref="K367:L367"/>
    <mergeCell ref="P367:Q367"/>
    <mergeCell ref="U367:V367"/>
    <mergeCell ref="B369:B370"/>
    <mergeCell ref="C369:C370"/>
    <mergeCell ref="D369:D370"/>
    <mergeCell ref="E369:E370"/>
    <mergeCell ref="A367:A368"/>
    <mergeCell ref="B367:B368"/>
    <mergeCell ref="C367:C368"/>
    <mergeCell ref="D367:D368"/>
    <mergeCell ref="E367:E368"/>
    <mergeCell ref="F367:G367"/>
    <mergeCell ref="K363:L363"/>
    <mergeCell ref="P363:Q363"/>
    <mergeCell ref="U363:V363"/>
    <mergeCell ref="B365:B366"/>
    <mergeCell ref="C365:C366"/>
    <mergeCell ref="D365:D366"/>
    <mergeCell ref="E365:E366"/>
    <mergeCell ref="A363:A364"/>
    <mergeCell ref="B363:B364"/>
    <mergeCell ref="C363:C364"/>
    <mergeCell ref="D363:D364"/>
    <mergeCell ref="E363:E364"/>
    <mergeCell ref="F363:G363"/>
    <mergeCell ref="K359:L359"/>
    <mergeCell ref="P359:Q359"/>
    <mergeCell ref="U359:V359"/>
    <mergeCell ref="B361:B362"/>
    <mergeCell ref="C361:C362"/>
    <mergeCell ref="D361:D362"/>
    <mergeCell ref="E361:E362"/>
    <mergeCell ref="A359:A360"/>
    <mergeCell ref="B359:B360"/>
    <mergeCell ref="C359:C360"/>
    <mergeCell ref="D359:D360"/>
    <mergeCell ref="E359:E360"/>
    <mergeCell ref="F359:G359"/>
    <mergeCell ref="K355:L355"/>
    <mergeCell ref="P355:Q355"/>
    <mergeCell ref="U355:V355"/>
    <mergeCell ref="B357:B358"/>
    <mergeCell ref="C357:C358"/>
    <mergeCell ref="D357:D358"/>
    <mergeCell ref="E357:E358"/>
    <mergeCell ref="A355:A356"/>
    <mergeCell ref="B355:B356"/>
    <mergeCell ref="C355:C356"/>
    <mergeCell ref="D355:D356"/>
    <mergeCell ref="E355:E356"/>
    <mergeCell ref="F355:G355"/>
    <mergeCell ref="K351:L351"/>
    <mergeCell ref="P351:Q351"/>
    <mergeCell ref="U351:V351"/>
    <mergeCell ref="B353:B354"/>
    <mergeCell ref="C353:C354"/>
    <mergeCell ref="D353:D354"/>
    <mergeCell ref="E353:E354"/>
    <mergeCell ref="A351:A352"/>
    <mergeCell ref="B351:B352"/>
    <mergeCell ref="C351:C352"/>
    <mergeCell ref="D351:D352"/>
    <mergeCell ref="E351:E352"/>
    <mergeCell ref="F351:G351"/>
    <mergeCell ref="K347:L347"/>
    <mergeCell ref="P347:Q347"/>
    <mergeCell ref="U347:V347"/>
    <mergeCell ref="B349:B350"/>
    <mergeCell ref="C349:C350"/>
    <mergeCell ref="D349:D350"/>
    <mergeCell ref="E349:E350"/>
    <mergeCell ref="A347:A348"/>
    <mergeCell ref="B347:B348"/>
    <mergeCell ref="C347:C348"/>
    <mergeCell ref="D347:D348"/>
    <mergeCell ref="E347:E348"/>
    <mergeCell ref="F347:G347"/>
    <mergeCell ref="K343:L343"/>
    <mergeCell ref="P343:Q343"/>
    <mergeCell ref="U343:V343"/>
    <mergeCell ref="B345:B346"/>
    <mergeCell ref="C345:C346"/>
    <mergeCell ref="D345:D346"/>
    <mergeCell ref="E345:E346"/>
    <mergeCell ref="A343:A344"/>
    <mergeCell ref="B343:B344"/>
    <mergeCell ref="C343:C344"/>
    <mergeCell ref="D343:D344"/>
    <mergeCell ref="E343:E344"/>
    <mergeCell ref="F343:G343"/>
    <mergeCell ref="K339:L339"/>
    <mergeCell ref="P339:Q339"/>
    <mergeCell ref="U339:V339"/>
    <mergeCell ref="B341:B342"/>
    <mergeCell ref="C341:C342"/>
    <mergeCell ref="D341:D342"/>
    <mergeCell ref="E341:E342"/>
    <mergeCell ref="A339:A340"/>
    <mergeCell ref="B339:B340"/>
    <mergeCell ref="C339:C340"/>
    <mergeCell ref="D339:D340"/>
    <mergeCell ref="E339:E340"/>
    <mergeCell ref="F339:G339"/>
    <mergeCell ref="K335:L335"/>
    <mergeCell ref="P335:Q335"/>
    <mergeCell ref="U335:V335"/>
    <mergeCell ref="B337:B338"/>
    <mergeCell ref="C337:C338"/>
    <mergeCell ref="D337:D338"/>
    <mergeCell ref="E337:E338"/>
    <mergeCell ref="A335:A336"/>
    <mergeCell ref="B335:B336"/>
    <mergeCell ref="C335:C336"/>
    <mergeCell ref="D335:D336"/>
    <mergeCell ref="E335:E336"/>
    <mergeCell ref="F335:G335"/>
    <mergeCell ref="K331:L331"/>
    <mergeCell ref="P331:Q331"/>
    <mergeCell ref="U331:V331"/>
    <mergeCell ref="B333:B334"/>
    <mergeCell ref="C333:C334"/>
    <mergeCell ref="D333:D334"/>
    <mergeCell ref="E333:E334"/>
    <mergeCell ref="A331:A332"/>
    <mergeCell ref="B331:B332"/>
    <mergeCell ref="C331:C332"/>
    <mergeCell ref="D331:D332"/>
    <mergeCell ref="E331:E332"/>
    <mergeCell ref="F331:G331"/>
    <mergeCell ref="K327:L327"/>
    <mergeCell ref="P327:Q327"/>
    <mergeCell ref="U327:V327"/>
    <mergeCell ref="B329:B330"/>
    <mergeCell ref="C329:C330"/>
    <mergeCell ref="D329:D330"/>
    <mergeCell ref="E329:E330"/>
    <mergeCell ref="A327:A328"/>
    <mergeCell ref="B327:B328"/>
    <mergeCell ref="C327:C328"/>
    <mergeCell ref="D327:D328"/>
    <mergeCell ref="E327:E328"/>
    <mergeCell ref="F327:G327"/>
    <mergeCell ref="K323:L323"/>
    <mergeCell ref="P323:Q323"/>
    <mergeCell ref="U323:V323"/>
    <mergeCell ref="B325:B326"/>
    <mergeCell ref="C325:C326"/>
    <mergeCell ref="D325:D326"/>
    <mergeCell ref="E325:E326"/>
    <mergeCell ref="A323:A324"/>
    <mergeCell ref="B323:B324"/>
    <mergeCell ref="C323:C324"/>
    <mergeCell ref="D323:D324"/>
    <mergeCell ref="E323:E324"/>
    <mergeCell ref="F323:G323"/>
    <mergeCell ref="K319:L319"/>
    <mergeCell ref="P319:Q319"/>
    <mergeCell ref="U319:V319"/>
    <mergeCell ref="B321:B322"/>
    <mergeCell ref="C321:C322"/>
    <mergeCell ref="D321:D322"/>
    <mergeCell ref="E321:E322"/>
    <mergeCell ref="A319:A320"/>
    <mergeCell ref="B319:B320"/>
    <mergeCell ref="C319:C320"/>
    <mergeCell ref="D319:D320"/>
    <mergeCell ref="E319:E320"/>
    <mergeCell ref="F319:G319"/>
    <mergeCell ref="K315:L315"/>
    <mergeCell ref="P315:Q315"/>
    <mergeCell ref="U315:V315"/>
    <mergeCell ref="B317:B318"/>
    <mergeCell ref="C317:C318"/>
    <mergeCell ref="D317:D318"/>
    <mergeCell ref="E317:E318"/>
    <mergeCell ref="A315:A316"/>
    <mergeCell ref="B315:B316"/>
    <mergeCell ref="C315:C316"/>
    <mergeCell ref="D315:D316"/>
    <mergeCell ref="E315:E316"/>
    <mergeCell ref="F315:G315"/>
    <mergeCell ref="K311:L311"/>
    <mergeCell ref="P311:Q311"/>
    <mergeCell ref="U311:V311"/>
    <mergeCell ref="B313:B314"/>
    <mergeCell ref="C313:C314"/>
    <mergeCell ref="D313:D314"/>
    <mergeCell ref="E313:E314"/>
    <mergeCell ref="A311:A312"/>
    <mergeCell ref="B311:B312"/>
    <mergeCell ref="C311:C312"/>
    <mergeCell ref="D311:D312"/>
    <mergeCell ref="E311:E312"/>
    <mergeCell ref="F311:G311"/>
    <mergeCell ref="K307:L307"/>
    <mergeCell ref="P307:Q307"/>
    <mergeCell ref="U307:V307"/>
    <mergeCell ref="B309:B310"/>
    <mergeCell ref="C309:C310"/>
    <mergeCell ref="D309:D310"/>
    <mergeCell ref="E309:E310"/>
    <mergeCell ref="A307:A308"/>
    <mergeCell ref="B307:B308"/>
    <mergeCell ref="C307:C308"/>
    <mergeCell ref="D307:D308"/>
    <mergeCell ref="E307:E308"/>
    <mergeCell ref="F307:G307"/>
    <mergeCell ref="K303:L303"/>
    <mergeCell ref="P303:Q303"/>
    <mergeCell ref="U303:V303"/>
    <mergeCell ref="B305:B306"/>
    <mergeCell ref="C305:C306"/>
    <mergeCell ref="D305:D306"/>
    <mergeCell ref="E305:E306"/>
    <mergeCell ref="A303:A304"/>
    <mergeCell ref="B303:B304"/>
    <mergeCell ref="C303:C304"/>
    <mergeCell ref="D303:D304"/>
    <mergeCell ref="E303:E304"/>
    <mergeCell ref="F303:G303"/>
    <mergeCell ref="K299:L299"/>
    <mergeCell ref="P299:Q299"/>
    <mergeCell ref="U299:V299"/>
    <mergeCell ref="B301:B302"/>
    <mergeCell ref="C301:C302"/>
    <mergeCell ref="D301:D302"/>
    <mergeCell ref="E301:E302"/>
    <mergeCell ref="A299:A300"/>
    <mergeCell ref="B299:B300"/>
    <mergeCell ref="C299:C300"/>
    <mergeCell ref="D299:D300"/>
    <mergeCell ref="E299:E300"/>
    <mergeCell ref="F299:G299"/>
    <mergeCell ref="K295:L295"/>
    <mergeCell ref="P295:Q295"/>
    <mergeCell ref="U295:V295"/>
    <mergeCell ref="B297:B298"/>
    <mergeCell ref="C297:C298"/>
    <mergeCell ref="D297:D298"/>
    <mergeCell ref="E297:E298"/>
    <mergeCell ref="A295:A296"/>
    <mergeCell ref="B295:B296"/>
    <mergeCell ref="C295:C296"/>
    <mergeCell ref="D295:D296"/>
    <mergeCell ref="E295:E296"/>
    <mergeCell ref="F295:G295"/>
    <mergeCell ref="K291:L291"/>
    <mergeCell ref="P291:Q291"/>
    <mergeCell ref="U291:V291"/>
    <mergeCell ref="B293:B294"/>
    <mergeCell ref="C293:C294"/>
    <mergeCell ref="D293:D294"/>
    <mergeCell ref="E293:E294"/>
    <mergeCell ref="A291:A292"/>
    <mergeCell ref="B291:B292"/>
    <mergeCell ref="C291:C292"/>
    <mergeCell ref="D291:D292"/>
    <mergeCell ref="E291:E292"/>
    <mergeCell ref="F291:G291"/>
    <mergeCell ref="K287:L287"/>
    <mergeCell ref="P287:Q287"/>
    <mergeCell ref="U287:V287"/>
    <mergeCell ref="B289:B290"/>
    <mergeCell ref="C289:C290"/>
    <mergeCell ref="D289:D290"/>
    <mergeCell ref="E289:E290"/>
    <mergeCell ref="A287:A288"/>
    <mergeCell ref="B287:B288"/>
    <mergeCell ref="C287:C288"/>
    <mergeCell ref="D287:D288"/>
    <mergeCell ref="E287:E288"/>
    <mergeCell ref="F287:G287"/>
    <mergeCell ref="K283:L283"/>
    <mergeCell ref="P283:Q283"/>
    <mergeCell ref="U283:V283"/>
    <mergeCell ref="B285:B286"/>
    <mergeCell ref="C285:C286"/>
    <mergeCell ref="D285:D286"/>
    <mergeCell ref="E285:E286"/>
    <mergeCell ref="A283:A284"/>
    <mergeCell ref="B283:B284"/>
    <mergeCell ref="C283:C284"/>
    <mergeCell ref="D283:D284"/>
    <mergeCell ref="E283:E284"/>
    <mergeCell ref="F283:G283"/>
    <mergeCell ref="K279:L279"/>
    <mergeCell ref="P279:Q279"/>
    <mergeCell ref="U279:V279"/>
    <mergeCell ref="B281:B282"/>
    <mergeCell ref="C281:C282"/>
    <mergeCell ref="D281:D282"/>
    <mergeCell ref="E281:E282"/>
    <mergeCell ref="A279:A280"/>
    <mergeCell ref="B279:B280"/>
    <mergeCell ref="C279:C280"/>
    <mergeCell ref="D279:D280"/>
    <mergeCell ref="E279:E280"/>
    <mergeCell ref="F279:G279"/>
    <mergeCell ref="K275:L275"/>
    <mergeCell ref="P275:Q275"/>
    <mergeCell ref="U275:V275"/>
    <mergeCell ref="B277:B278"/>
    <mergeCell ref="C277:C278"/>
    <mergeCell ref="D277:D278"/>
    <mergeCell ref="E277:E278"/>
    <mergeCell ref="A275:A276"/>
    <mergeCell ref="B275:B276"/>
    <mergeCell ref="C275:C276"/>
    <mergeCell ref="D275:D276"/>
    <mergeCell ref="E275:E276"/>
    <mergeCell ref="F275:G275"/>
    <mergeCell ref="K271:L271"/>
    <mergeCell ref="P271:Q271"/>
    <mergeCell ref="U271:V271"/>
    <mergeCell ref="B273:B274"/>
    <mergeCell ref="C273:C274"/>
    <mergeCell ref="D273:D274"/>
    <mergeCell ref="E273:E274"/>
    <mergeCell ref="A271:A272"/>
    <mergeCell ref="B271:B272"/>
    <mergeCell ref="C271:C272"/>
    <mergeCell ref="D271:D272"/>
    <mergeCell ref="E271:E272"/>
    <mergeCell ref="F271:G271"/>
    <mergeCell ref="K267:L267"/>
    <mergeCell ref="P267:Q267"/>
    <mergeCell ref="U267:V267"/>
    <mergeCell ref="B269:B270"/>
    <mergeCell ref="C269:C270"/>
    <mergeCell ref="D269:D270"/>
    <mergeCell ref="E269:E270"/>
    <mergeCell ref="A267:A268"/>
    <mergeCell ref="B267:B268"/>
    <mergeCell ref="C267:C268"/>
    <mergeCell ref="D267:D268"/>
    <mergeCell ref="E267:E268"/>
    <mergeCell ref="F267:G267"/>
    <mergeCell ref="K263:L263"/>
    <mergeCell ref="P263:Q263"/>
    <mergeCell ref="U263:V263"/>
    <mergeCell ref="B265:B266"/>
    <mergeCell ref="C265:C266"/>
    <mergeCell ref="D265:D266"/>
    <mergeCell ref="E265:E266"/>
    <mergeCell ref="A263:A264"/>
    <mergeCell ref="B263:B264"/>
    <mergeCell ref="C263:C264"/>
    <mergeCell ref="D263:D264"/>
    <mergeCell ref="E263:E264"/>
    <mergeCell ref="F263:G263"/>
    <mergeCell ref="K259:L259"/>
    <mergeCell ref="P259:Q259"/>
    <mergeCell ref="U259:V259"/>
    <mergeCell ref="B261:B262"/>
    <mergeCell ref="C261:C262"/>
    <mergeCell ref="D261:D262"/>
    <mergeCell ref="E261:E262"/>
    <mergeCell ref="A259:A260"/>
    <mergeCell ref="B259:B260"/>
    <mergeCell ref="C259:C260"/>
    <mergeCell ref="D259:D260"/>
    <mergeCell ref="E259:E260"/>
    <mergeCell ref="F259:G259"/>
    <mergeCell ref="K255:L255"/>
    <mergeCell ref="P255:Q255"/>
    <mergeCell ref="U255:V255"/>
    <mergeCell ref="B257:B258"/>
    <mergeCell ref="C257:C258"/>
    <mergeCell ref="D257:D258"/>
    <mergeCell ref="E257:E258"/>
    <mergeCell ref="A255:A256"/>
    <mergeCell ref="B255:B256"/>
    <mergeCell ref="C255:C256"/>
    <mergeCell ref="D255:D256"/>
    <mergeCell ref="E255:E256"/>
    <mergeCell ref="F255:G255"/>
    <mergeCell ref="K251:L251"/>
    <mergeCell ref="P251:Q251"/>
    <mergeCell ref="U251:V251"/>
    <mergeCell ref="B253:B254"/>
    <mergeCell ref="C253:C254"/>
    <mergeCell ref="D253:D254"/>
    <mergeCell ref="E253:E254"/>
    <mergeCell ref="A251:A252"/>
    <mergeCell ref="B251:B252"/>
    <mergeCell ref="C251:C252"/>
    <mergeCell ref="D251:D252"/>
    <mergeCell ref="E251:E252"/>
    <mergeCell ref="F251:G251"/>
    <mergeCell ref="K247:L247"/>
    <mergeCell ref="P247:Q247"/>
    <mergeCell ref="U247:V247"/>
    <mergeCell ref="B249:B250"/>
    <mergeCell ref="C249:C250"/>
    <mergeCell ref="D249:D250"/>
    <mergeCell ref="E249:E250"/>
    <mergeCell ref="A247:A248"/>
    <mergeCell ref="B247:B248"/>
    <mergeCell ref="C247:C248"/>
    <mergeCell ref="D247:D248"/>
    <mergeCell ref="E247:E248"/>
    <mergeCell ref="F247:G247"/>
    <mergeCell ref="K243:L243"/>
    <mergeCell ref="P243:Q243"/>
    <mergeCell ref="U243:V243"/>
    <mergeCell ref="B245:B246"/>
    <mergeCell ref="C245:C246"/>
    <mergeCell ref="D245:D246"/>
    <mergeCell ref="E245:E246"/>
    <mergeCell ref="A243:A244"/>
    <mergeCell ref="B243:B244"/>
    <mergeCell ref="C243:C244"/>
    <mergeCell ref="D243:D244"/>
    <mergeCell ref="E243:E244"/>
    <mergeCell ref="F243:G243"/>
    <mergeCell ref="K239:L239"/>
    <mergeCell ref="P239:Q239"/>
    <mergeCell ref="U239:V239"/>
    <mergeCell ref="B241:B242"/>
    <mergeCell ref="C241:C242"/>
    <mergeCell ref="D241:D242"/>
    <mergeCell ref="E241:E242"/>
    <mergeCell ref="A239:A240"/>
    <mergeCell ref="B239:B240"/>
    <mergeCell ref="C239:C240"/>
    <mergeCell ref="D239:D240"/>
    <mergeCell ref="E239:E240"/>
    <mergeCell ref="F239:G239"/>
    <mergeCell ref="K235:L235"/>
    <mergeCell ref="P235:Q235"/>
    <mergeCell ref="U235:V235"/>
    <mergeCell ref="B237:B238"/>
    <mergeCell ref="C237:C238"/>
    <mergeCell ref="D237:D238"/>
    <mergeCell ref="E237:E238"/>
    <mergeCell ref="A235:A236"/>
    <mergeCell ref="B235:B236"/>
    <mergeCell ref="C235:C236"/>
    <mergeCell ref="D235:D236"/>
    <mergeCell ref="E235:E236"/>
    <mergeCell ref="F235:G235"/>
    <mergeCell ref="K231:L231"/>
    <mergeCell ref="P231:Q231"/>
    <mergeCell ref="U231:V231"/>
    <mergeCell ref="B233:B234"/>
    <mergeCell ref="C233:C234"/>
    <mergeCell ref="D233:D234"/>
    <mergeCell ref="E233:E234"/>
    <mergeCell ref="A231:A232"/>
    <mergeCell ref="B231:B232"/>
    <mergeCell ref="C231:C232"/>
    <mergeCell ref="D231:D232"/>
    <mergeCell ref="E231:E232"/>
    <mergeCell ref="F231:G231"/>
    <mergeCell ref="K227:L227"/>
    <mergeCell ref="P227:Q227"/>
    <mergeCell ref="U227:V227"/>
    <mergeCell ref="B229:B230"/>
    <mergeCell ref="C229:C230"/>
    <mergeCell ref="D229:D230"/>
    <mergeCell ref="E229:E230"/>
    <mergeCell ref="A227:A228"/>
    <mergeCell ref="B227:B228"/>
    <mergeCell ref="C227:C228"/>
    <mergeCell ref="D227:D228"/>
    <mergeCell ref="E227:E228"/>
    <mergeCell ref="F227:G227"/>
    <mergeCell ref="K223:L223"/>
    <mergeCell ref="P223:Q223"/>
    <mergeCell ref="U223:V223"/>
    <mergeCell ref="B225:B226"/>
    <mergeCell ref="C225:C226"/>
    <mergeCell ref="D225:D226"/>
    <mergeCell ref="E225:E226"/>
    <mergeCell ref="A223:A224"/>
    <mergeCell ref="B223:B224"/>
    <mergeCell ref="C223:C224"/>
    <mergeCell ref="D223:D224"/>
    <mergeCell ref="E223:E224"/>
    <mergeCell ref="F223:G223"/>
    <mergeCell ref="K219:L219"/>
    <mergeCell ref="P219:Q219"/>
    <mergeCell ref="U219:V219"/>
    <mergeCell ref="B221:B222"/>
    <mergeCell ref="C221:C222"/>
    <mergeCell ref="D221:D222"/>
    <mergeCell ref="E221:E222"/>
    <mergeCell ref="A219:A220"/>
    <mergeCell ref="B219:B220"/>
    <mergeCell ref="C219:C220"/>
    <mergeCell ref="D219:D220"/>
    <mergeCell ref="E219:E220"/>
    <mergeCell ref="F219:G219"/>
    <mergeCell ref="K215:L215"/>
    <mergeCell ref="P215:Q215"/>
    <mergeCell ref="U215:V215"/>
    <mergeCell ref="B217:B218"/>
    <mergeCell ref="C217:C218"/>
    <mergeCell ref="D217:D218"/>
    <mergeCell ref="E217:E218"/>
    <mergeCell ref="A215:A216"/>
    <mergeCell ref="B215:B216"/>
    <mergeCell ref="C215:C216"/>
    <mergeCell ref="D215:D216"/>
    <mergeCell ref="E215:E216"/>
    <mergeCell ref="F215:G215"/>
    <mergeCell ref="K211:L211"/>
    <mergeCell ref="P211:Q211"/>
    <mergeCell ref="U211:V211"/>
    <mergeCell ref="B213:B214"/>
    <mergeCell ref="C213:C214"/>
    <mergeCell ref="D213:D214"/>
    <mergeCell ref="E213:E214"/>
    <mergeCell ref="A211:A212"/>
    <mergeCell ref="B211:B212"/>
    <mergeCell ref="C211:C212"/>
    <mergeCell ref="D211:D212"/>
    <mergeCell ref="E211:E212"/>
    <mergeCell ref="F211:G211"/>
    <mergeCell ref="K207:L207"/>
    <mergeCell ref="P207:Q207"/>
    <mergeCell ref="U207:V207"/>
    <mergeCell ref="B209:B210"/>
    <mergeCell ref="C209:C210"/>
    <mergeCell ref="D209:D210"/>
    <mergeCell ref="E209:E210"/>
    <mergeCell ref="A207:A208"/>
    <mergeCell ref="B207:B208"/>
    <mergeCell ref="C207:C208"/>
    <mergeCell ref="D207:D208"/>
    <mergeCell ref="E207:E208"/>
    <mergeCell ref="F207:G207"/>
    <mergeCell ref="K203:L203"/>
    <mergeCell ref="P203:Q203"/>
    <mergeCell ref="U203:V203"/>
    <mergeCell ref="B205:B206"/>
    <mergeCell ref="C205:C206"/>
    <mergeCell ref="D205:D206"/>
    <mergeCell ref="E205:E206"/>
    <mergeCell ref="A203:A204"/>
    <mergeCell ref="B203:B204"/>
    <mergeCell ref="C203:C204"/>
    <mergeCell ref="D203:D204"/>
    <mergeCell ref="E203:E204"/>
    <mergeCell ref="F203:G203"/>
    <mergeCell ref="K199:L199"/>
    <mergeCell ref="P199:Q199"/>
    <mergeCell ref="U199:V199"/>
    <mergeCell ref="B201:B202"/>
    <mergeCell ref="C201:C202"/>
    <mergeCell ref="D201:D202"/>
    <mergeCell ref="E201:E202"/>
    <mergeCell ref="A199:A200"/>
    <mergeCell ref="B199:B200"/>
    <mergeCell ref="C199:C200"/>
    <mergeCell ref="D199:D200"/>
    <mergeCell ref="E199:E200"/>
    <mergeCell ref="F199:G199"/>
    <mergeCell ref="K195:L195"/>
    <mergeCell ref="P195:Q195"/>
    <mergeCell ref="U195:V195"/>
    <mergeCell ref="B197:B198"/>
    <mergeCell ref="C197:C198"/>
    <mergeCell ref="D197:D198"/>
    <mergeCell ref="E197:E198"/>
    <mergeCell ref="A195:A196"/>
    <mergeCell ref="B195:B196"/>
    <mergeCell ref="C195:C196"/>
    <mergeCell ref="D195:D196"/>
    <mergeCell ref="E195:E196"/>
    <mergeCell ref="F195:G195"/>
    <mergeCell ref="K191:L191"/>
    <mergeCell ref="P191:Q191"/>
    <mergeCell ref="U191:V191"/>
    <mergeCell ref="B193:B194"/>
    <mergeCell ref="C193:C194"/>
    <mergeCell ref="D193:D194"/>
    <mergeCell ref="E193:E194"/>
    <mergeCell ref="A191:A192"/>
    <mergeCell ref="B191:B192"/>
    <mergeCell ref="C191:C192"/>
    <mergeCell ref="D191:D192"/>
    <mergeCell ref="E191:E192"/>
    <mergeCell ref="F191:G191"/>
    <mergeCell ref="K187:L187"/>
    <mergeCell ref="P187:Q187"/>
    <mergeCell ref="U187:V187"/>
    <mergeCell ref="B189:B190"/>
    <mergeCell ref="C189:C190"/>
    <mergeCell ref="D189:D190"/>
    <mergeCell ref="E189:E190"/>
    <mergeCell ref="A187:A188"/>
    <mergeCell ref="B187:B188"/>
    <mergeCell ref="C187:C188"/>
    <mergeCell ref="D187:D188"/>
    <mergeCell ref="E187:E188"/>
    <mergeCell ref="F187:G187"/>
    <mergeCell ref="K183:L183"/>
    <mergeCell ref="P183:Q183"/>
    <mergeCell ref="U183:V183"/>
    <mergeCell ref="B185:B186"/>
    <mergeCell ref="C185:C186"/>
    <mergeCell ref="D185:D186"/>
    <mergeCell ref="E185:E186"/>
    <mergeCell ref="A183:A184"/>
    <mergeCell ref="B183:B184"/>
    <mergeCell ref="C183:C184"/>
    <mergeCell ref="D183:D184"/>
    <mergeCell ref="E183:E184"/>
    <mergeCell ref="F183:G183"/>
    <mergeCell ref="K179:L179"/>
    <mergeCell ref="P179:Q179"/>
    <mergeCell ref="U179:V179"/>
    <mergeCell ref="B181:B182"/>
    <mergeCell ref="C181:C182"/>
    <mergeCell ref="D181:D182"/>
    <mergeCell ref="E181:E182"/>
    <mergeCell ref="A179:A180"/>
    <mergeCell ref="B179:B180"/>
    <mergeCell ref="C179:C180"/>
    <mergeCell ref="D179:D180"/>
    <mergeCell ref="E179:E180"/>
    <mergeCell ref="F179:G179"/>
    <mergeCell ref="K175:L175"/>
    <mergeCell ref="P175:Q175"/>
    <mergeCell ref="U175:V175"/>
    <mergeCell ref="B177:B178"/>
    <mergeCell ref="C177:C178"/>
    <mergeCell ref="D177:D178"/>
    <mergeCell ref="E177:E178"/>
    <mergeCell ref="A175:A176"/>
    <mergeCell ref="B175:B176"/>
    <mergeCell ref="C175:C176"/>
    <mergeCell ref="D175:D176"/>
    <mergeCell ref="E175:E176"/>
    <mergeCell ref="F175:G175"/>
    <mergeCell ref="K171:L171"/>
    <mergeCell ref="P171:Q171"/>
    <mergeCell ref="U171:V171"/>
    <mergeCell ref="B173:B174"/>
    <mergeCell ref="C173:C174"/>
    <mergeCell ref="D173:D174"/>
    <mergeCell ref="E173:E174"/>
    <mergeCell ref="A171:A172"/>
    <mergeCell ref="B171:B172"/>
    <mergeCell ref="C171:C172"/>
    <mergeCell ref="D171:D172"/>
    <mergeCell ref="E171:E172"/>
    <mergeCell ref="F171:G171"/>
    <mergeCell ref="K167:L167"/>
    <mergeCell ref="P167:Q167"/>
    <mergeCell ref="U167:V167"/>
    <mergeCell ref="B169:B170"/>
    <mergeCell ref="C169:C170"/>
    <mergeCell ref="D169:D170"/>
    <mergeCell ref="E169:E170"/>
    <mergeCell ref="A167:A168"/>
    <mergeCell ref="B167:B168"/>
    <mergeCell ref="C167:C168"/>
    <mergeCell ref="D167:D168"/>
    <mergeCell ref="E167:E168"/>
    <mergeCell ref="F167:G167"/>
    <mergeCell ref="K163:L163"/>
    <mergeCell ref="P163:Q163"/>
    <mergeCell ref="U163:V163"/>
    <mergeCell ref="B165:B166"/>
    <mergeCell ref="C165:C166"/>
    <mergeCell ref="D165:D166"/>
    <mergeCell ref="E165:E166"/>
    <mergeCell ref="A163:A164"/>
    <mergeCell ref="B163:B164"/>
    <mergeCell ref="C163:C164"/>
    <mergeCell ref="D163:D164"/>
    <mergeCell ref="E163:E164"/>
    <mergeCell ref="F163:G163"/>
    <mergeCell ref="K159:L159"/>
    <mergeCell ref="P159:Q159"/>
    <mergeCell ref="U159:V159"/>
    <mergeCell ref="B161:B162"/>
    <mergeCell ref="C161:C162"/>
    <mergeCell ref="D161:D162"/>
    <mergeCell ref="E161:E162"/>
    <mergeCell ref="A159:A160"/>
    <mergeCell ref="B159:B160"/>
    <mergeCell ref="C159:C160"/>
    <mergeCell ref="D159:D160"/>
    <mergeCell ref="E159:E160"/>
    <mergeCell ref="F159:G159"/>
    <mergeCell ref="K155:L155"/>
    <mergeCell ref="P155:Q155"/>
    <mergeCell ref="U155:V155"/>
    <mergeCell ref="B157:B158"/>
    <mergeCell ref="C157:C158"/>
    <mergeCell ref="D157:D158"/>
    <mergeCell ref="E157:E158"/>
    <mergeCell ref="A155:A156"/>
    <mergeCell ref="B155:B156"/>
    <mergeCell ref="C155:C156"/>
    <mergeCell ref="D155:D156"/>
    <mergeCell ref="E155:E156"/>
    <mergeCell ref="F155:G155"/>
    <mergeCell ref="K151:L151"/>
    <mergeCell ref="P151:Q151"/>
    <mergeCell ref="U151:V151"/>
    <mergeCell ref="B153:B154"/>
    <mergeCell ref="C153:C154"/>
    <mergeCell ref="D153:D154"/>
    <mergeCell ref="E153:E154"/>
    <mergeCell ref="A151:A152"/>
    <mergeCell ref="B151:B152"/>
    <mergeCell ref="C151:C152"/>
    <mergeCell ref="D151:D152"/>
    <mergeCell ref="E151:E152"/>
    <mergeCell ref="F151:G151"/>
    <mergeCell ref="K147:L147"/>
    <mergeCell ref="P147:Q147"/>
    <mergeCell ref="U147:V147"/>
    <mergeCell ref="B149:B150"/>
    <mergeCell ref="C149:C150"/>
    <mergeCell ref="D149:D150"/>
    <mergeCell ref="E149:E150"/>
    <mergeCell ref="A147:A148"/>
    <mergeCell ref="B147:B148"/>
    <mergeCell ref="C147:C148"/>
    <mergeCell ref="D147:D148"/>
    <mergeCell ref="E147:E148"/>
    <mergeCell ref="F147:G147"/>
    <mergeCell ref="K143:L143"/>
    <mergeCell ref="P143:Q143"/>
    <mergeCell ref="U143:V143"/>
    <mergeCell ref="B145:B146"/>
    <mergeCell ref="C145:C146"/>
    <mergeCell ref="D145:D146"/>
    <mergeCell ref="E145:E146"/>
    <mergeCell ref="A143:A144"/>
    <mergeCell ref="B143:B144"/>
    <mergeCell ref="C143:C144"/>
    <mergeCell ref="D143:D144"/>
    <mergeCell ref="E143:E144"/>
    <mergeCell ref="F143:G143"/>
    <mergeCell ref="K139:L139"/>
    <mergeCell ref="P139:Q139"/>
    <mergeCell ref="U139:V139"/>
    <mergeCell ref="B141:B142"/>
    <mergeCell ref="C141:C142"/>
    <mergeCell ref="D141:D142"/>
    <mergeCell ref="E141:E142"/>
    <mergeCell ref="A139:A140"/>
    <mergeCell ref="B139:B140"/>
    <mergeCell ref="C139:C140"/>
    <mergeCell ref="D139:D140"/>
    <mergeCell ref="E139:E140"/>
    <mergeCell ref="F139:G139"/>
    <mergeCell ref="K135:L135"/>
    <mergeCell ref="P135:Q135"/>
    <mergeCell ref="U135:V135"/>
    <mergeCell ref="B137:B138"/>
    <mergeCell ref="C137:C138"/>
    <mergeCell ref="D137:D138"/>
    <mergeCell ref="E137:E138"/>
    <mergeCell ref="A135:A136"/>
    <mergeCell ref="B135:B136"/>
    <mergeCell ref="C135:C136"/>
    <mergeCell ref="D135:D136"/>
    <mergeCell ref="E135:E136"/>
    <mergeCell ref="F135:G135"/>
    <mergeCell ref="K131:L131"/>
    <mergeCell ref="P131:Q131"/>
    <mergeCell ref="U131:V131"/>
    <mergeCell ref="B133:B134"/>
    <mergeCell ref="C133:C134"/>
    <mergeCell ref="D133:D134"/>
    <mergeCell ref="E133:E134"/>
    <mergeCell ref="A131:A132"/>
    <mergeCell ref="B131:B132"/>
    <mergeCell ref="C131:C132"/>
    <mergeCell ref="D131:D132"/>
    <mergeCell ref="E131:E132"/>
    <mergeCell ref="F131:G131"/>
    <mergeCell ref="K127:L127"/>
    <mergeCell ref="P127:Q127"/>
    <mergeCell ref="U127:V127"/>
    <mergeCell ref="B129:B130"/>
    <mergeCell ref="C129:C130"/>
    <mergeCell ref="D129:D130"/>
    <mergeCell ref="E129:E130"/>
    <mergeCell ref="A127:A128"/>
    <mergeCell ref="B127:B128"/>
    <mergeCell ref="C127:C128"/>
    <mergeCell ref="D127:D128"/>
    <mergeCell ref="E127:E128"/>
    <mergeCell ref="F127:G127"/>
    <mergeCell ref="K123:L123"/>
    <mergeCell ref="P123:Q123"/>
    <mergeCell ref="U123:V123"/>
    <mergeCell ref="B125:B126"/>
    <mergeCell ref="C125:C126"/>
    <mergeCell ref="D125:D126"/>
    <mergeCell ref="E125:E126"/>
    <mergeCell ref="A123:A124"/>
    <mergeCell ref="B123:B124"/>
    <mergeCell ref="C123:C124"/>
    <mergeCell ref="D123:D124"/>
    <mergeCell ref="E123:E124"/>
    <mergeCell ref="F123:G123"/>
    <mergeCell ref="K119:L119"/>
    <mergeCell ref="P119:Q119"/>
    <mergeCell ref="U119:V119"/>
    <mergeCell ref="B121:B122"/>
    <mergeCell ref="C121:C122"/>
    <mergeCell ref="D121:D122"/>
    <mergeCell ref="E121:E122"/>
    <mergeCell ref="A119:A120"/>
    <mergeCell ref="B119:B120"/>
    <mergeCell ref="C119:C120"/>
    <mergeCell ref="D119:D120"/>
    <mergeCell ref="E119:E120"/>
    <mergeCell ref="F119:G119"/>
    <mergeCell ref="K115:L115"/>
    <mergeCell ref="P115:Q115"/>
    <mergeCell ref="U115:V115"/>
    <mergeCell ref="B117:B118"/>
    <mergeCell ref="C117:C118"/>
    <mergeCell ref="D117:D118"/>
    <mergeCell ref="E117:E118"/>
    <mergeCell ref="A115:A116"/>
    <mergeCell ref="B115:B116"/>
    <mergeCell ref="C115:C116"/>
    <mergeCell ref="D115:D116"/>
    <mergeCell ref="E115:E116"/>
    <mergeCell ref="F115:G115"/>
    <mergeCell ref="K111:L111"/>
    <mergeCell ref="P111:Q111"/>
    <mergeCell ref="U111:V111"/>
    <mergeCell ref="B113:B114"/>
    <mergeCell ref="C113:C114"/>
    <mergeCell ref="D113:D114"/>
    <mergeCell ref="E113:E114"/>
    <mergeCell ref="A111:A112"/>
    <mergeCell ref="B111:B112"/>
    <mergeCell ref="C111:C112"/>
    <mergeCell ref="D111:D112"/>
    <mergeCell ref="E111:E112"/>
    <mergeCell ref="F111:G111"/>
    <mergeCell ref="K107:L107"/>
    <mergeCell ref="P107:Q107"/>
    <mergeCell ref="U107:V107"/>
    <mergeCell ref="B109:B110"/>
    <mergeCell ref="C109:C110"/>
    <mergeCell ref="D109:D110"/>
    <mergeCell ref="E109:E110"/>
    <mergeCell ref="A107:A108"/>
    <mergeCell ref="B107:B108"/>
    <mergeCell ref="C107:C108"/>
    <mergeCell ref="D107:D108"/>
    <mergeCell ref="E107:E108"/>
    <mergeCell ref="F107:G107"/>
    <mergeCell ref="K103:L103"/>
    <mergeCell ref="P103:Q103"/>
    <mergeCell ref="U103:V103"/>
    <mergeCell ref="B105:B106"/>
    <mergeCell ref="C105:C106"/>
    <mergeCell ref="D105:D106"/>
    <mergeCell ref="E105:E106"/>
    <mergeCell ref="A103:A104"/>
    <mergeCell ref="B103:B104"/>
    <mergeCell ref="C103:C104"/>
    <mergeCell ref="D103:D104"/>
    <mergeCell ref="E103:E104"/>
    <mergeCell ref="F103:G103"/>
    <mergeCell ref="K99:L99"/>
    <mergeCell ref="P99:Q99"/>
    <mergeCell ref="U99:V99"/>
    <mergeCell ref="B101:B102"/>
    <mergeCell ref="C101:C102"/>
    <mergeCell ref="D101:D102"/>
    <mergeCell ref="E101:E102"/>
    <mergeCell ref="A99:A100"/>
    <mergeCell ref="B99:B100"/>
    <mergeCell ref="C99:C100"/>
    <mergeCell ref="D99:D100"/>
    <mergeCell ref="E99:E100"/>
    <mergeCell ref="F99:G99"/>
    <mergeCell ref="K95:L95"/>
    <mergeCell ref="P95:Q95"/>
    <mergeCell ref="U95:V95"/>
    <mergeCell ref="B97:B98"/>
    <mergeCell ref="C97:C98"/>
    <mergeCell ref="D97:D98"/>
    <mergeCell ref="E97:E98"/>
    <mergeCell ref="A95:A96"/>
    <mergeCell ref="B95:B96"/>
    <mergeCell ref="C95:C96"/>
    <mergeCell ref="D95:D96"/>
    <mergeCell ref="E95:E96"/>
    <mergeCell ref="F95:G95"/>
    <mergeCell ref="K91:L91"/>
    <mergeCell ref="P91:Q91"/>
    <mergeCell ref="U91:V91"/>
    <mergeCell ref="B93:B94"/>
    <mergeCell ref="C93:C94"/>
    <mergeCell ref="D93:D94"/>
    <mergeCell ref="E93:E94"/>
    <mergeCell ref="A91:A92"/>
    <mergeCell ref="B91:B92"/>
    <mergeCell ref="C91:C92"/>
    <mergeCell ref="D91:D92"/>
    <mergeCell ref="E91:E92"/>
    <mergeCell ref="F91:G91"/>
    <mergeCell ref="K87:L87"/>
    <mergeCell ref="P87:Q87"/>
    <mergeCell ref="U87:V87"/>
    <mergeCell ref="B89:B90"/>
    <mergeCell ref="C89:C90"/>
    <mergeCell ref="D89:D90"/>
    <mergeCell ref="E89:E90"/>
    <mergeCell ref="A87:A88"/>
    <mergeCell ref="B87:B88"/>
    <mergeCell ref="C87:C88"/>
    <mergeCell ref="D87:D88"/>
    <mergeCell ref="E87:E88"/>
    <mergeCell ref="F87:G87"/>
    <mergeCell ref="K83:L83"/>
    <mergeCell ref="P83:Q83"/>
    <mergeCell ref="U83:V83"/>
    <mergeCell ref="B85:B86"/>
    <mergeCell ref="C85:C86"/>
    <mergeCell ref="D85:D86"/>
    <mergeCell ref="E85:E86"/>
    <mergeCell ref="A83:A84"/>
    <mergeCell ref="B83:B84"/>
    <mergeCell ref="C83:C84"/>
    <mergeCell ref="D83:D84"/>
    <mergeCell ref="E83:E84"/>
    <mergeCell ref="F83:G83"/>
    <mergeCell ref="K79:L79"/>
    <mergeCell ref="P79:Q79"/>
    <mergeCell ref="U79:V79"/>
    <mergeCell ref="B81:B82"/>
    <mergeCell ref="C81:C82"/>
    <mergeCell ref="D81:D82"/>
    <mergeCell ref="E81:E82"/>
    <mergeCell ref="A79:A80"/>
    <mergeCell ref="B79:B80"/>
    <mergeCell ref="C79:C80"/>
    <mergeCell ref="D79:D80"/>
    <mergeCell ref="E79:E80"/>
    <mergeCell ref="F79:G79"/>
    <mergeCell ref="K75:L75"/>
    <mergeCell ref="P75:Q75"/>
    <mergeCell ref="U75:V75"/>
    <mergeCell ref="B77:B78"/>
    <mergeCell ref="C77:C78"/>
    <mergeCell ref="D77:D78"/>
    <mergeCell ref="E77:E78"/>
    <mergeCell ref="A75:A76"/>
    <mergeCell ref="B75:B76"/>
    <mergeCell ref="C75:C76"/>
    <mergeCell ref="D75:D76"/>
    <mergeCell ref="E75:E76"/>
    <mergeCell ref="F75:G75"/>
    <mergeCell ref="K71:L71"/>
    <mergeCell ref="P71:Q71"/>
    <mergeCell ref="U71:V71"/>
    <mergeCell ref="B73:B74"/>
    <mergeCell ref="C73:C74"/>
    <mergeCell ref="D73:D74"/>
    <mergeCell ref="E73:E74"/>
    <mergeCell ref="A71:A72"/>
    <mergeCell ref="B71:B72"/>
    <mergeCell ref="C71:C72"/>
    <mergeCell ref="D71:D72"/>
    <mergeCell ref="E71:E72"/>
    <mergeCell ref="F71:G71"/>
    <mergeCell ref="K67:L67"/>
    <mergeCell ref="P67:Q67"/>
    <mergeCell ref="U67:V67"/>
    <mergeCell ref="B69:B70"/>
    <mergeCell ref="C69:C70"/>
    <mergeCell ref="D69:D70"/>
    <mergeCell ref="E69:E70"/>
    <mergeCell ref="A67:A68"/>
    <mergeCell ref="B67:B68"/>
    <mergeCell ref="C67:C68"/>
    <mergeCell ref="D67:D68"/>
    <mergeCell ref="E67:E68"/>
    <mergeCell ref="F67:G67"/>
    <mergeCell ref="K63:L63"/>
    <mergeCell ref="P63:Q63"/>
    <mergeCell ref="U63:V63"/>
    <mergeCell ref="B65:B66"/>
    <mergeCell ref="C65:C66"/>
    <mergeCell ref="D65:D66"/>
    <mergeCell ref="E65:E66"/>
    <mergeCell ref="A63:A64"/>
    <mergeCell ref="B63:B64"/>
    <mergeCell ref="C63:C64"/>
    <mergeCell ref="D63:D64"/>
    <mergeCell ref="E63:E64"/>
    <mergeCell ref="F63:G63"/>
    <mergeCell ref="K59:L59"/>
    <mergeCell ref="P59:Q59"/>
    <mergeCell ref="U59:V59"/>
    <mergeCell ref="B61:B62"/>
    <mergeCell ref="C61:C62"/>
    <mergeCell ref="D61:D62"/>
    <mergeCell ref="E61:E62"/>
    <mergeCell ref="A59:A60"/>
    <mergeCell ref="B59:B60"/>
    <mergeCell ref="C59:C60"/>
    <mergeCell ref="D59:D60"/>
    <mergeCell ref="E59:E60"/>
    <mergeCell ref="F59:G59"/>
    <mergeCell ref="K55:L55"/>
    <mergeCell ref="P55:Q55"/>
    <mergeCell ref="U55:V55"/>
    <mergeCell ref="B57:B58"/>
    <mergeCell ref="C57:C58"/>
    <mergeCell ref="D57:D58"/>
    <mergeCell ref="E57:E58"/>
    <mergeCell ref="A55:A56"/>
    <mergeCell ref="B55:B56"/>
    <mergeCell ref="C55:C56"/>
    <mergeCell ref="D55:D56"/>
    <mergeCell ref="E55:E56"/>
    <mergeCell ref="F55:G55"/>
    <mergeCell ref="K51:L51"/>
    <mergeCell ref="P51:Q51"/>
    <mergeCell ref="U51:V51"/>
    <mergeCell ref="B53:B54"/>
    <mergeCell ref="C53:C54"/>
    <mergeCell ref="D53:D54"/>
    <mergeCell ref="E53:E54"/>
    <mergeCell ref="A51:A52"/>
    <mergeCell ref="B51:B52"/>
    <mergeCell ref="C51:C52"/>
    <mergeCell ref="D51:D52"/>
    <mergeCell ref="E51:E52"/>
    <mergeCell ref="F51:G51"/>
    <mergeCell ref="K47:L47"/>
    <mergeCell ref="P47:Q47"/>
    <mergeCell ref="U47:V47"/>
    <mergeCell ref="B49:B50"/>
    <mergeCell ref="C49:C50"/>
    <mergeCell ref="D49:D50"/>
    <mergeCell ref="E49:E50"/>
    <mergeCell ref="A47:A48"/>
    <mergeCell ref="B47:B48"/>
    <mergeCell ref="C47:C48"/>
    <mergeCell ref="D47:D48"/>
    <mergeCell ref="E47:E48"/>
    <mergeCell ref="F47:G47"/>
    <mergeCell ref="K43:L43"/>
    <mergeCell ref="P43:Q43"/>
    <mergeCell ref="U43:V43"/>
    <mergeCell ref="B45:B46"/>
    <mergeCell ref="C45:C46"/>
    <mergeCell ref="D45:D46"/>
    <mergeCell ref="E45:E46"/>
    <mergeCell ref="A43:A44"/>
    <mergeCell ref="B43:B44"/>
    <mergeCell ref="C43:C44"/>
    <mergeCell ref="D43:D44"/>
    <mergeCell ref="E43:E44"/>
    <mergeCell ref="F43:G43"/>
    <mergeCell ref="K39:L39"/>
    <mergeCell ref="P39:Q39"/>
    <mergeCell ref="U39:V39"/>
    <mergeCell ref="B41:B42"/>
    <mergeCell ref="C41:C42"/>
    <mergeCell ref="D41:D42"/>
    <mergeCell ref="E41:E42"/>
    <mergeCell ref="A39:A40"/>
    <mergeCell ref="B39:B40"/>
    <mergeCell ref="C39:C40"/>
    <mergeCell ref="D39:D40"/>
    <mergeCell ref="E39:E40"/>
    <mergeCell ref="F39:G39"/>
    <mergeCell ref="K35:L35"/>
    <mergeCell ref="P35:Q35"/>
    <mergeCell ref="U35:V35"/>
    <mergeCell ref="B37:B38"/>
    <mergeCell ref="C37:C38"/>
    <mergeCell ref="D37:D38"/>
    <mergeCell ref="E37:E38"/>
    <mergeCell ref="A35:A36"/>
    <mergeCell ref="B35:B36"/>
    <mergeCell ref="C35:C36"/>
    <mergeCell ref="D35:D36"/>
    <mergeCell ref="E35:E36"/>
    <mergeCell ref="F35:G35"/>
    <mergeCell ref="K31:L31"/>
    <mergeCell ref="P31:Q31"/>
    <mergeCell ref="U31:V31"/>
    <mergeCell ref="B33:B34"/>
    <mergeCell ref="C33:C34"/>
    <mergeCell ref="D33:D34"/>
    <mergeCell ref="E33:E34"/>
    <mergeCell ref="A31:A32"/>
    <mergeCell ref="B31:B32"/>
    <mergeCell ref="C31:C32"/>
    <mergeCell ref="D31:D32"/>
    <mergeCell ref="E31:E32"/>
    <mergeCell ref="F31:G31"/>
    <mergeCell ref="K27:L27"/>
    <mergeCell ref="P27:Q27"/>
    <mergeCell ref="U27:V27"/>
    <mergeCell ref="B29:B30"/>
    <mergeCell ref="C29:C30"/>
    <mergeCell ref="D29:D30"/>
    <mergeCell ref="E29:E30"/>
    <mergeCell ref="A27:A28"/>
    <mergeCell ref="B27:B28"/>
    <mergeCell ref="C27:C28"/>
    <mergeCell ref="D27:D28"/>
    <mergeCell ref="E27:E28"/>
    <mergeCell ref="F27:G27"/>
    <mergeCell ref="K23:L23"/>
    <mergeCell ref="P23:Q23"/>
    <mergeCell ref="U23:V23"/>
    <mergeCell ref="B25:B26"/>
    <mergeCell ref="C25:C26"/>
    <mergeCell ref="D25:D26"/>
    <mergeCell ref="E25:E26"/>
    <mergeCell ref="A23:A24"/>
    <mergeCell ref="B23:B24"/>
    <mergeCell ref="C23:C24"/>
    <mergeCell ref="D23:D24"/>
    <mergeCell ref="E23:E24"/>
    <mergeCell ref="F23:G23"/>
    <mergeCell ref="K19:L19"/>
    <mergeCell ref="P19:Q19"/>
    <mergeCell ref="U19:V19"/>
    <mergeCell ref="B21:B22"/>
    <mergeCell ref="C21:C22"/>
    <mergeCell ref="D21:D22"/>
    <mergeCell ref="E21:E22"/>
    <mergeCell ref="A19:A20"/>
    <mergeCell ref="B19:B20"/>
    <mergeCell ref="C19:C20"/>
    <mergeCell ref="D19:D20"/>
    <mergeCell ref="E19:E20"/>
    <mergeCell ref="F19:G19"/>
    <mergeCell ref="K15:L15"/>
    <mergeCell ref="P15:Q15"/>
    <mergeCell ref="U15:V15"/>
    <mergeCell ref="B17:B18"/>
    <mergeCell ref="C17:C18"/>
    <mergeCell ref="D17:D18"/>
    <mergeCell ref="E17:E18"/>
    <mergeCell ref="A15:A16"/>
    <mergeCell ref="B15:B16"/>
    <mergeCell ref="C15:C16"/>
    <mergeCell ref="D15:D16"/>
    <mergeCell ref="E15:E16"/>
    <mergeCell ref="F15:G15"/>
    <mergeCell ref="K11:L11"/>
    <mergeCell ref="P11:Q11"/>
    <mergeCell ref="U11:V11"/>
    <mergeCell ref="B13:B14"/>
    <mergeCell ref="C13:C14"/>
    <mergeCell ref="D13:D14"/>
    <mergeCell ref="E13:E14"/>
    <mergeCell ref="A11:A12"/>
    <mergeCell ref="B11:B12"/>
    <mergeCell ref="C11:C12"/>
    <mergeCell ref="D11:D12"/>
    <mergeCell ref="E11:E12"/>
    <mergeCell ref="F11:G11"/>
    <mergeCell ref="U8:V8"/>
    <mergeCell ref="B9:B10"/>
    <mergeCell ref="C9:C10"/>
    <mergeCell ref="D9:D10"/>
    <mergeCell ref="E9:E10"/>
    <mergeCell ref="U9:V9"/>
    <mergeCell ref="U10:V10"/>
    <mergeCell ref="P5:T5"/>
    <mergeCell ref="U5:V5"/>
    <mergeCell ref="B7:B8"/>
    <mergeCell ref="C7:C8"/>
    <mergeCell ref="D7:D8"/>
    <mergeCell ref="E7:E8"/>
    <mergeCell ref="F7:G7"/>
    <mergeCell ref="K7:L7"/>
    <mergeCell ref="P7:Q7"/>
    <mergeCell ref="U7:V7"/>
    <mergeCell ref="A1:V1"/>
    <mergeCell ref="B3:D3"/>
    <mergeCell ref="F3:G3"/>
    <mergeCell ref="J3:M3"/>
    <mergeCell ref="Q3:T3"/>
    <mergeCell ref="A5:A10"/>
    <mergeCell ref="B5:C6"/>
    <mergeCell ref="D5:E6"/>
    <mergeCell ref="F5:J5"/>
    <mergeCell ref="K5:O5"/>
  </mergeCells>
  <phoneticPr fontId="3"/>
  <dataValidations count="3">
    <dataValidation allowBlank="1" showErrorMessage="1" sqref="D1:D1048576" xr:uid="{F78C8FC5-2BA4-4E67-8FCB-EA9DAFC09DB6}"/>
    <dataValidation type="list" allowBlank="1" showErrorMessage="1" sqref="A849 A853 A857 A861 A865 A869 A873 A877 A881 A885 A889 A893 A897 A901 A905 A909 A913 A917 A921 A925 A929 A933 A937 A941 A945 A949 A953 A957 A961 A965 A969 A973 A977 A981 A985 A989 A993 A997 A1001 A1005 A1009 A1013 A1017 A1021 A1025 A1029 A1033 A1037 A1041 A1045 A1049 A613 A617 A621 A625 A629 A633 A637 A641 A645 A649 A653 A657 A661 A665 A669 A673 A677 A681 A685 A689 A693 A697 A701 A705 A709 A713 A717 A721 A725 A729 A733 A737 A741 A745 A749 A753 A757 A761 A765 A769 A773 A777 A781 A785 A789 A793 A797 A801 A805 A809 A813 A817 A821 A825 A829 A833 A837 A841 A845 A453 A457 A461 A465 A469 A473 A477 A481 A485 A489 A493 A497 A501 A505 A509 A513 A517 A521 A525 A529 A533 A537 A541 A545 A549 A553 A557 A561 A565 A569 A573 A577 A581 A585 A589 A593 A597 A601 A605 A609 A13 A17 A21 A25 A29 A33 A37 A41 A45 A49 A53 A57 A61 A65 A69 A73 A77 A81 A85 A89 A93 A97 A101 A105 A109 A113 A117 A121 A125 A129 A133 A137 A141 A145 A149 A153 A157 A161 A165 A169 A173 A177 A181 A185 A189 A193 A197 A201 A205 A209 A213 A217 A221 A225 A229 A233 A237 A241 A245 A249 A253 A257 A261 A265 A269 A273 A277 A281 A285 A289 A293 A297 A301 A305 A309 A313 A317 A321 A325 A329 A333 A337 A341 A345 A349 A353 A357 A361 A365 A369 A373 A377 A381 A385 A389 A393 A397 A401 A405 A409 A413 A417 A421 A425 A429 A433 A437 A441 A445 A449" xr:uid="{83048680-F800-4705-AF31-BA27A7EFC44D}">
      <formula1>"60,80,90,100,125,150,200,250"</formula1>
    </dataValidation>
    <dataValidation type="list" allowBlank="1" showErrorMessage="1" sqref="A850 A854 A858 A862 A866 A870 A874 A878 A882 A886 A890 A894 A898 A902 A906 A910 A914 A918 A922 A926 A930 A934 A938 A942 A946 A950 A954 A958 A962 A966 A970 A974 A978 A982 A986 A990 A994 A998 A1002 A1006 A1010 A1014 A1018 A1022 A1026 A1030 A1034 A1038 A1042 A1046 A1050 A614 A618 A622 A626 A630 A634 A638 A642 A646 A650 A654 A658 A662 A666 A670 A674 A678 A682 A686 A690 A694 A698 A702 A706 A710 A714 A718 A722 A726 A730 A734 A738 A742 A746 A750 A754 A758 A762 A766 A770 A774 A778 A782 A786 A790 A794 A798 A802 A806 A810 A814 A818 A822 A826 A830 A834 A838 A842 A846 A454 A458 A462 A466 A470 A474 A478 A482 A486 A490 A494 A498 A502 A506 A510 A514 A518 A522 A526 A530 A534 A538 A542 A546 A550 A554 A558 A562 A566 A570 A574 A578 A582 A586 A590 A594 A598 A602 A606 A610 A14 A18 A22 A26 A30 A34 A38 A42 A46 A50 A54 A58 A62 A66 A70 A74 A78 A82 A86 A90 A94 A98 A102 A106 A110 A114 A118 A122 A126 A130 A134 A138 A142 A146 A150 A154 A158 A162 A166 A170 A174 A178 A182 A186 A190 A194 A198 A202 A206 A210 A214 A218 A222 A226 A230 A234 A238 A242 A246 A250 A254 A258 A262 A266 A270 A274 A278 A282 A286 A290 A294 A298 A302 A306 A310 A314 A318 A322 A326 A330 A334 A338 A342 A346 A350 A354 A358 A362 A366 A370 A374 A378 A382 A386 A390 A394 A398 A402 A406 A410 A414 A418 A422 A426 A430 A434 A438 A442 A446 A450" xr:uid="{640CC304-2737-40C4-B96F-7871D4781B73}">
      <formula1>"吸水,集水,落口,連絡渠,補助暗渠,枕地処理"</formula1>
    </dataValidation>
  </dataValidations>
  <pageMargins left="0.7" right="0.7" top="0.75" bottom="0.75" header="0.3" footer="0.3"/>
  <pageSetup paperSize="9" scale="8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測定結果一覧表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横山太郎</dc:creator>
  <cp:lastModifiedBy>横山太郎</cp:lastModifiedBy>
  <dcterms:created xsi:type="dcterms:W3CDTF">2026-04-21T14:50:22Z</dcterms:created>
  <dcterms:modified xsi:type="dcterms:W3CDTF">2026-04-21T14:53:44Z</dcterms:modified>
</cp:coreProperties>
</file>